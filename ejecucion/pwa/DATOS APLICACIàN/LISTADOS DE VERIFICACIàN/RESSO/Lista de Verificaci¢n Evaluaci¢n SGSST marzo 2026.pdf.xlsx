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3.xml" ContentType="application/vnd.openxmlformats-officedocument.spreadsheetml.table+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C:\Users\HP\Desktop\CONTRATO DCH 4600030845\GESTION DE SEGURIDAD DCH FINAL\RESSO TRANSMAC\RESSO 2026 TRANSMAC\Punto 43 Autoevaluacion RESSO\Autoevaluacion RESSO  Marzo 2026\"/>
    </mc:Choice>
  </mc:AlternateContent>
  <xr:revisionPtr revIDLastSave="0" documentId="13_ncr:1_{8616DFCA-2825-45D9-A7D0-F9484D9A32DE}" xr6:coauthVersionLast="47" xr6:coauthVersionMax="47" xr10:uidLastSave="{00000000-0000-0000-0000-000000000000}"/>
  <bookViews>
    <workbookView xWindow="-108" yWindow="-108" windowWidth="23256" windowHeight="12456" tabRatio="898" activeTab="1" xr2:uid="{00000000-000D-0000-FFFF-FFFF00000000}"/>
  </bookViews>
  <sheets>
    <sheet name="EVALUACION RESSO EECC" sheetId="30" r:id="rId1"/>
    <sheet name="PLAN DE ACCION RESSO " sheetId="35" r:id="rId2"/>
    <sheet name="Implementacion SIGO" sheetId="18" r:id="rId3"/>
    <sheet name="Implementacion y Operacion" sheetId="19" r:id="rId4"/>
    <sheet name="COMENTARIOS" sheetId="33" r:id="rId5"/>
    <sheet name=" HALLAZGOS DOC RESSO" sheetId="21" r:id="rId6"/>
    <sheet name="VERIFICACIÓN EN TERRENO" sheetId="34" r:id="rId7"/>
    <sheet name="HALLAZGO EN TERRENO" sheetId="22" r:id="rId8"/>
    <sheet name="GRÁFICO " sheetId="28"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a" localSheetId="4">[1]GENERAL!#REF!</definedName>
    <definedName name="\a" localSheetId="1">[2]GENERAL!#REF!</definedName>
    <definedName name="\a" localSheetId="6">[1]GENERAL!#REF!</definedName>
    <definedName name="\a">[1]GENERAL!#REF!</definedName>
    <definedName name="\ac" localSheetId="4">[1]GENERAL!#REF!</definedName>
    <definedName name="\ac" localSheetId="1">[2]GENERAL!#REF!</definedName>
    <definedName name="\ac" localSheetId="6">[1]GENERAL!#REF!</definedName>
    <definedName name="\ac">[1]GENERAL!#REF!</definedName>
    <definedName name="\b" localSheetId="4">[1]GENERAL!#REF!</definedName>
    <definedName name="\b" localSheetId="1">[2]GENERAL!#REF!</definedName>
    <definedName name="\b" localSheetId="6">[1]GENERAL!#REF!</definedName>
    <definedName name="\b">[1]GENERAL!#REF!</definedName>
    <definedName name="\c" localSheetId="4">[1]GENERAL!#REF!</definedName>
    <definedName name="\c" localSheetId="1">[2]GENERAL!#REF!</definedName>
    <definedName name="\c" localSheetId="6">[1]GENERAL!#REF!</definedName>
    <definedName name="\c">[1]GENERAL!#REF!</definedName>
    <definedName name="\f" localSheetId="4">[1]GENERAL!#REF!</definedName>
    <definedName name="\f" localSheetId="1">[2]GENERAL!#REF!</definedName>
    <definedName name="\f" localSheetId="6">[1]GENERAL!#REF!</definedName>
    <definedName name="\f">[1]GENERAL!#REF!</definedName>
    <definedName name="\h" localSheetId="1">[2]GENERAL!#REF!</definedName>
    <definedName name="\h">[1]GENERAL!#REF!</definedName>
    <definedName name="\M" localSheetId="1">[3]B!$Q$2</definedName>
    <definedName name="\M">[4]B!$Q$2</definedName>
    <definedName name="\p" localSheetId="1">[2]GENERAL!$GV$8084</definedName>
    <definedName name="\p">[1]GENERAL!$GV$8084</definedName>
    <definedName name="\r" localSheetId="1">[2]GENERAL!#REF!</definedName>
    <definedName name="\r">[1]GENERAL!#REF!</definedName>
    <definedName name="\t" localSheetId="1">[2]GENERAL!#REF!</definedName>
    <definedName name="\t">[1]GENERAL!#REF!</definedName>
    <definedName name="\w" localSheetId="1">[2]GENERAL!#REF!</definedName>
    <definedName name="\w">[1]GENERAL!#REF!</definedName>
    <definedName name="\x" localSheetId="1">[2]GENERAL!#REF!</definedName>
    <definedName name="\x">[1]GENERAL!#REF!</definedName>
    <definedName name="_500_AREA_TOTAL_LBCu" localSheetId="4">'[5]Plant Operating Expenses'!#REF!</definedName>
    <definedName name="_500_AREA_TOTAL_LBCu" localSheetId="1">'[6]Plant Operating Expenses'!#REF!</definedName>
    <definedName name="_500_AREA_TOTAL_LBCu" localSheetId="6">'[5]Plant Operating Expenses'!#REF!</definedName>
    <definedName name="_500_AREA_TOTAL_LBCu">'[5]Plant Operating Expenses'!#REF!</definedName>
    <definedName name="_500_DIESEL_FUEL" localSheetId="4">'[5]Plant Operating Expenses'!#REF!</definedName>
    <definedName name="_500_DIESEL_FUEL" localSheetId="1">'[6]Plant Operating Expenses'!#REF!</definedName>
    <definedName name="_500_DIESEL_FUEL" localSheetId="6">'[5]Plant Operating Expenses'!#REF!</definedName>
    <definedName name="_500_DIESEL_FUEL">'[5]Plant Operating Expenses'!#REF!</definedName>
    <definedName name="_500_MAINTENANCE_SUPPLIES" localSheetId="4">'[5]Plant Operating Expenses'!#REF!</definedName>
    <definedName name="_500_MAINTENANCE_SUPPLIES" localSheetId="1">'[6]Plant Operating Expenses'!#REF!</definedName>
    <definedName name="_500_MAINTENANCE_SUPPLIES" localSheetId="6">'[5]Plant Operating Expenses'!#REF!</definedName>
    <definedName name="_500_MAINTENANCE_SUPPLIES">'[5]Plant Operating Expenses'!#REF!</definedName>
    <definedName name="_500_PERSONNEL" localSheetId="4">'[5]Plant Operating Expenses'!#REF!</definedName>
    <definedName name="_500_PERSONNEL" localSheetId="1">'[6]Plant Operating Expenses'!#REF!</definedName>
    <definedName name="_500_PERSONNEL" localSheetId="6">'[5]Plant Operating Expenses'!#REF!</definedName>
    <definedName name="_500_PERSONNEL">'[5]Plant Operating Expenses'!#REF!</definedName>
    <definedName name="_600_AREA_TOTAL_LBCu" localSheetId="4">'[5]Plant Operating Expenses'!#REF!</definedName>
    <definedName name="_600_AREA_TOTAL_LBCu" localSheetId="1">'[6]Plant Operating Expenses'!#REF!</definedName>
    <definedName name="_600_AREA_TOTAL_LBCu" localSheetId="6">'[5]Plant Operating Expenses'!#REF!</definedName>
    <definedName name="_600_AREA_TOTAL_LBCu">'[5]Plant Operating Expenses'!#REF!</definedName>
    <definedName name="_600_CATHODE_TRANSPORT" localSheetId="1">'[6]Plant Operating Expenses'!#REF!</definedName>
    <definedName name="_600_CATHODE_TRANSPORT">'[5]Plant Operating Expenses'!#REF!</definedName>
    <definedName name="_600_ELECTRICAL_POWER" localSheetId="1">'[6]Plant Operating Expenses'!#REF!</definedName>
    <definedName name="_600_ELECTRICAL_POWER">'[5]Plant Operating Expenses'!#REF!</definedName>
    <definedName name="_600_MAINTENANCE_SERVICES_CONTRACT" localSheetId="1">'[6]Plant Operating Expenses'!#REF!</definedName>
    <definedName name="_600_MAINTENANCE_SERVICES_CONTRACT">'[5]Plant Operating Expenses'!#REF!</definedName>
    <definedName name="_600_MAINTENANCE_SUPPLIES" localSheetId="1">'[6]Plant Operating Expenses'!#REF!</definedName>
    <definedName name="_600_MAINTENANCE_SUPPLIES">'[5]Plant Operating Expenses'!#REF!</definedName>
    <definedName name="_600_MISCELANEOUS" localSheetId="1">'[6]Plant Operating Expenses'!#REF!</definedName>
    <definedName name="_600_MISCELANEOUS">'[5]Plant Operating Expenses'!#REF!</definedName>
    <definedName name="_600_OPERATING_SUPPLIES" localSheetId="1">'[6]Plant Operating Expenses'!#REF!</definedName>
    <definedName name="_600_OPERATING_SUPPLIES">'[5]Plant Operating Expenses'!#REF!</definedName>
    <definedName name="_600_OPERATIONS" localSheetId="1">'[6]Plant Operating Expenses'!#REF!</definedName>
    <definedName name="_600_OPERATIONS">'[5]Plant Operating Expenses'!#REF!</definedName>
    <definedName name="_600_OWNERS_COST" localSheetId="1">'[6]Plant Operating Expenses'!#REF!</definedName>
    <definedName name="_600_OWNERS_COST">'[5]Plant Operating Expenses'!#REF!</definedName>
    <definedName name="_600_PERSONNEL" localSheetId="1">'[6]Plant Operating Expenses'!#REF!</definedName>
    <definedName name="_600_PERSONNEL">'[5]Plant Operating Expenses'!#REF!</definedName>
    <definedName name="_600_R.O._WATER" localSheetId="1">'[6]Plant Operating Expenses'!#REF!</definedName>
    <definedName name="_600_R.O._WATER">'[5]Plant Operating Expenses'!#REF!</definedName>
    <definedName name="_600_SERVICES_AND_INFRASTRUCTURE" localSheetId="1">'[6]Plant Operating Expenses'!#REF!</definedName>
    <definedName name="_600_SERVICES_AND_INFRASTRUCTURE">'[5]Plant Operating Expenses'!#REF!</definedName>
    <definedName name="_600_STAFF" localSheetId="1">'[6]Plant Operating Expenses'!#REF!</definedName>
    <definedName name="_600_STAFF">'[5]Plant Operating Expenses'!#REF!</definedName>
    <definedName name="_700_ACID__100" localSheetId="1">'[6]Plant Operating Expenses'!#REF!</definedName>
    <definedName name="_700_ACID__100">'[5]Plant Operating Expenses'!#REF!</definedName>
    <definedName name="_700_AREA_TOTAL" localSheetId="1">'[6]Plant Operating Expenses'!#REF!</definedName>
    <definedName name="_700_AREA_TOTAL">'[5]Plant Operating Expenses'!#REF!</definedName>
    <definedName name="_700_AREA_TOTAL_LBCu" localSheetId="1">'[6]Plant Operating Expenses'!#REF!</definedName>
    <definedName name="_700_AREA_TOTAL_LBCu">'[5]Plant Operating Expenses'!#REF!</definedName>
    <definedName name="_700_ELECTRICAL_POWER" localSheetId="1">'[6]Plant Operating Expenses'!#REF!</definedName>
    <definedName name="_700_ELECTRICAL_POWER">'[5]Plant Operating Expenses'!#REF!</definedName>
    <definedName name="_700_LEACH_SOLUTION_HANDLING" localSheetId="1">'[6]Plant Operating Expenses'!#REF!</definedName>
    <definedName name="_700_LEACH_SOLUTION_HANDLING">'[5]Plant Operating Expenses'!#REF!</definedName>
    <definedName name="_700_MAINTENANCE_SERVICES_CONTRACT" localSheetId="1">'[6]Plant Operating Expenses'!#REF!</definedName>
    <definedName name="_700_MAINTENANCE_SERVICES_CONTRACT">'[5]Plant Operating Expenses'!#REF!</definedName>
    <definedName name="_700_MAINTENANCE_SUPPLIES" localSheetId="1">'[6]Plant Operating Expenses'!#REF!</definedName>
    <definedName name="_700_MAINTENANCE_SUPPLIES">'[5]Plant Operating Expenses'!#REF!</definedName>
    <definedName name="_700_MISCELANEOUS" localSheetId="1">'[6]Plant Operating Expenses'!#REF!</definedName>
    <definedName name="_700_MISCELANEOUS">'[5]Plant Operating Expenses'!#REF!</definedName>
    <definedName name="_700_OPERATING_SUPPLIES" localSheetId="1">'[6]Plant Operating Expenses'!#REF!</definedName>
    <definedName name="_700_OPERATING_SUPPLIES">'[5]Plant Operating Expenses'!#REF!</definedName>
    <definedName name="_700_OPERATIONS" localSheetId="1">'[6]Plant Operating Expenses'!#REF!</definedName>
    <definedName name="_700_OPERATIONS">'[5]Plant Operating Expenses'!#REF!</definedName>
    <definedName name="_700_PERSONNEL" localSheetId="1">'[6]Plant Operating Expenses'!#REF!</definedName>
    <definedName name="_700_PERSONNEL">'[5]Plant Operating Expenses'!#REF!</definedName>
    <definedName name="_700_PIPE_INSTALLATION_CONTRACT" localSheetId="1">'[6]Plant Operating Expenses'!#REF!</definedName>
    <definedName name="_700_PIPE_INSTALLATION_CONTRACT">'[5]Plant Operating Expenses'!#REF!</definedName>
    <definedName name="_700_STAFF" localSheetId="1">'[6]Plant Operating Expenses'!#REF!</definedName>
    <definedName name="_700_STAFF">'[5]Plant Operating Expenses'!#REF!</definedName>
    <definedName name="_700_WATER" localSheetId="1">'[6]Plant Operating Expenses'!#REF!</definedName>
    <definedName name="_700_WATER">'[5]Plant Operating Expenses'!#REF!</definedName>
    <definedName name="_alt1" localSheetId="4">#REF!</definedName>
    <definedName name="_alt1" localSheetId="6">#REF!</definedName>
    <definedName name="_alt1">#REF!</definedName>
    <definedName name="_alt2" localSheetId="4">#REF!</definedName>
    <definedName name="_alt2" localSheetId="6">#REF!</definedName>
    <definedName name="_alt2">#REF!</definedName>
    <definedName name="_DAT1" localSheetId="4">#REF!</definedName>
    <definedName name="_DAT1" localSheetId="6">#REF!</definedName>
    <definedName name="_DAT1">#REF!</definedName>
    <definedName name="_DAT2" localSheetId="4">#REF!</definedName>
    <definedName name="_DAT2" localSheetId="6">#REF!</definedName>
    <definedName name="_DAT2">#REF!</definedName>
    <definedName name="_DAT3" localSheetId="4">#REF!</definedName>
    <definedName name="_DAT3" localSheetId="6">#REF!</definedName>
    <definedName name="_DAT3">#REF!</definedName>
    <definedName name="_DAT4" localSheetId="4">#REF!</definedName>
    <definedName name="_DAT4" localSheetId="6">#REF!</definedName>
    <definedName name="_DAT4">#REF!</definedName>
    <definedName name="_DAT5" localSheetId="4">#REF!</definedName>
    <definedName name="_DAT5" localSheetId="6">#REF!</definedName>
    <definedName name="_DAT5">#REF!</definedName>
    <definedName name="_DAT6" localSheetId="4">#REF!</definedName>
    <definedName name="_DAT6" localSheetId="6">#REF!</definedName>
    <definedName name="_DAT6">#REF!</definedName>
    <definedName name="_DAT7" localSheetId="4">#REF!</definedName>
    <definedName name="_DAT7" localSheetId="6">#REF!</definedName>
    <definedName name="_DAT7">#REF!</definedName>
    <definedName name="_DAT8" localSheetId="4">#REF!</definedName>
    <definedName name="_DAT8" localSheetId="6">#REF!</definedName>
    <definedName name="_DAT8">#REF!</definedName>
    <definedName name="_DAT88" localSheetId="4">[7]Mat_TM345_601570!#REF!</definedName>
    <definedName name="_DAT88" localSheetId="1">[8]Mat_TM345_601570!#REF!</definedName>
    <definedName name="_DAT88" localSheetId="6">[7]Mat_TM345_601570!#REF!</definedName>
    <definedName name="_DAT88">[7]Mat_TM345_601570!#REF!</definedName>
    <definedName name="_DVC4" localSheetId="4">[1]GENERAL!#REF!</definedName>
    <definedName name="_DVC4" localSheetId="1">[2]GENERAL!#REF!</definedName>
    <definedName name="_DVC4" localSheetId="6">[1]GENERAL!#REF!</definedName>
    <definedName name="_DVC4">[1]GENERAL!#REF!</definedName>
    <definedName name="_Key1" localSheetId="4" hidden="1">#REF!</definedName>
    <definedName name="_Key1" localSheetId="6" hidden="1">#REF!</definedName>
    <definedName name="_Key1" hidden="1">#REF!</definedName>
    <definedName name="_Key2" localSheetId="4" hidden="1">#REF!</definedName>
    <definedName name="_Key2" localSheetId="6" hidden="1">#REF!</definedName>
    <definedName name="_Key2" hidden="1">#REF!</definedName>
    <definedName name="_Order1" hidden="1">255</definedName>
    <definedName name="_Order2" hidden="1">255</definedName>
    <definedName name="_PA1" localSheetId="4">#REF!</definedName>
    <definedName name="_PA1" localSheetId="6">#REF!</definedName>
    <definedName name="_PA1">#REF!</definedName>
    <definedName name="_PA10" localSheetId="4">#REF!</definedName>
    <definedName name="_PA10" localSheetId="6">#REF!</definedName>
    <definedName name="_PA10">#REF!</definedName>
    <definedName name="_PA11" localSheetId="4">#REF!</definedName>
    <definedName name="_PA11" localSheetId="6">#REF!</definedName>
    <definedName name="_PA11">#REF!</definedName>
    <definedName name="_PA12" localSheetId="4">#REF!</definedName>
    <definedName name="_PA12" localSheetId="6">#REF!</definedName>
    <definedName name="_PA12">#REF!</definedName>
    <definedName name="_PA13" localSheetId="4">#REF!</definedName>
    <definedName name="_PA13" localSheetId="6">#REF!</definedName>
    <definedName name="_PA13">#REF!</definedName>
    <definedName name="_PA14" localSheetId="4">#REF!</definedName>
    <definedName name="_PA14" localSheetId="6">#REF!</definedName>
    <definedName name="_PA14">#REF!</definedName>
    <definedName name="_PA15" localSheetId="4">#REF!</definedName>
    <definedName name="_PA15" localSheetId="6">#REF!</definedName>
    <definedName name="_PA15">#REF!</definedName>
    <definedName name="_PA16" localSheetId="4">#REF!</definedName>
    <definedName name="_PA16" localSheetId="6">#REF!</definedName>
    <definedName name="_PA16">#REF!</definedName>
    <definedName name="_PA17" localSheetId="4">#REF!</definedName>
    <definedName name="_PA17" localSheetId="6">#REF!</definedName>
    <definedName name="_PA17">#REF!</definedName>
    <definedName name="_PA18" localSheetId="4">#REF!</definedName>
    <definedName name="_PA18" localSheetId="6">#REF!</definedName>
    <definedName name="_PA18">#REF!</definedName>
    <definedName name="_PA19" localSheetId="4">#REF!</definedName>
    <definedName name="_PA19" localSheetId="6">#REF!</definedName>
    <definedName name="_PA19">#REF!</definedName>
    <definedName name="_PA2" localSheetId="4">#REF!</definedName>
    <definedName name="_PA2" localSheetId="6">#REF!</definedName>
    <definedName name="_PA2">#REF!</definedName>
    <definedName name="_PA3" localSheetId="4">#REF!</definedName>
    <definedName name="_PA3" localSheetId="6">#REF!</definedName>
    <definedName name="_PA3">#REF!</definedName>
    <definedName name="_PA4" localSheetId="4">#REF!</definedName>
    <definedName name="_PA4" localSheetId="6">#REF!</definedName>
    <definedName name="_PA4">#REF!</definedName>
    <definedName name="_PA5" localSheetId="4">#REF!</definedName>
    <definedName name="_PA5" localSheetId="6">#REF!</definedName>
    <definedName name="_PA5">#REF!</definedName>
    <definedName name="_PA6" localSheetId="4">#REF!</definedName>
    <definedName name="_PA6" localSheetId="6">#REF!</definedName>
    <definedName name="_PA6">#REF!</definedName>
    <definedName name="_PA7" localSheetId="4">#REF!</definedName>
    <definedName name="_PA7" localSheetId="6">#REF!</definedName>
    <definedName name="_PA7">#REF!</definedName>
    <definedName name="_PA8" localSheetId="4">#REF!</definedName>
    <definedName name="_PA8" localSheetId="6">#REF!</definedName>
    <definedName name="_PA8">#REF!</definedName>
    <definedName name="_PA9" localSheetId="4">#REF!</definedName>
    <definedName name="_PA9" localSheetId="6">#REF!</definedName>
    <definedName name="_PA9">#REF!</definedName>
    <definedName name="_Parse_In" localSheetId="4" hidden="1">#REF!</definedName>
    <definedName name="_Parse_In" localSheetId="6" hidden="1">#REF!</definedName>
    <definedName name="_Parse_In" hidden="1">#REF!</definedName>
    <definedName name="_Parse_Out" localSheetId="4" hidden="1">#REF!</definedName>
    <definedName name="_Parse_Out" localSheetId="6" hidden="1">#REF!</definedName>
    <definedName name="_Parse_Out" hidden="1">#REF!</definedName>
    <definedName name="_pc95" localSheetId="4">#REF!</definedName>
    <definedName name="_pc95" localSheetId="6">#REF!</definedName>
    <definedName name="_pc95">#REF!</definedName>
    <definedName name="_pc96" localSheetId="4">#REF!</definedName>
    <definedName name="_pc96" localSheetId="6">#REF!</definedName>
    <definedName name="_pc96">#REF!</definedName>
    <definedName name="_Regression_Out" localSheetId="4" hidden="1">[9]Condicion!#REF!</definedName>
    <definedName name="_Regression_Out" localSheetId="1" hidden="1">[10]Condicion!#REF!</definedName>
    <definedName name="_Regression_Out" localSheetId="6" hidden="1">[9]Condicion!#REF!</definedName>
    <definedName name="_Regression_Out" hidden="1">[9]Condicion!#REF!</definedName>
    <definedName name="_Regression_X" localSheetId="4" hidden="1">[9]Condicion!#REF!</definedName>
    <definedName name="_Regression_X" localSheetId="1" hidden="1">[10]Condicion!#REF!</definedName>
    <definedName name="_Regression_X" localSheetId="6" hidden="1">[9]Condicion!#REF!</definedName>
    <definedName name="_Regression_X" hidden="1">[9]Condicion!#REF!</definedName>
    <definedName name="_Regression_Y" localSheetId="4" hidden="1">[9]Condicion!#REF!</definedName>
    <definedName name="_Regression_Y" localSheetId="1" hidden="1">[10]Condicion!#REF!</definedName>
    <definedName name="_Regression_Y" localSheetId="6" hidden="1">[9]Condicion!#REF!</definedName>
    <definedName name="_Regression_Y" hidden="1">[9]Condicion!#REF!</definedName>
    <definedName name="_res1" localSheetId="1">'[11]Resumen Ejec'!$B$2:$G$66</definedName>
    <definedName name="_res1">'[12]Resumen Ejec'!$B$2:$G$66</definedName>
    <definedName name="_res2" localSheetId="1">'[11]Resumen Ejec'!$B$70:$G$125</definedName>
    <definedName name="_res2">'[12]Resumen Ejec'!$B$70:$G$125</definedName>
    <definedName name="_res3" localSheetId="1">'[11]Resumen Ejec'!$B$142:$E$189</definedName>
    <definedName name="_res3">'[12]Resumen Ejec'!$B$142:$E$189</definedName>
    <definedName name="_res4" localSheetId="1">'[11]Resumen Ejec'!$B$198:$D$261</definedName>
    <definedName name="_res4">'[12]Resumen Ejec'!$B$198:$D$261</definedName>
    <definedName name="_Sort" localSheetId="4" hidden="1">#REF!</definedName>
    <definedName name="_Sort" localSheetId="6" hidden="1">#REF!</definedName>
    <definedName name="_Sort" hidden="1">#REF!</definedName>
    <definedName name="A" localSheetId="4" hidden="1">{"DETALLE_1996",#N/A,FALSE,"flujo";"DETALLE_1997",#N/A,FALSE,"flujo";"GASTOS_INCURRIDOS_1996",#N/A,FALSE,"flujo";"GASTOS_PROGRAMADOS_PARA_1997",#N/A,FALSE,"flujo";#N/A,#N/A,FALSE,"comparat";#N/A,#N/A,FALSE,"costos";#N/A,#N/A,FALSE,"proyctrol"}</definedName>
    <definedName name="A" localSheetId="1" hidden="1">{"DETALLE_1996",#N/A,FALSE,"flujo";"DETALLE_1997",#N/A,FALSE,"flujo";"GASTOS_INCURRIDOS_1996",#N/A,FALSE,"flujo";"GASTOS_PROGRAMADOS_PARA_1997",#N/A,FALSE,"flujo";#N/A,#N/A,FALSE,"comparat";#N/A,#N/A,FALSE,"costos";#N/A,#N/A,FALSE,"proyctrol"}</definedName>
    <definedName name="A" localSheetId="6" hidden="1">{"DETALLE_1996",#N/A,FALSE,"flujo";"DETALLE_1997",#N/A,FALSE,"flujo";"GASTOS_INCURRIDOS_1996",#N/A,FALSE,"flujo";"GASTOS_PROGRAMADOS_PARA_1997",#N/A,FALSE,"flujo";#N/A,#N/A,FALSE,"comparat";#N/A,#N/A,FALSE,"costos";#N/A,#N/A,FALSE,"proyctrol"}</definedName>
    <definedName name="A" hidden="1">{"DETALLE_1996",#N/A,FALSE,"flujo";"DETALLE_1997",#N/A,FALSE,"flujo";"GASTOS_INCURRIDOS_1996",#N/A,FALSE,"flujo";"GASTOS_PROGRAMADOS_PARA_1997",#N/A,FALSE,"flujo";#N/A,#N/A,FALSE,"comparat";#N/A,#N/A,FALSE,"costos";#N/A,#N/A,FALSE,"proyctrol"}</definedName>
    <definedName name="A_impresión_IM">#REF!</definedName>
    <definedName name="AA" localSheetId="4" hidden="1">{"DETALLE_1996",#N/A,FALSE,"flujo";"DETALLE_1997",#N/A,FALSE,"flujo";"GASTOS_INCURRIDOS_1996",#N/A,FALSE,"flujo";"GASTOS_PROGRAMADOS_PARA_1997",#N/A,FALSE,"flujo";#N/A,#N/A,FALSE,"comparat";#N/A,#N/A,FALSE,"costos";#N/A,#N/A,FALSE,"proyctrol"}</definedName>
    <definedName name="AA" localSheetId="1" hidden="1">{"DETALLE_1996",#N/A,FALSE,"flujo";"DETALLE_1997",#N/A,FALSE,"flujo";"GASTOS_INCURRIDOS_1996",#N/A,FALSE,"flujo";"GASTOS_PROGRAMADOS_PARA_1997",#N/A,FALSE,"flujo";#N/A,#N/A,FALSE,"comparat";#N/A,#N/A,FALSE,"costos";#N/A,#N/A,FALSE,"proyctrol"}</definedName>
    <definedName name="AA" localSheetId="6" hidden="1">{"DETALLE_1996",#N/A,FALSE,"flujo";"DETALLE_1997",#N/A,FALSE,"flujo";"GASTOS_INCURRIDOS_1996",#N/A,FALSE,"flujo";"GASTOS_PROGRAMADOS_PARA_1997",#N/A,FALSE,"flujo";#N/A,#N/A,FALSE,"comparat";#N/A,#N/A,FALSE,"costos";#N/A,#N/A,FALSE,"proyctrol"}</definedName>
    <definedName name="AA" hidden="1">{"DETALLE_1996",#N/A,FALSE,"flujo";"DETALLE_1997",#N/A,FALSE,"flujo";"GASTOS_INCURRIDOS_1996",#N/A,FALSE,"flujo";"GASTOS_PROGRAMADOS_PARA_1997",#N/A,FALSE,"flujo";#N/A,#N/A,FALSE,"comparat";#N/A,#N/A,FALSE,"costos";#N/A,#N/A,FALSE,"proyctrol"}</definedName>
    <definedName name="AAA" localSheetId="4" hidden="1">{"DETALLE_1996",#N/A,FALSE,"flujo";"DETALLE_1997",#N/A,FALSE,"flujo";"GASTOS_INCURRIDOS_1996",#N/A,FALSE,"flujo";"GASTOS_PROGRAMADOS_PARA_1997",#N/A,FALSE,"flujo";#N/A,#N/A,FALSE,"comparat";#N/A,#N/A,FALSE,"costos";#N/A,#N/A,FALSE,"proyctrol"}</definedName>
    <definedName name="AAA" localSheetId="1" hidden="1">{"DETALLE_1996",#N/A,FALSE,"flujo";"DETALLE_1997",#N/A,FALSE,"flujo";"GASTOS_INCURRIDOS_1996",#N/A,FALSE,"flujo";"GASTOS_PROGRAMADOS_PARA_1997",#N/A,FALSE,"flujo";#N/A,#N/A,FALSE,"comparat";#N/A,#N/A,FALSE,"costos";#N/A,#N/A,FALSE,"proyctrol"}</definedName>
    <definedName name="AAA" localSheetId="6" hidden="1">{"DETALLE_1996",#N/A,FALSE,"flujo";"DETALLE_1997",#N/A,FALSE,"flujo";"GASTOS_INCURRIDOS_1996",#N/A,FALSE,"flujo";"GASTOS_PROGRAMADOS_PARA_1997",#N/A,FALSE,"flujo";#N/A,#N/A,FALSE,"comparat";#N/A,#N/A,FALSE,"costos";#N/A,#N/A,FALSE,"proyctrol"}</definedName>
    <definedName name="AAA" hidden="1">{"DETALLE_1996",#N/A,FALSE,"flujo";"DETALLE_1997",#N/A,FALSE,"flujo";"GASTOS_INCURRIDOS_1996",#N/A,FALSE,"flujo";"GASTOS_PROGRAMADOS_PARA_1997",#N/A,FALSE,"flujo";#N/A,#N/A,FALSE,"comparat";#N/A,#N/A,FALSE,"costos";#N/A,#N/A,FALSE,"proyctrol"}</definedName>
    <definedName name="AAAAA" localSheetId="4" hidden="1">{"DETALLE_1996",#N/A,FALSE,"flujo";"DETALLE_1997",#N/A,FALSE,"flujo";"GASTOS_INCURRIDOS_1996",#N/A,FALSE,"flujo";"GASTOS_PROGRAMADOS_PARA_1997",#N/A,FALSE,"flujo";#N/A,#N/A,FALSE,"comparat";#N/A,#N/A,FALSE,"costos";#N/A,#N/A,FALSE,"proyctrol"}</definedName>
    <definedName name="AAAAA" localSheetId="1" hidden="1">{"DETALLE_1996",#N/A,FALSE,"flujo";"DETALLE_1997",#N/A,FALSE,"flujo";"GASTOS_INCURRIDOS_1996",#N/A,FALSE,"flujo";"GASTOS_PROGRAMADOS_PARA_1997",#N/A,FALSE,"flujo";#N/A,#N/A,FALSE,"comparat";#N/A,#N/A,FALSE,"costos";#N/A,#N/A,FALSE,"proyctrol"}</definedName>
    <definedName name="AAAAA" localSheetId="6" hidden="1">{"DETALLE_1996",#N/A,FALSE,"flujo";"DETALLE_1997",#N/A,FALSE,"flujo";"GASTOS_INCURRIDOS_1996",#N/A,FALSE,"flujo";"GASTOS_PROGRAMADOS_PARA_1997",#N/A,FALSE,"flujo";#N/A,#N/A,FALSE,"comparat";#N/A,#N/A,FALSE,"costos";#N/A,#N/A,FALSE,"proyctrol"}</definedName>
    <definedName name="AAAAA" hidden="1">{"DETALLE_1996",#N/A,FALSE,"flujo";"DETALLE_1997",#N/A,FALSE,"flujo";"GASTOS_INCURRIDOS_1996",#N/A,FALSE,"flujo";"GASTOS_PROGRAMADOS_PARA_1997",#N/A,FALSE,"flujo";#N/A,#N/A,FALSE,"comparat";#N/A,#N/A,FALSE,"costos";#N/A,#N/A,FALSE,"proyctrol"}</definedName>
    <definedName name="ab"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macum">#REF!</definedName>
    <definedName name="admacummes" localSheetId="4">#REF!</definedName>
    <definedName name="admacummes" localSheetId="6">#REF!</definedName>
    <definedName name="admacummes">#REF!</definedName>
    <definedName name="admacumppto" localSheetId="4">#REF!</definedName>
    <definedName name="admacumppto" localSheetId="6">#REF!</definedName>
    <definedName name="admacumppto">#REF!</definedName>
    <definedName name="admacumreal" localSheetId="4">#REF!</definedName>
    <definedName name="admacumreal" localSheetId="6">#REF!</definedName>
    <definedName name="admacumreal">#REF!</definedName>
    <definedName name="admaño" localSheetId="4">#REF!</definedName>
    <definedName name="admaño" localSheetId="6">#REF!</definedName>
    <definedName name="admaño">#REF!</definedName>
    <definedName name="admañoppto" localSheetId="4">#REF!</definedName>
    <definedName name="admañoppto" localSheetId="6">#REF!</definedName>
    <definedName name="admañoppto">#REF!</definedName>
    <definedName name="admmes" localSheetId="4">#REF!</definedName>
    <definedName name="admmes" localSheetId="6">#REF!</definedName>
    <definedName name="admmes">#REF!</definedName>
    <definedName name="admmesppto" localSheetId="4">#REF!</definedName>
    <definedName name="admmesppto" localSheetId="6">#REF!</definedName>
    <definedName name="admmesppto">#REF!</definedName>
    <definedName name="agua"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rtas">#REF!</definedName>
    <definedName name="alex"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nnual_Grade_A_Discount" localSheetId="1">'[6]Total Op Costs'!#REF!</definedName>
    <definedName name="Annual_Grade_A_Discount">'[5]Total Op Costs'!#REF!</definedName>
    <definedName name="Annual_Standard_Discount" localSheetId="1">'[6]Total Op Costs'!#REF!</definedName>
    <definedName name="Annual_Standard_Discount">'[5]Total Op Costs'!#REF!</definedName>
    <definedName name="anscount" hidden="1">1</definedName>
    <definedName name="AP_KEY01" localSheetId="1">[13]AP!$B$6:$Z$296</definedName>
    <definedName name="AP_KEY01">[14]AP!$B$6:$Z$296</definedName>
    <definedName name="Apisap">#REF!</definedName>
    <definedName name="AR_KEY01" localSheetId="1">[13]AR!$B$6:$Z$296</definedName>
    <definedName name="AR_KEY01">[14]AR!$B$6:$Z$296</definedName>
    <definedName name="AREA">#REF!</definedName>
    <definedName name="_xlnm.Print_Area" localSheetId="5">' HALLAZGOS DOC RESSO'!$A$1:$F$38</definedName>
    <definedName name="_xlnm.Print_Area" localSheetId="4">COMENTARIOS!$A$1:$F$99</definedName>
    <definedName name="_xlnm.Print_Area" localSheetId="0">'EVALUACION RESSO EECC'!$A$1:$J$103</definedName>
    <definedName name="_xlnm.Print_Area" localSheetId="8">'GRÁFICO '!$A$1:$L$73</definedName>
    <definedName name="_xlnm.Print_Area" localSheetId="7">'HALLAZGO EN TERRENO'!$A$1:$F$30</definedName>
    <definedName name="_xlnm.Print_Area" localSheetId="2">'Implementacion SIGO'!$A$1:$G$96</definedName>
    <definedName name="_xlnm.Print_Area" localSheetId="3">'Implementacion y Operacion'!$A$1:$G$47</definedName>
    <definedName name="_xlnm.Print_Area" localSheetId="1">'PLAN DE ACCION RESSO '!$A$1:$M$12</definedName>
    <definedName name="_xlnm.Print_Area" localSheetId="6">'VERIFICACIÓN EN TERRENO'!$A$1:$G$47</definedName>
    <definedName name="_xlnm.Print_Area">#REF!</definedName>
    <definedName name="AREA2" localSheetId="4">#REF!</definedName>
    <definedName name="AREA2" localSheetId="6">#REF!</definedName>
    <definedName name="AREA2">#REF!</definedName>
    <definedName name="area4" localSheetId="4">#REF!</definedName>
    <definedName name="area4" localSheetId="6">#REF!</definedName>
    <definedName name="area4">#REF!</definedName>
    <definedName name="areaimp" localSheetId="4">#REF!</definedName>
    <definedName name="areaimp" localSheetId="6">#REF!</definedName>
    <definedName name="areaimp">#REF!</definedName>
    <definedName name="ARSENICO" localSheetId="4">[15]Global!#REF!</definedName>
    <definedName name="ARSENICO" localSheetId="1">[16]Global!#REF!</definedName>
    <definedName name="ARSENICO" localSheetId="6">[15]Global!#REF!</definedName>
    <definedName name="ARSENICO">[15]Global!#REF!</definedName>
    <definedName name="ASASA" localSheetId="4" hidden="1">{"DETALLE_1996",#N/A,FALSE,"flujo";"DETALLE_1997",#N/A,FALSE,"flujo";"GASTOS_INCURRIDOS_1996",#N/A,FALSE,"flujo";"GASTOS_PROGRAMADOS_PARA_1997",#N/A,FALSE,"flujo";#N/A,#N/A,FALSE,"comparat";#N/A,#N/A,FALSE,"costos";#N/A,#N/A,FALSE,"proyctrol"}</definedName>
    <definedName name="ASASA" localSheetId="1" hidden="1">{"DETALLE_1996",#N/A,FALSE,"flujo";"DETALLE_1997",#N/A,FALSE,"flujo";"GASTOS_INCURRIDOS_1996",#N/A,FALSE,"flujo";"GASTOS_PROGRAMADOS_PARA_1997",#N/A,FALSE,"flujo";#N/A,#N/A,FALSE,"comparat";#N/A,#N/A,FALSE,"costos";#N/A,#N/A,FALSE,"proyctrol"}</definedName>
    <definedName name="ASASA" localSheetId="6" hidden="1">{"DETALLE_1996",#N/A,FALSE,"flujo";"DETALLE_1997",#N/A,FALSE,"flujo";"GASTOS_INCURRIDOS_1996",#N/A,FALSE,"flujo";"GASTOS_PROGRAMADOS_PARA_1997",#N/A,FALSE,"flujo";#N/A,#N/A,FALSE,"comparat";#N/A,#N/A,FALSE,"costos";#N/A,#N/A,FALSE,"proyctrol"}</definedName>
    <definedName name="ASASA" hidden="1">{"DETALLE_1996",#N/A,FALSE,"flujo";"DETALLE_1997",#N/A,FALSE,"flujo";"GASTOS_INCURRIDOS_1996",#N/A,FALSE,"flujo";"GASTOS_PROGRAMADOS_PARA_1997",#N/A,FALSE,"flujo";#N/A,#N/A,FALSE,"comparat";#N/A,#N/A,FALSE,"costos";#N/A,#N/A,FALSE,"proyctrol"}</definedName>
    <definedName name="ASASASAS" localSheetId="4" hidden="1">{"DETALLE_1996",#N/A,FALSE,"flujo";"DETALLE_1997",#N/A,FALSE,"flujo";"GASTOS_INCURRIDOS_1996",#N/A,FALSE,"flujo";"GASTOS_PROGRAMADOS_PARA_1997",#N/A,FALSE,"flujo";#N/A,#N/A,FALSE,"comparat";#N/A,#N/A,FALSE,"costos";#N/A,#N/A,FALSE,"proyctrol"}</definedName>
    <definedName name="ASASASAS" localSheetId="1" hidden="1">{"DETALLE_1996",#N/A,FALSE,"flujo";"DETALLE_1997",#N/A,FALSE,"flujo";"GASTOS_INCURRIDOS_1996",#N/A,FALSE,"flujo";"GASTOS_PROGRAMADOS_PARA_1997",#N/A,FALSE,"flujo";#N/A,#N/A,FALSE,"comparat";#N/A,#N/A,FALSE,"costos";#N/A,#N/A,FALSE,"proyctrol"}</definedName>
    <definedName name="ASASASAS" localSheetId="6" hidden="1">{"DETALLE_1996",#N/A,FALSE,"flujo";"DETALLE_1997",#N/A,FALSE,"flujo";"GASTOS_INCURRIDOS_1996",#N/A,FALSE,"flujo";"GASTOS_PROGRAMADOS_PARA_1997",#N/A,FALSE,"flujo";#N/A,#N/A,FALSE,"comparat";#N/A,#N/A,FALSE,"costos";#N/A,#N/A,FALSE,"proyctrol"}</definedName>
    <definedName name="ASASASAS" hidden="1">{"DETALLE_1996",#N/A,FALSE,"flujo";"DETALLE_1997",#N/A,FALSE,"flujo";"GASTOS_INCURRIDOS_1996",#N/A,FALSE,"flujo";"GASTOS_PROGRAMADOS_PARA_1997",#N/A,FALSE,"flujo";#N/A,#N/A,FALSE,"comparat";#N/A,#N/A,FALSE,"costos";#N/A,#N/A,FALSE,"proyctrol"}</definedName>
    <definedName name="b" localSheetId="4" hidden="1">{"DETALLE_1996",#N/A,FALSE,"flujo";"DETALLE_1997",#N/A,FALSE,"flujo";"GASTOS_INCURRIDOS_1996",#N/A,FALSE,"flujo";"GASTOS_PROGRAMADOS_PARA_1997",#N/A,FALSE,"flujo";#N/A,#N/A,FALSE,"comparat";#N/A,#N/A,FALSE,"costos";#N/A,#N/A,FALSE,"proyctrol"}</definedName>
    <definedName name="b" localSheetId="1" hidden="1">{"DETALLE_1996",#N/A,FALSE,"flujo";"DETALLE_1997",#N/A,FALSE,"flujo";"GASTOS_INCURRIDOS_1996",#N/A,FALSE,"flujo";"GASTOS_PROGRAMADOS_PARA_1997",#N/A,FALSE,"flujo";#N/A,#N/A,FALSE,"comparat";#N/A,#N/A,FALSE,"costos";#N/A,#N/A,FALSE,"proyctrol"}</definedName>
    <definedName name="b" localSheetId="6" hidden="1">{"DETALLE_1996",#N/A,FALSE,"flujo";"DETALLE_1997",#N/A,FALSE,"flujo";"GASTOS_INCURRIDOS_1996",#N/A,FALSE,"flujo";"GASTOS_PROGRAMADOS_PARA_1997",#N/A,FALSE,"flujo";#N/A,#N/A,FALSE,"comparat";#N/A,#N/A,FALSE,"costos";#N/A,#N/A,FALSE,"proyctrol"}</definedName>
    <definedName name="b" hidden="1">{"DETALLE_1996",#N/A,FALSE,"flujo";"DETALLE_1997",#N/A,FALSE,"flujo";"GASTOS_INCURRIDOS_1996",#N/A,FALSE,"flujo";"GASTOS_PROGRAMADOS_PARA_1997",#N/A,FALSE,"flujo";#N/A,#N/A,FALSE,"comparat";#N/A,#N/A,FALSE,"costos";#N/A,#N/A,FALSE,"proyctrol"}</definedName>
    <definedName name="base">#REF!</definedName>
    <definedName name="Base_de_ventas" localSheetId="1">[2]GENERAL!$A$8:$U$2047</definedName>
    <definedName name="Base_de_ventas">[1]GENERAL!$A$8:$U$2047</definedName>
    <definedName name="Base_Mon" localSheetId="1">[13]FACT!$D$12</definedName>
    <definedName name="Base_Mon">[14]FACT!$D$12</definedName>
    <definedName name="_xlnm.Database">#REF!</definedName>
    <definedName name="baseevc" localSheetId="1">[2]GENERAL!$B$2:$AY$537</definedName>
    <definedName name="baseevc">[1]GENERAL!$B$2:$AY$537</definedName>
    <definedName name="Basic_Data" localSheetId="1">'[6]Cash Flows'!#REF!</definedName>
    <definedName name="Basic_Data">'[5]Cash Flows'!#REF!</definedName>
    <definedName name="batacum">#REF!</definedName>
    <definedName name="batacummes" localSheetId="4">#REF!</definedName>
    <definedName name="batacummes" localSheetId="6">#REF!</definedName>
    <definedName name="batacummes">#REF!</definedName>
    <definedName name="batacumppto" localSheetId="4">#REF!</definedName>
    <definedName name="batacumppto" localSheetId="6">#REF!</definedName>
    <definedName name="batacumppto">#REF!</definedName>
    <definedName name="batacumreal" localSheetId="4">#REF!</definedName>
    <definedName name="batacumreal" localSheetId="6">#REF!</definedName>
    <definedName name="batacumreal">#REF!</definedName>
    <definedName name="bataño" localSheetId="4">#REF!</definedName>
    <definedName name="bataño" localSheetId="6">#REF!</definedName>
    <definedName name="bataño">#REF!</definedName>
    <definedName name="batañoppto" localSheetId="4">#REF!</definedName>
    <definedName name="batañoppto" localSheetId="6">#REF!</definedName>
    <definedName name="batañoppto">#REF!</definedName>
    <definedName name="batmes" localSheetId="4">#REF!</definedName>
    <definedName name="batmes" localSheetId="6">#REF!</definedName>
    <definedName name="batmes">#REF!</definedName>
    <definedName name="batmesppto" localSheetId="4">#REF!</definedName>
    <definedName name="batmesppto" localSheetId="6">#REF!</definedName>
    <definedName name="batmesppto">#REF!</definedName>
    <definedName name="C_fin" localSheetId="4">#REF!</definedName>
    <definedName name="C_fin" localSheetId="6">#REF!</definedName>
    <definedName name="C_fin">#REF!</definedName>
    <definedName name="CALC_01" localSheetId="1">[13]DIF!$B$5:$CT$109</definedName>
    <definedName name="CALC_01">[14]DIF!$B$5:$CT$109</definedName>
    <definedName name="CALC_02" localSheetId="1">[13]DIF!$B$111:$CB$115</definedName>
    <definedName name="CALC_02">[14]DIF!$B$111:$CB$115</definedName>
    <definedName name="CALC_AP_CMES" localSheetId="1">[13]DIF!$BD$5:$BD$99</definedName>
    <definedName name="CALC_AP_CMES">[14]DIF!$BD$5:$BD$99</definedName>
    <definedName name="CALC_AR_CMES" localSheetId="1">[13]DIF!$BE$5:$BE$99</definedName>
    <definedName name="CALC_AR_CMES">[14]DIF!$BE$5:$BE$99</definedName>
    <definedName name="CALC_CAT" localSheetId="1">[13]DIF!$C$5:$C$99</definedName>
    <definedName name="CALC_CAT">[14]DIF!$C$5:$C$99</definedName>
    <definedName name="CALC_POND" localSheetId="1">[13]DIF!$BK$5:$BK$99</definedName>
    <definedName name="CALC_POND">[14]DIF!$BK$5:$BK$99</definedName>
    <definedName name="CAMBIAR" localSheetId="1">'[17]PMG 1'!$F$53:$S$57,'[17]PMG 1'!$C$50:$D$50,'[17]PMG 1'!$C$52:$D$52,'[17]PMG 1'!$F$26:$S$36,'[17]PMG 1'!$D$5:$M$9</definedName>
    <definedName name="CAMBIAR">'[18]PMG 1'!$F$53:$S$57,'[18]PMG 1'!$C$50:$D$50,'[18]PMG 1'!$C$52:$D$52,'[18]PMG 1'!$F$26:$S$36,'[18]PMG 1'!$D$5:$M$9</definedName>
    <definedName name="CAR_DAT">#REF!</definedName>
    <definedName name="caracum" localSheetId="4">#REF!</definedName>
    <definedName name="caracum" localSheetId="6">#REF!</definedName>
    <definedName name="caracum">#REF!</definedName>
    <definedName name="caracummes" localSheetId="4">#REF!</definedName>
    <definedName name="caracummes" localSheetId="6">#REF!</definedName>
    <definedName name="caracummes">#REF!</definedName>
    <definedName name="caracumppto" localSheetId="4">#REF!</definedName>
    <definedName name="caracumppto" localSheetId="6">#REF!</definedName>
    <definedName name="caracumppto">#REF!</definedName>
    <definedName name="caracumreal" localSheetId="4">#REF!</definedName>
    <definedName name="caracumreal" localSheetId="6">#REF!</definedName>
    <definedName name="caracumreal">#REF!</definedName>
    <definedName name="caraño" localSheetId="4">#REF!</definedName>
    <definedName name="caraño" localSheetId="6">#REF!</definedName>
    <definedName name="caraño">#REF!</definedName>
    <definedName name="carañoppto" localSheetId="4">#REF!</definedName>
    <definedName name="carañoppto" localSheetId="6">#REF!</definedName>
    <definedName name="carañoppto">#REF!</definedName>
    <definedName name="carmes" localSheetId="4">#REF!</definedName>
    <definedName name="carmes" localSheetId="6">#REF!</definedName>
    <definedName name="carmes">#REF!</definedName>
    <definedName name="carmesppto" localSheetId="4">#REF!</definedName>
    <definedName name="carmesppto" localSheetId="6">#REF!</definedName>
    <definedName name="carmesppto">#REF!</definedName>
    <definedName name="Categoría_RESSO" localSheetId="1">[19]Lista!$B$2:$B$5</definedName>
    <definedName name="Categoría_RESSO">[20]Lista!$B$2:$B$5</definedName>
    <definedName name="CF_base">#REF!</definedName>
    <definedName name="chaacum" localSheetId="4">#REF!</definedName>
    <definedName name="chaacum" localSheetId="6">#REF!</definedName>
    <definedName name="chaacum">#REF!</definedName>
    <definedName name="chaacummes" localSheetId="4">#REF!</definedName>
    <definedName name="chaacummes" localSheetId="6">#REF!</definedName>
    <definedName name="chaacummes">#REF!</definedName>
    <definedName name="chaacumppto" localSheetId="4">#REF!</definedName>
    <definedName name="chaacumppto" localSheetId="6">#REF!</definedName>
    <definedName name="chaacumppto">#REF!</definedName>
    <definedName name="chaacumreal" localSheetId="4">#REF!</definedName>
    <definedName name="chaacumreal" localSheetId="6">#REF!</definedName>
    <definedName name="chaacumreal">#REF!</definedName>
    <definedName name="chaaño" localSheetId="4">#REF!</definedName>
    <definedName name="chaaño" localSheetId="6">#REF!</definedName>
    <definedName name="chaaño">#REF!</definedName>
    <definedName name="chaañoppto" localSheetId="4">#REF!</definedName>
    <definedName name="chaañoppto" localSheetId="6">#REF!</definedName>
    <definedName name="chaañoppto">#REF!</definedName>
    <definedName name="chames" localSheetId="4">#REF!</definedName>
    <definedName name="chames" localSheetId="6">#REF!</definedName>
    <definedName name="chames">#REF!</definedName>
    <definedName name="chamesppto" localSheetId="4">#REF!</definedName>
    <definedName name="chamesppto" localSheetId="6">#REF!</definedName>
    <definedName name="chamesppto">#REF!</definedName>
    <definedName name="CI_API" localSheetId="1">[13]CI!$G$6:$G$587</definedName>
    <definedName name="CI_API">[14]CI!$G$6:$G$587</definedName>
    <definedName name="CI_C01" localSheetId="1">[13]CI!$M$6:$M$587</definedName>
    <definedName name="CI_C01">[14]CI!$M$6:$M$587</definedName>
    <definedName name="CI_C02" localSheetId="1">[13]CI!$N$6:$N$587</definedName>
    <definedName name="CI_C02">[14]CI!$N$6:$N$587</definedName>
    <definedName name="CI_C03" localSheetId="1">[13]CI!$O$6:$O$587</definedName>
    <definedName name="CI_C03">[14]CI!$O$6:$O$587</definedName>
    <definedName name="CI_C04" localSheetId="1">[13]CI!$P$6:$P$587</definedName>
    <definedName name="CI_C04">[14]CI!$P$6:$P$587</definedName>
    <definedName name="CI_C05" localSheetId="1">[13]CI!$Q$6:$Q$587</definedName>
    <definedName name="CI_C05">[14]CI!$Q$6:$Q$587</definedName>
    <definedName name="CI_C06" localSheetId="1">[13]CI!$R$6:$R$587</definedName>
    <definedName name="CI_C06">[14]CI!$R$6:$R$587</definedName>
    <definedName name="CI_C07" localSheetId="1">[13]CI!$S$6:$S$587</definedName>
    <definedName name="CI_C07">[14]CI!$S$6:$S$587</definedName>
    <definedName name="CI_C08" localSheetId="1">[13]CI!$T$6:$T$587</definedName>
    <definedName name="CI_C08">[14]CI!$T$6:$T$587</definedName>
    <definedName name="CI_C09" localSheetId="1">[13]CI!$U$6:$U$587</definedName>
    <definedName name="CI_C09">[14]CI!$U$6:$U$587</definedName>
    <definedName name="CI_C10" localSheetId="1">[13]CI!$V$6:$V$587</definedName>
    <definedName name="CI_C10">[14]CI!$V$6:$V$587</definedName>
    <definedName name="CI_C11" localSheetId="1">[13]CI!$W$6:$W$587</definedName>
    <definedName name="CI_C11">[14]CI!$W$6:$W$587</definedName>
    <definedName name="CI_C12" localSheetId="1">[13]CI!$X$6:$X$587</definedName>
    <definedName name="CI_C12">[14]CI!$X$6:$X$587</definedName>
    <definedName name="CI_CAT" localSheetId="1">[13]CI!$H$6:$H$587</definedName>
    <definedName name="CI_CAT">[14]CI!$H$6:$H$587</definedName>
    <definedName name="CI_CMES" localSheetId="1">[13]CI!$AC$6:$AC$587</definedName>
    <definedName name="CI_CMES">[14]CI!$AC$6:$AC$587</definedName>
    <definedName name="CI_CMON" localSheetId="1">[13]CI!$AF$6:$AF$587</definedName>
    <definedName name="CI_CMON">[14]CI!$AF$6:$AF$587</definedName>
    <definedName name="CI_KEY01" localSheetId="1">[13]CI!$B$6:$AF$587</definedName>
    <definedName name="CI_KEY01">[14]CI!$B$6:$AF$587</definedName>
    <definedName name="Clase">OFFSET([21]Dand!#REF!, 0, 0, COUNTA([21]Dand!$CF$1:$CF$65536), 1)</definedName>
    <definedName name="cm">#REF!</definedName>
    <definedName name="CMON_ANT" localSheetId="1">[13]CR!$AN$6:$AN$587</definedName>
    <definedName name="CMON_ANT">[14]CR!$AN$6:$AN$587</definedName>
    <definedName name="CODIGO" localSheetId="1">[22]DISTANCIAS!$B$6:$B$577</definedName>
    <definedName name="CODIGO">[23]DISTANCIAS!$B$6:$B$577</definedName>
    <definedName name="Comparativa_Total">#REF!</definedName>
    <definedName name="Comparativa1996" localSheetId="4">#REF!</definedName>
    <definedName name="Comparativa1996" localSheetId="6">#REF!</definedName>
    <definedName name="Comparativa1996">#REF!</definedName>
    <definedName name="COMPLEJIDAD" localSheetId="4">#REF!</definedName>
    <definedName name="COMPLEJIDAD" localSheetId="6">#REF!</definedName>
    <definedName name="COMPLEJIDAD">#REF!</definedName>
    <definedName name="con" localSheetId="4">(COMENTARIOS!productionStartDate-[0]!modelYear)/365</definedName>
    <definedName name="con" localSheetId="1">('PLAN DE ACCION RESSO '!productionStartDate-'PLAN DE ACCION RESSO '!modelYear)/365</definedName>
    <definedName name="con" localSheetId="6">(COMENTARIOS!productionStartDate-[0]!modelYear)/365</definedName>
    <definedName name="con">([0]!productionStartDate-[0]!modelYear)/365</definedName>
    <definedName name="CONREC" localSheetId="4">#REF!</definedName>
    <definedName name="CONREC" localSheetId="6">#REF!</definedName>
    <definedName name="CONREC">#REF!</definedName>
    <definedName name="constructionDurationMonths" localSheetId="1">'[6]Cash Flows'!$B$126</definedName>
    <definedName name="constructionDurationMonths">'[5]Cash Flows'!$B$126</definedName>
    <definedName name="Contrato" localSheetId="1">[2]GENERAL!$A$1</definedName>
    <definedName name="Contrato">[1]GENERAL!$A$1</definedName>
    <definedName name="Copper_recovery___fixed" localSheetId="1">'[6]Cash Flows'!#REF!</definedName>
    <definedName name="Copper_recovery___fixed">'[5]Cash Flows'!#REF!</definedName>
    <definedName name="Copper_recovery___variable" localSheetId="1">'[6]Cash Flows'!#REF!</definedName>
    <definedName name="Copper_recovery___variable">'[5]Cash Flows'!#REF!</definedName>
    <definedName name="copperProductionActualAnnual" localSheetId="4">[0]!copperProductionAnnual*[0]!partialYearFactor</definedName>
    <definedName name="copperProductionActualAnnual" localSheetId="1">'PLAN DE ACCION RESSO '!copperProductionAnnual*[0]!partialYearFactor</definedName>
    <definedName name="copperProductionActualAnnual">[0]!copperProductionAnnual*[0]!partialYearFactor</definedName>
    <definedName name="copperProductionAnnual" localSheetId="1">'[6]Timing &amp; Assumptions'!$B$34</definedName>
    <definedName name="copperProductionAnnual">'[5]Timing &amp; Assumptions'!$B$34</definedName>
    <definedName name="copperProductionNominal" localSheetId="4">COMENTARIOS!copperProductionActualAnnual/[0]!copperProductionAnnual</definedName>
    <definedName name="copperProductionNominal" localSheetId="1">'PLAN DE ACCION RESSO '!copperProductionActualAnnual/'PLAN DE ACCION RESSO '!copperProductionAnnual</definedName>
    <definedName name="copperProductionNominal" localSheetId="6">COMENTARIOS!copperProductionActualAnnual/[0]!copperProductionAnnual</definedName>
    <definedName name="copperProductionNominal">[0]!copperProductionActualAnnual/[0]!copperProductionAnnual</definedName>
    <definedName name="corsblacum" localSheetId="4">#REF!</definedName>
    <definedName name="corsblacum" localSheetId="6">#REF!</definedName>
    <definedName name="corsblacum">#REF!</definedName>
    <definedName name="corsblacummes" localSheetId="4">#REF!</definedName>
    <definedName name="corsblacummes" localSheetId="6">#REF!</definedName>
    <definedName name="corsblacummes">#REF!</definedName>
    <definedName name="corsblacumppto" localSheetId="4">#REF!</definedName>
    <definedName name="corsblacumppto" localSheetId="6">#REF!</definedName>
    <definedName name="corsblacumppto">#REF!</definedName>
    <definedName name="corsblacumreal" localSheetId="4">#REF!</definedName>
    <definedName name="corsblacumreal" localSheetId="6">#REF!</definedName>
    <definedName name="corsblacumreal">#REF!</definedName>
    <definedName name="corsblaño" localSheetId="4">#REF!</definedName>
    <definedName name="corsblaño" localSheetId="6">#REF!</definedName>
    <definedName name="corsblaño">#REF!</definedName>
    <definedName name="corsblañoppto" localSheetId="4">#REF!</definedName>
    <definedName name="corsblañoppto" localSheetId="6">#REF!</definedName>
    <definedName name="corsblañoppto">#REF!</definedName>
    <definedName name="corsblmes" localSheetId="4">#REF!</definedName>
    <definedName name="corsblmes" localSheetId="6">#REF!</definedName>
    <definedName name="corsblmes">#REF!</definedName>
    <definedName name="corsblmesppto" localSheetId="4">#REF!</definedName>
    <definedName name="corsblmesppto" localSheetId="6">#REF!</definedName>
    <definedName name="corsblmesppto">#REF!</definedName>
    <definedName name="Cost_Estimate_Date" localSheetId="1">'[6]Timing &amp; Assumptions'!$B$32</definedName>
    <definedName name="Cost_Estimate_Date">'[5]Timing &amp; Assumptions'!$B$32</definedName>
    <definedName name="costEstimateDate" localSheetId="4">YEAR([0]!Cost_Estimate_Date)</definedName>
    <definedName name="costEstimateDate" localSheetId="1">YEAR('PLAN DE ACCION RESSO '!Cost_Estimate_Date)</definedName>
    <definedName name="costEstimateDate">YEAR([0]!Cost_Estimate_Date)</definedName>
    <definedName name="costEstimateYear" localSheetId="4">YEAR(COMENTARIOS!costEstimateDate)</definedName>
    <definedName name="costEstimateYear" localSheetId="1">YEAR('PLAN DE ACCION RESSO '!costEstimateDate)</definedName>
    <definedName name="costEstimateYear" localSheetId="6">YEAR(COMENTARIOS!costEstimateDate)</definedName>
    <definedName name="costEstimateYear">YEAR([0]!costEstimateDate)</definedName>
    <definedName name="costo" localSheetId="4">[1]GENERAL!#REF!</definedName>
    <definedName name="costo" localSheetId="1">[2]GENERAL!#REF!</definedName>
    <definedName name="costo" localSheetId="6">[1]GENERAL!#REF!</definedName>
    <definedName name="costo">[1]GENERAL!#REF!</definedName>
    <definedName name="COSTOS" localSheetId="4">#REF!</definedName>
    <definedName name="COSTOS" localSheetId="6">#REF!</definedName>
    <definedName name="COSTOS">#REF!</definedName>
    <definedName name="CP_ANT" localSheetId="1">[13]CP!$Y$6:$Y$587</definedName>
    <definedName name="CP_ANT">[14]CP!$Y$6:$Y$587</definedName>
    <definedName name="CP_API" localSheetId="1">[13]CP!$G$6:$G$587</definedName>
    <definedName name="CP_API">[14]CP!$G$6:$G$587</definedName>
    <definedName name="CP_C01" localSheetId="1">[13]CP!$M$6:$M$587</definedName>
    <definedName name="CP_C01">[14]CP!$M$6:$M$587</definedName>
    <definedName name="CP_C02" localSheetId="1">[13]CP!$N$6:$N$587</definedName>
    <definedName name="CP_C02">[14]CP!$N$6:$N$587</definedName>
    <definedName name="CP_C03" localSheetId="1">[13]CP!$O$6:$O$587</definedName>
    <definedName name="CP_C03">[14]CP!$O$6:$O$587</definedName>
    <definedName name="CP_C04" localSheetId="1">[13]CP!$P$6:$P$587</definedName>
    <definedName name="CP_C04">[14]CP!$P$6:$P$587</definedName>
    <definedName name="CP_C05" localSheetId="1">[13]CP!$Q$6:$Q$587</definedName>
    <definedName name="CP_C05">[14]CP!$Q$6:$Q$587</definedName>
    <definedName name="CP_C06" localSheetId="1">[13]CP!$R$6:$R$587</definedName>
    <definedName name="CP_C06">[14]CP!$R$6:$R$587</definedName>
    <definedName name="CP_C07" localSheetId="1">[13]CP!$S$6:$S$587</definedName>
    <definedName name="CP_C07">[14]CP!$S$6:$S$587</definedName>
    <definedName name="CP_C08" localSheetId="1">[13]CP!$T$6:$T$587</definedName>
    <definedName name="CP_C08">[14]CP!$T$6:$T$587</definedName>
    <definedName name="CP_C09" localSheetId="1">[13]CP!$U$6:$U$587</definedName>
    <definedName name="CP_C09">[14]CP!$U$6:$U$587</definedName>
    <definedName name="CP_C10" localSheetId="1">[13]CP!$V$6:$V$587</definedName>
    <definedName name="CP_C10">[14]CP!$V$6:$V$587</definedName>
    <definedName name="CP_C11" localSheetId="1">[13]CP!$W$6:$W$587</definedName>
    <definedName name="CP_C11">[14]CP!$W$6:$W$587</definedName>
    <definedName name="CP_C12" localSheetId="1">[13]CP!$X$6:$X$587</definedName>
    <definedName name="CP_C12">[14]CP!$X$6:$X$587</definedName>
    <definedName name="CP_CAT" localSheetId="1">[13]CP!$H$6:$H$587</definedName>
    <definedName name="CP_CAT">[14]CP!$H$6:$H$587</definedName>
    <definedName name="CP_CMES" localSheetId="1">[13]CP!$AC$6:$AC$587</definedName>
    <definedName name="CP_CMES">[14]CP!$AC$6:$AC$587</definedName>
    <definedName name="CP_KEY01" localSheetId="1">[13]CP!$B$6:$AF$587</definedName>
    <definedName name="CP_KEY01">[14]CP!$B$6:$AF$587</definedName>
    <definedName name="CP_KEY02" localSheetId="1">[13]CP!$C$6:$C$587</definedName>
    <definedName name="CP_KEY02">[14]CP!$C$6:$C$587</definedName>
    <definedName name="CP_KEY05" localSheetId="1">[13]CP!$F$6:$F$587</definedName>
    <definedName name="CP_KEY05">[14]CP!$F$6:$F$587</definedName>
    <definedName name="CP_PRO" localSheetId="1">[13]CP!$AB$6:$AB$587</definedName>
    <definedName name="CP_PRO">[14]CP!$AB$6:$AB$587</definedName>
    <definedName name="CP_SIG" localSheetId="1">[13]CP!$AA$6:$AA$587</definedName>
    <definedName name="CP_SIG">[14]CP!$AA$6:$AA$587</definedName>
    <definedName name="cr">OFFSET([21]Dand!#REF!, 0, 0, COUNTA([21]Dand!$CG$1:$CG$65536), 1)</definedName>
    <definedName name="CR_ANT" localSheetId="1">[13]CR!$AZ$6:$AZ$587</definedName>
    <definedName name="CR_ANT">[14]CR!$AZ$6:$AZ$587</definedName>
    <definedName name="CR_API" localSheetId="1">[13]CR!$G$6:$G$587</definedName>
    <definedName name="CR_API">[14]CR!$G$6:$G$587</definedName>
    <definedName name="CR_AUT" localSheetId="1">[13]CR!$Z$6:$Z$587</definedName>
    <definedName name="CR_AUT">[14]CR!$Z$6:$Z$587</definedName>
    <definedName name="CR_C01" localSheetId="1">[13]CR!$M$6:$M$587</definedName>
    <definedName name="CR_C01">[14]CR!$M$6:$M$587</definedName>
    <definedName name="CR_C02" localSheetId="1">[13]CR!$N$6:$N$587</definedName>
    <definedName name="CR_C02">[14]CR!$N$6:$N$587</definedName>
    <definedName name="CR_C03" localSheetId="1">[13]CR!$O$6:$O$587</definedName>
    <definedName name="CR_C03">[14]CR!$O$6:$O$587</definedName>
    <definedName name="CR_C04" localSheetId="1">[13]CR!$P$6:$P$587</definedName>
    <definedName name="CR_C04">[14]CR!$P$6:$P$587</definedName>
    <definedName name="CR_C05" localSheetId="1">[13]CR!$Q$6:$Q$587</definedName>
    <definedName name="CR_C05">[14]CR!$Q$6:$Q$587</definedName>
    <definedName name="CR_C06" localSheetId="1">[13]CR!$R$6:$R$587</definedName>
    <definedName name="CR_C06">[14]CR!$R$6:$R$587</definedName>
    <definedName name="CR_C07" localSheetId="1">[13]CR!$S$6:$S$587</definedName>
    <definedName name="CR_C07">[14]CR!$S$6:$S$587</definedName>
    <definedName name="CR_C08" localSheetId="1">[13]CR!$T$6:$T$587</definedName>
    <definedName name="CR_C08">[14]CR!$T$6:$T$587</definedName>
    <definedName name="CR_C09" localSheetId="1">[13]CR!$U$6:$U$587</definedName>
    <definedName name="CR_C09">[14]CR!$U$6:$U$587</definedName>
    <definedName name="CR_C10" localSheetId="1">[13]CR!$V$6:$V$587</definedName>
    <definedName name="CR_C10">[14]CR!$V$6:$V$587</definedName>
    <definedName name="CR_C11" localSheetId="1">[13]CR!$W$6:$W$587</definedName>
    <definedName name="CR_C11">[14]CR!$W$6:$W$587</definedName>
    <definedName name="CR_C12" localSheetId="1">[13]CR!$X$6:$X$587</definedName>
    <definedName name="CR_C12">[14]CR!$X$6:$X$587</definedName>
    <definedName name="CR_CAT" localSheetId="1">[13]CR!$H$6:$H$587</definedName>
    <definedName name="CR_CAT">[14]CR!$H$6:$H$587</definedName>
    <definedName name="CR_CMES" localSheetId="1">[13]CR!$AC$6:$AC$587</definedName>
    <definedName name="CR_CMES">[14]CR!$AC$6:$AC$587</definedName>
    <definedName name="CR_CMON" localSheetId="1">[13]CR!$AF$6:$AF$587</definedName>
    <definedName name="CR_CMON">[14]CR!$AF$6:$AF$587</definedName>
    <definedName name="CR_KEY01" localSheetId="1">[13]CR!$B$6:$AF$587</definedName>
    <definedName name="CR_KEY01">[14]CR!$B$6:$AF$587</definedName>
    <definedName name="CR_KEY02" localSheetId="1">[13]CR!$C$6:$C$587</definedName>
    <definedName name="CR_KEY02">[14]CR!$C$6:$C$587</definedName>
    <definedName name="CR_KEY04" localSheetId="1">[13]CR!$E$6:$E$587</definedName>
    <definedName name="CR_KEY04">[14]CR!$E$6:$E$587</definedName>
    <definedName name="CR_PRO" localSheetId="1">[13]CR!$AB$6:$AB$587</definedName>
    <definedName name="CR_PRO">[14]CR!$AB$6:$AB$587</definedName>
    <definedName name="CR_SIG" localSheetId="1">[13]CR!$AA$6:$AA$587</definedName>
    <definedName name="CR_SIG">[14]CR!$AA$6:$AA$587</definedName>
    <definedName name="Cu_Produced" localSheetId="1">'[6]Plant Unit Consumption'!#REF!</definedName>
    <definedName name="Cu_Produced">'[5]Plant Unit Consumption'!#REF!</definedName>
    <definedName name="Cum_Capex" localSheetId="1">'[24]Cash Flows'!$AF$80</definedName>
    <definedName name="Cum_Capex">'[25]Cash Flows'!$AF$80</definedName>
    <definedName name="CumplimientoParcial">#REF!</definedName>
    <definedName name="d">OFFSET([21]Dand!#REF!, 0, 0, COUNTA([21]Dand!$BU$1:$BU$65536), 1)</definedName>
    <definedName name="Dat_API" localSheetId="1">[13]DAT!$B$5:$AC$110</definedName>
    <definedName name="Dat_API">[14]DAT!$B$5:$AC$110</definedName>
    <definedName name="DAT_API02" localSheetId="1">[13]DAT!$B$104:$AC$107</definedName>
    <definedName name="DAT_API02">[14]DAT!$B$104:$AC$107</definedName>
    <definedName name="DDP" localSheetId="4" hidden="1">{"DETALLE_1996",#N/A,FALSE,"flujo";"DETALLE_1997",#N/A,FALSE,"flujo";"GASTOS_INCURRIDOS_1996",#N/A,FALSE,"flujo";"GASTOS_PROGRAMADOS_PARA_1997",#N/A,FALSE,"flujo";#N/A,#N/A,FALSE,"comparat";#N/A,#N/A,FALSE,"costos";#N/A,#N/A,FALSE,"proyctrol"}</definedName>
    <definedName name="DDP" localSheetId="1" hidden="1">{"DETALLE_1996",#N/A,FALSE,"flujo";"DETALLE_1997",#N/A,FALSE,"flujo";"GASTOS_INCURRIDOS_1996",#N/A,FALSE,"flujo";"GASTOS_PROGRAMADOS_PARA_1997",#N/A,FALSE,"flujo";#N/A,#N/A,FALSE,"comparat";#N/A,#N/A,FALSE,"costos";#N/A,#N/A,FALSE,"proyctrol"}</definedName>
    <definedName name="DDP" localSheetId="6" hidden="1">{"DETALLE_1996",#N/A,FALSE,"flujo";"DETALLE_1997",#N/A,FALSE,"flujo";"GASTOS_INCURRIDOS_1996",#N/A,FALSE,"flujo";"GASTOS_PROGRAMADOS_PARA_1997",#N/A,FALSE,"flujo";#N/A,#N/A,FALSE,"comparat";#N/A,#N/A,FALSE,"costos";#N/A,#N/A,FALSE,"proyctrol"}</definedName>
    <definedName name="DDP" hidden="1">{"DETALLE_1996",#N/A,FALSE,"flujo";"DETALLE_1997",#N/A,FALSE,"flujo";"GASTOS_INCURRIDOS_1996",#N/A,FALSE,"flujo";"GASTOS_PROGRAMADOS_PARA_1997",#N/A,FALSE,"flujo";#N/A,#N/A,FALSE,"comparat";#N/A,#N/A,FALSE,"costos";#N/A,#N/A,FALSE,"proyctrol"}</definedName>
    <definedName name="Deduc_met_Ag">#REF!</definedName>
    <definedName name="deferredMineCapx" localSheetId="1">'[6]Deferred CAPX'!#REF!</definedName>
    <definedName name="deferredMineCapx">'[5]Deferred CAPX'!#REF!</definedName>
    <definedName name="deferredPlantCapx" localSheetId="1">'[6]Deferred CAPX'!#REF!</definedName>
    <definedName name="deferredPlantCapx">'[5]Deferred CAPX'!#REF!</definedName>
    <definedName name="dep_eq_mina" localSheetId="1">[26]Depreciacion!$C$63:$X$63</definedName>
    <definedName name="dep_eq_mina">[27]Depreciacion!$C$63:$X$63</definedName>
    <definedName name="dep_otros" localSheetId="1">[26]Depreciacion!$C$83:$X$83</definedName>
    <definedName name="dep_otros">[27]Depreciacion!$C$83:$X$83</definedName>
    <definedName name="depreciationMine" localSheetId="1">'[6]Deferred CAPX'!#REF!</definedName>
    <definedName name="depreciationMine">'[5]Deferred CAPX'!#REF!</definedName>
    <definedName name="detalle">#REF!</definedName>
    <definedName name="DETALLE_1996" localSheetId="4">#REF!</definedName>
    <definedName name="DETALLE_1996" localSheetId="6">#REF!</definedName>
    <definedName name="DETALLE_1996">#REF!</definedName>
    <definedName name="DETALLE_1997" localSheetId="4">#REF!</definedName>
    <definedName name="DETALLE_1997" localSheetId="6">#REF!</definedName>
    <definedName name="DETALLE_1997">#REF!</definedName>
    <definedName name="DICH" localSheetId="1">[22]DISTANCIAS!$F$6:$F$577</definedName>
    <definedName name="DICH">[23]DISTANCIAS!$F$6:$F$577</definedName>
    <definedName name="DILB" localSheetId="1">[22]DISTANCIAS!$N$6:$N$577</definedName>
    <definedName name="DILB">[23]DISTANCIAS!$N$6:$N$577</definedName>
    <definedName name="DIOBLB" localSheetId="1">[22]DISTANCIAS!$P$6:$P$577</definedName>
    <definedName name="DIOBLB">[23]DISTANCIAS!$P$6:$P$577</definedName>
    <definedName name="DISBLB" localSheetId="1">[22]DISTANCIAS!$R$6:$R$577</definedName>
    <definedName name="DISBLB">[23]DISTANCIAS!$R$6:$R$577</definedName>
    <definedName name="DISKM" localSheetId="1">[22]DISTANCIAS!$L$6:$L$577</definedName>
    <definedName name="DISKM">[23]DISTANCIAS!$L$6:$L$577</definedName>
    <definedName name="DISKO" localSheetId="1">[22]DISTANCIAS!$H$6:$H$577</definedName>
    <definedName name="DISKO">[23]DISTANCIAS!$H$6:$H$577</definedName>
    <definedName name="DISKS" localSheetId="1">[22]DISTANCIAS!$J$6:$J$577</definedName>
    <definedName name="DISKS">[23]DISTANCIAS!$J$6:$J$577</definedName>
    <definedName name="Division" localSheetId="1">[19]Lista!$B$22:$B$30</definedName>
    <definedName name="Division">[20]Lista!$B$22:$B$30</definedName>
    <definedName name="Drilling_Steel_Grava">'[28]Mine Unit Costs &amp; Consumption C'!$J$6</definedName>
    <definedName name="Drilling_Steel_Roca">'[28]Mine Unit Costs &amp; Consumption C'!$J$5</definedName>
    <definedName name="DTCH" localSheetId="1">[22]DISTANCIAS!$E$6:$E$577</definedName>
    <definedName name="DTCH">[23]DISTANCIAS!$E$6:$E$577</definedName>
    <definedName name="DTLB" localSheetId="1">[22]DISTANCIAS!$M$6:$M$577</definedName>
    <definedName name="DTLB">[23]DISTANCIAS!$M$6:$M$577</definedName>
    <definedName name="DTOBLB" localSheetId="1">[22]DISTANCIAS!$O$6:$O$577</definedName>
    <definedName name="DTOBLB">[23]DISTANCIAS!$O$6:$O$577</definedName>
    <definedName name="DTSBLB" localSheetId="1">[22]DISTANCIAS!$Q$6:$Q$577</definedName>
    <definedName name="DTSBLB">[23]DISTANCIAS!$Q$6:$Q$577</definedName>
    <definedName name="DTSKM" localSheetId="1">[22]DISTANCIAS!$K$6:$K$577</definedName>
    <definedName name="DTSKM">[23]DISTANCIAS!$K$6:$K$577</definedName>
    <definedName name="DTSKO" localSheetId="1">[22]DISTANCIAS!$G$6:$G$577</definedName>
    <definedName name="DTSKO">[23]DISTANCIAS!$G$6:$G$577</definedName>
    <definedName name="DTSKS" localSheetId="1">[22]DISTANCIAS!$I$6:$I$577</definedName>
    <definedName name="DTSKS">[23]DISTANCIAS!$I$6:$I$577</definedName>
    <definedName name="EDIF" localSheetId="1">'[13]EX-DIF'!$B$6:$F$185</definedName>
    <definedName name="EDIF">'[14]EX-DIF'!$B$6:$F$185</definedName>
    <definedName name="EEEE" localSheetId="4" hidden="1">{"DETALLE_1996",#N/A,FALSE,"flujo";"DETALLE_1997",#N/A,FALSE,"flujo";"GASTOS_INCURRIDOS_1996",#N/A,FALSE,"flujo";"GASTOS_PROGRAMADOS_PARA_1997",#N/A,FALSE,"flujo";#N/A,#N/A,FALSE,"comparat";#N/A,#N/A,FALSE,"costos";#N/A,#N/A,FALSE,"proyctrol"}</definedName>
    <definedName name="EEEE" localSheetId="1" hidden="1">{"DETALLE_1996",#N/A,FALSE,"flujo";"DETALLE_1997",#N/A,FALSE,"flujo";"GASTOS_INCURRIDOS_1996",#N/A,FALSE,"flujo";"GASTOS_PROGRAMADOS_PARA_1997",#N/A,FALSE,"flujo";#N/A,#N/A,FALSE,"comparat";#N/A,#N/A,FALSE,"costos";#N/A,#N/A,FALSE,"proyctrol"}</definedName>
    <definedName name="EEEE" localSheetId="6" hidden="1">{"DETALLE_1996",#N/A,FALSE,"flujo";"DETALLE_1997",#N/A,FALSE,"flujo";"GASTOS_INCURRIDOS_1996",#N/A,FALSE,"flujo";"GASTOS_PROGRAMADOS_PARA_1997",#N/A,FALSE,"flujo";#N/A,#N/A,FALSE,"comparat";#N/A,#N/A,FALSE,"costos";#N/A,#N/A,FALSE,"proyctrol"}</definedName>
    <definedName name="EEEE" hidden="1">{"DETALLE_1996",#N/A,FALSE,"flujo";"DETALLE_1997",#N/A,FALSE,"flujo";"GASTOS_INCURRIDOS_1996",#N/A,FALSE,"flujo";"GASTOS_PROGRAMADOS_PARA_1997",#N/A,FALSE,"flujo";#N/A,#N/A,FALSE,"comparat";#N/A,#N/A,FALSE,"costos";#N/A,#N/A,FALSE,"proyctrol"}</definedName>
    <definedName name="Empresa">#REF!</definedName>
    <definedName name="escalationTime" localSheetId="4">[0]!myYear-COMENTARIOS!costEstimateYear</definedName>
    <definedName name="escalationTime" localSheetId="1">'PLAN DE ACCION RESSO '!myYear-'PLAN DE ACCION RESSO '!costEstimateYear</definedName>
    <definedName name="escalationTime" localSheetId="6">[0]!myYear-COMENTARIOS!costEstimateYear</definedName>
    <definedName name="escalationTime">[0]!myYear-[0]!costEstimateYear</definedName>
    <definedName name="ewacum" localSheetId="4">#REF!</definedName>
    <definedName name="ewacum" localSheetId="6">#REF!</definedName>
    <definedName name="ewacum">#REF!</definedName>
    <definedName name="ewacummes" localSheetId="4">#REF!</definedName>
    <definedName name="ewacummes" localSheetId="6">#REF!</definedName>
    <definedName name="ewacummes">#REF!</definedName>
    <definedName name="ewacumppto" localSheetId="4">#REF!</definedName>
    <definedName name="ewacumppto" localSheetId="6">#REF!</definedName>
    <definedName name="ewacumppto">#REF!</definedName>
    <definedName name="ewacumreal" localSheetId="4">#REF!</definedName>
    <definedName name="ewacumreal" localSheetId="6">#REF!</definedName>
    <definedName name="ewacumreal">#REF!</definedName>
    <definedName name="ewaño" localSheetId="4">#REF!</definedName>
    <definedName name="ewaño" localSheetId="6">#REF!</definedName>
    <definedName name="ewaño">#REF!</definedName>
    <definedName name="ewañoppto" localSheetId="4">#REF!</definedName>
    <definedName name="ewañoppto" localSheetId="6">#REF!</definedName>
    <definedName name="ewañoppto">#REF!</definedName>
    <definedName name="ewmes" localSheetId="4">#REF!</definedName>
    <definedName name="ewmes" localSheetId="6">#REF!</definedName>
    <definedName name="ewmes">#REF!</definedName>
    <definedName name="ewmesppto" localSheetId="4">#REF!</definedName>
    <definedName name="ewmesppto" localSheetId="6">#REF!</definedName>
    <definedName name="ewmesppto">#REF!</definedName>
    <definedName name="ewsblacum" localSheetId="4">#REF!</definedName>
    <definedName name="ewsblacum" localSheetId="6">#REF!</definedName>
    <definedName name="ewsblacum">#REF!</definedName>
    <definedName name="ewsblacummes" localSheetId="4">#REF!</definedName>
    <definedName name="ewsblacummes" localSheetId="6">#REF!</definedName>
    <definedName name="ewsblacummes">#REF!</definedName>
    <definedName name="ewsblacumppto" localSheetId="4">#REF!</definedName>
    <definedName name="ewsblacumppto" localSheetId="6">#REF!</definedName>
    <definedName name="ewsblacumppto">#REF!</definedName>
    <definedName name="ewsblacumreal" localSheetId="4">#REF!</definedName>
    <definedName name="ewsblacumreal" localSheetId="6">#REF!</definedName>
    <definedName name="ewsblacumreal">#REF!</definedName>
    <definedName name="ewsblaño" localSheetId="4">#REF!</definedName>
    <definedName name="ewsblaño" localSheetId="6">#REF!</definedName>
    <definedName name="ewsblaño">#REF!</definedName>
    <definedName name="ewsblañoppto" localSheetId="4">#REF!</definedName>
    <definedName name="ewsblañoppto" localSheetId="6">#REF!</definedName>
    <definedName name="ewsblañoppto">#REF!</definedName>
    <definedName name="ewsblmes" localSheetId="4">#REF!</definedName>
    <definedName name="ewsblmes" localSheetId="6">#REF!</definedName>
    <definedName name="ewsblmes">#REF!</definedName>
    <definedName name="ewsblmesppto" localSheetId="4">#REF!</definedName>
    <definedName name="ewsblmesppto" localSheetId="6">#REF!</definedName>
    <definedName name="ewsblmesppto">#REF!</definedName>
    <definedName name="excacum" localSheetId="4">#REF!</definedName>
    <definedName name="excacum" localSheetId="6">#REF!</definedName>
    <definedName name="excacum">#REF!</definedName>
    <definedName name="excacummes" localSheetId="4">#REF!</definedName>
    <definedName name="excacummes" localSheetId="6">#REF!</definedName>
    <definedName name="excacummes">#REF!</definedName>
    <definedName name="excacumppto" localSheetId="4">#REF!</definedName>
    <definedName name="excacumppto" localSheetId="6">#REF!</definedName>
    <definedName name="excacumppto">#REF!</definedName>
    <definedName name="excacumreal" localSheetId="4">#REF!</definedName>
    <definedName name="excacumreal" localSheetId="6">#REF!</definedName>
    <definedName name="excacumreal">#REF!</definedName>
    <definedName name="excaño" localSheetId="4">#REF!</definedName>
    <definedName name="excaño" localSheetId="6">#REF!</definedName>
    <definedName name="excaño">#REF!</definedName>
    <definedName name="excañoppto" localSheetId="4">#REF!</definedName>
    <definedName name="excañoppto" localSheetId="6">#REF!</definedName>
    <definedName name="excañoppto">#REF!</definedName>
    <definedName name="excmes" localSheetId="4">#REF!</definedName>
    <definedName name="excmes" localSheetId="6">#REF!</definedName>
    <definedName name="excmes">#REF!</definedName>
    <definedName name="excmesppto" localSheetId="4">#REF!</definedName>
    <definedName name="excmesppto" localSheetId="6">#REF!</definedName>
    <definedName name="excmesppto">#REF!</definedName>
    <definedName name="EXPFIS" localSheetId="4" hidden="1">{"DETALLE_1996",#N/A,FALSE,"flujo";"DETALLE_1997",#N/A,FALSE,"flujo";"GASTOS_INCURRIDOS_1996",#N/A,FALSE,"flujo";"GASTOS_PROGRAMADOS_PARA_1997",#N/A,FALSE,"flujo";#N/A,#N/A,FALSE,"comparat";#N/A,#N/A,FALSE,"costos";#N/A,#N/A,FALSE,"proyctrol"}</definedName>
    <definedName name="EXPFIS" localSheetId="1" hidden="1">{"DETALLE_1996",#N/A,FALSE,"flujo";"DETALLE_1997",#N/A,FALSE,"flujo";"GASTOS_INCURRIDOS_1996",#N/A,FALSE,"flujo";"GASTOS_PROGRAMADOS_PARA_1997",#N/A,FALSE,"flujo";#N/A,#N/A,FALSE,"comparat";#N/A,#N/A,FALSE,"costos";#N/A,#N/A,FALSE,"proyctrol"}</definedName>
    <definedName name="EXPFIS" localSheetId="6" hidden="1">{"DETALLE_1996",#N/A,FALSE,"flujo";"DETALLE_1997",#N/A,FALSE,"flujo";"GASTOS_INCURRIDOS_1996",#N/A,FALSE,"flujo";"GASTOS_PROGRAMADOS_PARA_1997",#N/A,FALSE,"flujo";#N/A,#N/A,FALSE,"comparat";#N/A,#N/A,FALSE,"costos";#N/A,#N/A,FALSE,"proyctrol"}</definedName>
    <definedName name="EXPFIS" hidden="1">{"DETALLE_1996",#N/A,FALSE,"flujo";"DETALLE_1997",#N/A,FALSE,"flujo";"GASTOS_INCURRIDOS_1996",#N/A,FALSE,"flujo";"GASTOS_PROGRAMADOS_PARA_1997",#N/A,FALSE,"flujo";#N/A,#N/A,FALSE,"comparat";#N/A,#N/A,FALSE,"costos";#N/A,#N/A,FALSE,"proyctrol"}</definedName>
    <definedName name="f_moneda">#REF!</definedName>
    <definedName name="FACILITY_TOTAL" localSheetId="1">'[6]Plant Operating Expenses'!#REF!</definedName>
    <definedName name="FACILITY_TOTAL">'[5]Plant Operating Expenses'!#REF!</definedName>
    <definedName name="FACILITY_TOTAL_LBCu" localSheetId="1">'[6]Plant Operating Expenses'!#REF!</definedName>
    <definedName name="FACILITY_TOTAL_LBCu">'[5]Plant Operating Expenses'!#REF!</definedName>
    <definedName name="Facility_Unit_Costs" localSheetId="1">'[6]Plant Unit Consumption'!#REF!</definedName>
    <definedName name="Facility_Unit_Costs">'[5]Plant Unit Consumption'!#REF!</definedName>
    <definedName name="FASES">#REF!</definedName>
    <definedName name="FASES_RT_CB_2003" localSheetId="4">#REF!</definedName>
    <definedName name="FASES_RT_CB_2003" localSheetId="6">#REF!</definedName>
    <definedName name="FASES_RT_CB_2003">#REF!</definedName>
    <definedName name="FB" localSheetId="4">#REF!</definedName>
    <definedName name="FB" localSheetId="6">#REF!</definedName>
    <definedName name="FB">#REF!</definedName>
    <definedName name="fff" localSheetId="4" hidden="1">{"DETALLE_1996",#N/A,FALSE,"flujo";"DETALLE_1997",#N/A,FALSE,"flujo";"GASTOS_INCURRIDOS_1996",#N/A,FALSE,"flujo";"GASTOS_PROGRAMADOS_PARA_1997",#N/A,FALSE,"flujo";#N/A,#N/A,FALSE,"comparat";#N/A,#N/A,FALSE,"costos";#N/A,#N/A,FALSE,"proyctrol"}</definedName>
    <definedName name="fff" localSheetId="1" hidden="1">{"DETALLE_1996",#N/A,FALSE,"flujo";"DETALLE_1997",#N/A,FALSE,"flujo";"GASTOS_INCURRIDOS_1996",#N/A,FALSE,"flujo";"GASTOS_PROGRAMADOS_PARA_1997",#N/A,FALSE,"flujo";#N/A,#N/A,FALSE,"comparat";#N/A,#N/A,FALSE,"costos";#N/A,#N/A,FALSE,"proyctrol"}</definedName>
    <definedName name="fff" localSheetId="6" hidden="1">{"DETALLE_1996",#N/A,FALSE,"flujo";"DETALLE_1997",#N/A,FALSE,"flujo";"GASTOS_INCURRIDOS_1996",#N/A,FALSE,"flujo";"GASTOS_PROGRAMADOS_PARA_1997",#N/A,FALSE,"flujo";#N/A,#N/A,FALSE,"comparat";#N/A,#N/A,FALSE,"costos";#N/A,#N/A,FALSE,"proyctrol"}</definedName>
    <definedName name="fff" hidden="1">{"DETALLE_1996",#N/A,FALSE,"flujo";"DETALLE_1997",#N/A,FALSE,"flujo";"GASTOS_INCURRIDOS_1996",#N/A,FALSE,"flujo";"GASTOS_PROGRAMADOS_PARA_1997",#N/A,FALSE,"flujo";#N/A,#N/A,FALSE,"comparat";#N/A,#N/A,FALSE,"costos";#N/A,#N/A,FALSE,"proyctrol"}</definedName>
    <definedName name="Ficha">#REF!</definedName>
    <definedName name="FinanProg" localSheetId="4">#REF!</definedName>
    <definedName name="FinanProg" localSheetId="6">#REF!</definedName>
    <definedName name="FinanProg">#REF!</definedName>
    <definedName name="FISICO" localSheetId="4">#REF!</definedName>
    <definedName name="FISICO" localSheetId="6">#REF!</definedName>
    <definedName name="FISICO">#REF!</definedName>
    <definedName name="Fismayo" localSheetId="4">#REF!</definedName>
    <definedName name="Fismayo" localSheetId="6">#REF!</definedName>
    <definedName name="Fismayo">#REF!</definedName>
    <definedName name="Fixed" localSheetId="4">'[5]Plant Unit Consumption'!#REF!</definedName>
    <definedName name="Fixed" localSheetId="1">'[6]Plant Unit Consumption'!#REF!</definedName>
    <definedName name="Fixed" localSheetId="6">'[5]Plant Unit Consumption'!#REF!</definedName>
    <definedName name="Fixed">'[5]Plant Unit Consumption'!#REF!</definedName>
    <definedName name="FLETE" localSheetId="4">#REF!</definedName>
    <definedName name="FLETE" localSheetId="6">#REF!</definedName>
    <definedName name="FLETE">#REF!</definedName>
    <definedName name="flujo" localSheetId="1">[26]Flujo!$B$2:$G$55</definedName>
    <definedName name="flujo">[27]Flujo!$B$2:$G$55</definedName>
    <definedName name="FLUJOS">#REF!</definedName>
    <definedName name="fme" localSheetId="4">#REF!</definedName>
    <definedName name="fme" localSheetId="6">#REF!</definedName>
    <definedName name="fme">#REF!</definedName>
    <definedName name="fmn" localSheetId="4">#REF!</definedName>
    <definedName name="fmn" localSheetId="6">#REF!</definedName>
    <definedName name="fmn">#REF!</definedName>
    <definedName name="fn" localSheetId="4">#REF!</definedName>
    <definedName name="fn" localSheetId="6">#REF!</definedName>
    <definedName name="fn">#REF!</definedName>
    <definedName name="form395" localSheetId="4">#REF!</definedName>
    <definedName name="form395" localSheetId="6">#REF!</definedName>
    <definedName name="form395">#REF!</definedName>
    <definedName name="Format" localSheetId="4">#REF!</definedName>
    <definedName name="Format" localSheetId="6">#REF!</definedName>
    <definedName name="Format">#REF!</definedName>
    <definedName name="FRFRF" localSheetId="4" hidden="1">{"DETALLE_1996",#N/A,FALSE,"flujo";"DETALLE_1997",#N/A,FALSE,"flujo";"GASTOS_INCURRIDOS_1996",#N/A,FALSE,"flujo";"GASTOS_PROGRAMADOS_PARA_1997",#N/A,FALSE,"flujo";#N/A,#N/A,FALSE,"comparat";#N/A,#N/A,FALSE,"costos";#N/A,#N/A,FALSE,"proyctrol"}</definedName>
    <definedName name="FRFRF" localSheetId="1" hidden="1">{"DETALLE_1996",#N/A,FALSE,"flujo";"DETALLE_1997",#N/A,FALSE,"flujo";"GASTOS_INCURRIDOS_1996",#N/A,FALSE,"flujo";"GASTOS_PROGRAMADOS_PARA_1997",#N/A,FALSE,"flujo";#N/A,#N/A,FALSE,"comparat";#N/A,#N/A,FALSE,"costos";#N/A,#N/A,FALSE,"proyctrol"}</definedName>
    <definedName name="FRFRF" localSheetId="6" hidden="1">{"DETALLE_1996",#N/A,FALSE,"flujo";"DETALLE_1997",#N/A,FALSE,"flujo";"GASTOS_INCURRIDOS_1996",#N/A,FALSE,"flujo";"GASTOS_PROGRAMADOS_PARA_1997",#N/A,FALSE,"flujo";#N/A,#N/A,FALSE,"comparat";#N/A,#N/A,FALSE,"costos";#N/A,#N/A,FALSE,"proyctrol"}</definedName>
    <definedName name="FRFRF" hidden="1">{"DETALLE_1996",#N/A,FALSE,"flujo";"DETALLE_1997",#N/A,FALSE,"flujo";"GASTOS_INCURRIDOS_1996",#N/A,FALSE,"flujo";"GASTOS_PROGRAMADOS_PARA_1997",#N/A,FALSE,"flujo";#N/A,#N/A,FALSE,"comparat";#N/A,#N/A,FALSE,"costos";#N/A,#N/A,FALSE,"proyctrol"}</definedName>
    <definedName name="g">OFFSET([21]Dand!#REF!, 0, 0, COUNTA([21]Dand!$CG$1:$CG$65536), 1)</definedName>
    <definedName name="gaby" localSheetId="4">YEAR([0]!Cost_Estimate_Date)</definedName>
    <definedName name="gaby" localSheetId="1">YEAR('PLAN DE ACCION RESSO '!Cost_Estimate_Date)</definedName>
    <definedName name="gaby">YEAR([0]!Cost_Estimate_Date)</definedName>
    <definedName name="GANTT" localSheetId="4">#REF!</definedName>
    <definedName name="GANTT" localSheetId="6">#REF!</definedName>
    <definedName name="GANTT">#REF!</definedName>
    <definedName name="GANTT01" localSheetId="1">[29]Gantt!$B$11:$Y$141</definedName>
    <definedName name="GANTT01">[30]Gantt!$B$11:$Y$141</definedName>
    <definedName name="GASTOS_INCURRIDOS1996" localSheetId="1">[29]flujo!#REF!</definedName>
    <definedName name="GASTOS_INCURRIDOS1996">[30]flujo!#REF!</definedName>
    <definedName name="GASTOS_INCURRIDOS1997">#REF!</definedName>
    <definedName name="GASTOS_PROGRAMADOS1997" localSheetId="4">#REF!</definedName>
    <definedName name="GASTOS_PROGRAMADOS1997" localSheetId="6">#REF!</definedName>
    <definedName name="GASTOS_PROGRAMADOS1997">#REF!</definedName>
    <definedName name="GASTOS_PROGRAMADOS1998" localSheetId="4">#REF!</definedName>
    <definedName name="GASTOS_PROGRAMADOS1998" localSheetId="6">#REF!</definedName>
    <definedName name="GASTOS_PROGRAMADOS1998">#REF!</definedName>
    <definedName name="GDU" localSheetId="4" hidden="1">{"DETALLE_1996",#N/A,FALSE,"flujo";"DETALLE_1997",#N/A,FALSE,"flujo";"GASTOS_INCURRIDOS_1996",#N/A,FALSE,"flujo";"GASTOS_PROGRAMADOS_PARA_1997",#N/A,FALSE,"flujo";#N/A,#N/A,FALSE,"comparat";#N/A,#N/A,FALSE,"costos";#N/A,#N/A,FALSE,"proyctrol"}</definedName>
    <definedName name="GDU" localSheetId="1" hidden="1">{"DETALLE_1996",#N/A,FALSE,"flujo";"DETALLE_1997",#N/A,FALSE,"flujo";"GASTOS_INCURRIDOS_1996",#N/A,FALSE,"flujo";"GASTOS_PROGRAMADOS_PARA_1997",#N/A,FALSE,"flujo";#N/A,#N/A,FALSE,"comparat";#N/A,#N/A,FALSE,"costos";#N/A,#N/A,FALSE,"proyctrol"}</definedName>
    <definedName name="GDU" localSheetId="6" hidden="1">{"DETALLE_1996",#N/A,FALSE,"flujo";"DETALLE_1997",#N/A,FALSE,"flujo";"GASTOS_INCURRIDOS_1996",#N/A,FALSE,"flujo";"GASTOS_PROGRAMADOS_PARA_1997",#N/A,FALSE,"flujo";#N/A,#N/A,FALSE,"comparat";#N/A,#N/A,FALSE,"costos";#N/A,#N/A,FALSE,"proyctrol"}</definedName>
    <definedName name="GDU" hidden="1">{"DETALLE_1996",#N/A,FALSE,"flujo";"DETALLE_1997",#N/A,FALSE,"flujo";"GASTOS_INCURRIDOS_1996",#N/A,FALSE,"flujo";"GASTOS_PROGRAMADOS_PARA_1997",#N/A,FALSE,"flujo";#N/A,#N/A,FALSE,"comparat";#N/A,#N/A,FALSE,"costos";#N/A,#N/A,FALSE,"proyctrol"}</definedName>
    <definedName name="General___Administrative" localSheetId="1">'[6]Cash Flows'!#REF!</definedName>
    <definedName name="General___Administrative">'[5]Cash Flows'!#REF!</definedName>
    <definedName name="GerenciaMinas">OFFSET([21]Dand!#REF!, 0, 0, COUNTA([21]Dand!$BU$1:$BU$65536), 1)</definedName>
    <definedName name="GerenciaPlantas">OFFSET([21]Dand!#REF!, 0, 0, COUNTA([21]Dand!$BV$1:$BV$65536), 1)</definedName>
    <definedName name="GerenciaServicios">OFFSET([21]Dand!#REF!, 0, 0, COUNTA([21]Dand!$BW$1:$BW$65536), 1)</definedName>
    <definedName name="gesacum">#REF!</definedName>
    <definedName name="gesacummes" localSheetId="4">#REF!</definedName>
    <definedName name="gesacummes" localSheetId="6">#REF!</definedName>
    <definedName name="gesacummes">#REF!</definedName>
    <definedName name="gesacumppto" localSheetId="4">#REF!</definedName>
    <definedName name="gesacumppto" localSheetId="6">#REF!</definedName>
    <definedName name="gesacumppto">#REF!</definedName>
    <definedName name="gesacumreal" localSheetId="4">#REF!</definedName>
    <definedName name="gesacumreal" localSheetId="6">#REF!</definedName>
    <definedName name="gesacumreal">#REF!</definedName>
    <definedName name="gesaño" localSheetId="4">#REF!</definedName>
    <definedName name="gesaño" localSheetId="6">#REF!</definedName>
    <definedName name="gesaño">#REF!</definedName>
    <definedName name="gesañoppto" localSheetId="4">#REF!</definedName>
    <definedName name="gesañoppto" localSheetId="6">#REF!</definedName>
    <definedName name="gesañoppto">#REF!</definedName>
    <definedName name="gesmes" localSheetId="4">#REF!</definedName>
    <definedName name="gesmes" localSheetId="6">#REF!</definedName>
    <definedName name="gesmes">#REF!</definedName>
    <definedName name="gesmesppto" localSheetId="4">#REF!</definedName>
    <definedName name="gesmesppto" localSheetId="6">#REF!</definedName>
    <definedName name="gesmesppto">#REF!</definedName>
    <definedName name="GPLA">OFFSET([21]Dand!#REF!, 0, 0, COUNTA([21]Dand!$BS$1:$BS$65536), 1)</definedName>
    <definedName name="Grafico" localSheetId="4">'[31]ABR-2004'!#REF!</definedName>
    <definedName name="Grafico" localSheetId="1">'[32]ABR-2004'!#REF!</definedName>
    <definedName name="Grafico" localSheetId="6">'[31]ABR-2004'!#REF!</definedName>
    <definedName name="Grafico">'[31]ABR-2004'!#REF!</definedName>
    <definedName name="GRAFICOS" localSheetId="4">#REF!</definedName>
    <definedName name="GRAFICOS" localSheetId="6">#REF!</definedName>
    <definedName name="GRAFICOS">#REF!</definedName>
    <definedName name="GRMD_1" localSheetId="4" hidden="1">{"DETALLE_1996",#N/A,FALSE,"flujo";"DETALLE_1997",#N/A,FALSE,"flujo";"GASTOS_INCURRIDOS_1996",#N/A,FALSE,"flujo";"GASTOS_PROGRAMADOS_PARA_1997",#N/A,FALSE,"flujo";#N/A,#N/A,FALSE,"comparat";#N/A,#N/A,FALSE,"costos";#N/A,#N/A,FALSE,"proyctrol"}</definedName>
    <definedName name="GRMD_1" localSheetId="1" hidden="1">{"DETALLE_1996",#N/A,FALSE,"flujo";"DETALLE_1997",#N/A,FALSE,"flujo";"GASTOS_INCURRIDOS_1996",#N/A,FALSE,"flujo";"GASTOS_PROGRAMADOS_PARA_1997",#N/A,FALSE,"flujo";#N/A,#N/A,FALSE,"comparat";#N/A,#N/A,FALSE,"costos";#N/A,#N/A,FALSE,"proyctrol"}</definedName>
    <definedName name="GRMD_1" localSheetId="6" hidden="1">{"DETALLE_1996",#N/A,FALSE,"flujo";"DETALLE_1997",#N/A,FALSE,"flujo";"GASTOS_INCURRIDOS_1996",#N/A,FALSE,"flujo";"GASTOS_PROGRAMADOS_PARA_1997",#N/A,FALSE,"flujo";#N/A,#N/A,FALSE,"comparat";#N/A,#N/A,FALSE,"costos";#N/A,#N/A,FALSE,"proyctrol"}</definedName>
    <definedName name="GRMD_1" hidden="1">{"DETALLE_1996",#N/A,FALSE,"flujo";"DETALLE_1997",#N/A,FALSE,"flujo";"GASTOS_INCURRIDOS_1996",#N/A,FALSE,"flujo";"GASTOS_PROGRAMADOS_PARA_1997",#N/A,FALSE,"flujo";#N/A,#N/A,FALSE,"comparat";#N/A,#N/A,FALSE,"costos";#N/A,#N/A,FALSE,"proyctrol"}</definedName>
    <definedName name="GRMD1" localSheetId="4" hidden="1">{"DETALLE_1996",#N/A,FALSE,"flujo";"DETALLE_1997",#N/A,FALSE,"flujo";"GASTOS_INCURRIDOS_1996",#N/A,FALSE,"flujo";"GASTOS_PROGRAMADOS_PARA_1997",#N/A,FALSE,"flujo";#N/A,#N/A,FALSE,"comparat";#N/A,#N/A,FALSE,"costos";#N/A,#N/A,FALSE,"proyctrol"}</definedName>
    <definedName name="GRMD1" localSheetId="1" hidden="1">{"DETALLE_1996",#N/A,FALSE,"flujo";"DETALLE_1997",#N/A,FALSE,"flujo";"GASTOS_INCURRIDOS_1996",#N/A,FALSE,"flujo";"GASTOS_PROGRAMADOS_PARA_1997",#N/A,FALSE,"flujo";#N/A,#N/A,FALSE,"comparat";#N/A,#N/A,FALSE,"costos";#N/A,#N/A,FALSE,"proyctrol"}</definedName>
    <definedName name="GRMD1" localSheetId="6" hidden="1">{"DETALLE_1996",#N/A,FALSE,"flujo";"DETALLE_1997",#N/A,FALSE,"flujo";"GASTOS_INCURRIDOS_1996",#N/A,FALSE,"flujo";"GASTOS_PROGRAMADOS_PARA_1997",#N/A,FALSE,"flujo";#N/A,#N/A,FALSE,"comparat";#N/A,#N/A,FALSE,"costos";#N/A,#N/A,FALSE,"proyctrol"}</definedName>
    <definedName name="GRMD1" hidden="1">{"DETALLE_1996",#N/A,FALSE,"flujo";"DETALLE_1997",#N/A,FALSE,"flujo";"GASTOS_INCURRIDOS_1996",#N/A,FALSE,"flujo";"GASTOS_PROGRAMADOS_PARA_1997",#N/A,FALSE,"flujo";#N/A,#N/A,FALSE,"comparat";#N/A,#N/A,FALSE,"costos";#N/A,#N/A,FALSE,"proyctrol"}</definedName>
    <definedName name="Header">#REF!</definedName>
    <definedName name="heapFormationTariff" localSheetId="4">[0]!heapFormationTariffNominal*[0]!heapFormationTariffSensitivity</definedName>
    <definedName name="heapFormationTariff" localSheetId="1">'PLAN DE ACCION RESSO '!heapFormationTariffNominal*'PLAN DE ACCION RESSO '!heapFormationTariffSensitivity</definedName>
    <definedName name="heapFormationTariff">[0]!heapFormationTariffNominal*[0]!heapFormationTariffSensitivity</definedName>
    <definedName name="heapFormationTariffNominal" localSheetId="1">'[6]Cash Flows'!$C$130</definedName>
    <definedName name="heapFormationTariffNominal">'[5]Cash Flows'!$C$130</definedName>
    <definedName name="heapFormationTariffSensitivity" localSheetId="1">'[6]Cash Flows'!$B$130</definedName>
    <definedName name="heapFormationTariffSensitivity">'[5]Cash Flows'!$B$130</definedName>
    <definedName name="HGF" localSheetId="1">'[33]Resumen API'!$F$53:$S$56,'[33]Resumen API'!$C$50:$D$50,'[33]Resumen API'!$C$52:$D$52,'[33]Resumen API'!$F$26:$S$36,'[33]Resumen API'!$D$5:$M$9</definedName>
    <definedName name="HGF">'[34]Resumen API'!$F$53:$S$56,'[34]Resumen API'!$C$50:$D$50,'[34]Resumen API'!$C$52:$D$52,'[34]Resumen API'!$F$26:$S$36,'[34]Resumen API'!$D$5:$M$9</definedName>
    <definedName name="hh" localSheetId="4" hidden="1">{"DETALLE_1996",#N/A,FALSE,"flujo";"DETALLE_1997",#N/A,FALSE,"flujo";"GASTOS_INCURRIDOS_1996",#N/A,FALSE,"flujo";"GASTOS_PROGRAMADOS_PARA_1997",#N/A,FALSE,"flujo";#N/A,#N/A,FALSE,"comparat";#N/A,#N/A,FALSE,"costos";#N/A,#N/A,FALSE,"proyctrol"}</definedName>
    <definedName name="hh" localSheetId="1" hidden="1">{"DETALLE_1996",#N/A,FALSE,"flujo";"DETALLE_1997",#N/A,FALSE,"flujo";"GASTOS_INCURRIDOS_1996",#N/A,FALSE,"flujo";"GASTOS_PROGRAMADOS_PARA_1997",#N/A,FALSE,"flujo";#N/A,#N/A,FALSE,"comparat";#N/A,#N/A,FALSE,"costos";#N/A,#N/A,FALSE,"proyctrol"}</definedName>
    <definedName name="hh" localSheetId="6" hidden="1">{"DETALLE_1996",#N/A,FALSE,"flujo";"DETALLE_1997",#N/A,FALSE,"flujo";"GASTOS_INCURRIDOS_1996",#N/A,FALSE,"flujo";"GASTOS_PROGRAMADOS_PARA_1997",#N/A,FALSE,"flujo";#N/A,#N/A,FALSE,"comparat";#N/A,#N/A,FALSE,"costos";#N/A,#N/A,FALSE,"proyctrol"}</definedName>
    <definedName name="hh" hidden="1">{"DETALLE_1996",#N/A,FALSE,"flujo";"DETALLE_1997",#N/A,FALSE,"flujo";"GASTOS_INCURRIDOS_1996",#N/A,FALSE,"flujo";"GASTOS_PROGRAMADOS_PARA_1997",#N/A,FALSE,"flujo";#N/A,#N/A,FALSE,"comparat";#N/A,#N/A,FALSE,"costos";#N/A,#N/A,FALSE,"proyctrol"}</definedName>
    <definedName name="hidro" localSheetId="4" hidden="1">{"DETALLE_1996",#N/A,FALSE,"flujo";"DETALLE_1997",#N/A,FALSE,"flujo";"GASTOS_INCURRIDOS_1996",#N/A,FALSE,"flujo";"GASTOS_PROGRAMADOS_PARA_1997",#N/A,FALSE,"flujo";#N/A,#N/A,FALSE,"comparat";#N/A,#N/A,FALSE,"costos";#N/A,#N/A,FALSE,"proyctrol"}</definedName>
    <definedName name="hidro" localSheetId="1" hidden="1">{"DETALLE_1996",#N/A,FALSE,"flujo";"DETALLE_1997",#N/A,FALSE,"flujo";"GASTOS_INCURRIDOS_1996",#N/A,FALSE,"flujo";"GASTOS_PROGRAMADOS_PARA_1997",#N/A,FALSE,"flujo";#N/A,#N/A,FALSE,"comparat";#N/A,#N/A,FALSE,"costos";#N/A,#N/A,FALSE,"proyctrol"}</definedName>
    <definedName name="hidro" localSheetId="6" hidden="1">{"DETALLE_1996",#N/A,FALSE,"flujo";"DETALLE_1997",#N/A,FALSE,"flujo";"GASTOS_INCURRIDOS_1996",#N/A,FALSE,"flujo";"GASTOS_PROGRAMADOS_PARA_1997",#N/A,FALSE,"flujo";#N/A,#N/A,FALSE,"comparat";#N/A,#N/A,FALSE,"costos";#N/A,#N/A,FALSE,"proyctrol"}</definedName>
    <definedName name="hidro" hidden="1">{"DETALLE_1996",#N/A,FALSE,"flujo";"DETALLE_1997",#N/A,FALSE,"flujo";"GASTOS_INCURRIDOS_1996",#N/A,FALSE,"flujo";"GASTOS_PROGRAMADOS_PARA_1997",#N/A,FALSE,"flujo";#N/A,#N/A,FALSE,"comparat";#N/A,#N/A,FALSE,"costos";#N/A,#N/A,FALSE,"proyctrol"}</definedName>
    <definedName name="Hoja" localSheetId="1">'[32]ABR-2004'!#REF!</definedName>
    <definedName name="Hoja">'[31]ABR-2004'!#REF!</definedName>
    <definedName name="hoja1" localSheetId="4">IF(COMENTARIOS!copperProductionActualAnnual=0,"",'[5]Cash Flows'!$AI1048575/COMENTARIOS!copperProductionActualAnnual/[0]!lbsPerTon*1000)</definedName>
    <definedName name="hoja1" localSheetId="1">IF('PLAN DE ACCION RESSO '!copperProductionActualAnnual=0,"",'[6]Cash Flows'!$AI1048575/'PLAN DE ACCION RESSO '!copperProductionActualAnnual/[0]!lbsPerTon*1000)</definedName>
    <definedName name="hoja1" localSheetId="6">IF(COMENTARIOS!copperProductionActualAnnual=0,"",'[5]Cash Flows'!$AI1048575/COMENTARIOS!copperProductionActualAnnual/[0]!lbsPerTon*1000)</definedName>
    <definedName name="hoja1">IF([0]!copperProductionActualAnnual=0,"",'[5]Cash Flows'!$AI1048575/[0]!copperProductionActualAnnual/[0]!lbsPerTon*1000)</definedName>
    <definedName name="HTML_CodePage" hidden="1">1252</definedName>
    <definedName name="HTML_Control" localSheetId="4" hidden="1">{"'Hoja1'!$B$2:$E$82"}</definedName>
    <definedName name="HTML_Control" localSheetId="1" hidden="1">{"'Hoja1'!$B$2:$E$82"}</definedName>
    <definedName name="HTML_Control" localSheetId="6" hidden="1">{"'Hoja1'!$B$2:$E$82"}</definedName>
    <definedName name="HTML_Control" hidden="1">{"'Hoja1'!$B$2:$E$82"}</definedName>
    <definedName name="HTML_Description" hidden="1">""</definedName>
    <definedName name="HTML_Email" hidden="1">""</definedName>
    <definedName name="HTML_Header" hidden="1">""</definedName>
    <definedName name="HTML_LastUpdate" hidden="1">"20/08/2002"</definedName>
    <definedName name="HTML_LineAfter" hidden="1">FALSE</definedName>
    <definedName name="HTML_LineBefore" hidden="1">FALSE</definedName>
    <definedName name="HTML_Name" hidden="1">"GabRami"</definedName>
    <definedName name="HTML_OBDlg2" hidden="1">TRUE</definedName>
    <definedName name="HTML_OBDlg4" hidden="1">TRUE</definedName>
    <definedName name="HTML_OS" hidden="1">0</definedName>
    <definedName name="HTML_PathFile" hidden="1">"D:\Datos-2002\Costos Intranet\Costos y gastos.htm"</definedName>
    <definedName name="HTML_Title" hidden="1">""</definedName>
    <definedName name="imorsión5">#REF!</definedName>
    <definedName name="Impresión" localSheetId="4">#REF!</definedName>
    <definedName name="Impresión" localSheetId="6">#REF!</definedName>
    <definedName name="Impresión">#REF!</definedName>
    <definedName name="impresión1" localSheetId="4">#REF!</definedName>
    <definedName name="impresión1" localSheetId="6">#REF!</definedName>
    <definedName name="impresión1">#REF!</definedName>
    <definedName name="Impresión2" localSheetId="4">#REF!</definedName>
    <definedName name="Impresión2" localSheetId="6">#REF!</definedName>
    <definedName name="Impresión2">#REF!</definedName>
    <definedName name="Impresión3" localSheetId="4">#REF!</definedName>
    <definedName name="Impresión3" localSheetId="6">#REF!</definedName>
    <definedName name="Impresión3">#REF!</definedName>
    <definedName name="Impresión4" localSheetId="4">#REF!</definedName>
    <definedName name="Impresión4" localSheetId="6">#REF!</definedName>
    <definedName name="Impresión4">#REF!</definedName>
    <definedName name="Imprimir_área_IM" localSheetId="4">#REF!</definedName>
    <definedName name="Imprimir_área_IM" localSheetId="6">#REF!</definedName>
    <definedName name="Imprimir_área_IM">#REF!</definedName>
    <definedName name="Impuesto" localSheetId="4">#REF!</definedName>
    <definedName name="Impuesto" localSheetId="6">#REF!</definedName>
    <definedName name="Impuesto">#REF!</definedName>
    <definedName name="Include_Preconstruction_Sunk_Costs" localSheetId="1">'[6]Cash Flows'!$B$148</definedName>
    <definedName name="Include_Preconstruction_Sunk_Costs">'[5]Cash Flows'!$B$148</definedName>
    <definedName name="INCU" localSheetId="4" hidden="1">{"DETALLE_1996",#N/A,FALSE,"flujo";"DETALLE_1997",#N/A,FALSE,"flujo";"GASTOS_INCURRIDOS_1996",#N/A,FALSE,"flujo";"GASTOS_PROGRAMADOS_PARA_1997",#N/A,FALSE,"flujo";#N/A,#N/A,FALSE,"comparat";#N/A,#N/A,FALSE,"costos";#N/A,#N/A,FALSE,"proyctrol"}</definedName>
    <definedName name="INCU" localSheetId="1" hidden="1">{"DETALLE_1996",#N/A,FALSE,"flujo";"DETALLE_1997",#N/A,FALSE,"flujo";"GASTOS_INCURRIDOS_1996",#N/A,FALSE,"flujo";"GASTOS_PROGRAMADOS_PARA_1997",#N/A,FALSE,"flujo";#N/A,#N/A,FALSE,"comparat";#N/A,#N/A,FALSE,"costos";#N/A,#N/A,FALSE,"proyctrol"}</definedName>
    <definedName name="INCU" localSheetId="6" hidden="1">{"DETALLE_1996",#N/A,FALSE,"flujo";"DETALLE_1997",#N/A,FALSE,"flujo";"GASTOS_INCURRIDOS_1996",#N/A,FALSE,"flujo";"GASTOS_PROGRAMADOS_PARA_1997",#N/A,FALSE,"flujo";#N/A,#N/A,FALSE,"comparat";#N/A,#N/A,FALSE,"costos";#N/A,#N/A,FALSE,"proyctrol"}</definedName>
    <definedName name="INCU" hidden="1">{"DETALLE_1996",#N/A,FALSE,"flujo";"DETALLE_1997",#N/A,FALSE,"flujo";"GASTOS_INCURRIDOS_1996",#N/A,FALSE,"flujo";"GASTOS_PROGRAMADOS_PARA_1997",#N/A,FALSE,"flujo";#N/A,#N/A,FALSE,"comparat";#N/A,#N/A,FALSE,"costos";#N/A,#N/A,FALSE,"proyctrol"}</definedName>
    <definedName name="IncurProg">#REF!</definedName>
    <definedName name="Informe" localSheetId="4">#REF!</definedName>
    <definedName name="Informe" localSheetId="6">#REF!</definedName>
    <definedName name="Informe">#REF!</definedName>
    <definedName name="INFORME_COSTOS" localSheetId="4">#REF!</definedName>
    <definedName name="INFORME_COSTOS" localSheetId="6">#REF!</definedName>
    <definedName name="INFORME_COSTOS">#REF!</definedName>
    <definedName name="ingacum" localSheetId="4">#REF!</definedName>
    <definedName name="ingacum" localSheetId="6">#REF!</definedName>
    <definedName name="ingacum">#REF!</definedName>
    <definedName name="ingacummes" localSheetId="4">#REF!</definedName>
    <definedName name="ingacummes" localSheetId="6">#REF!</definedName>
    <definedName name="ingacummes">#REF!</definedName>
    <definedName name="ingacumppto" localSheetId="4">#REF!</definedName>
    <definedName name="ingacumppto" localSheetId="6">#REF!</definedName>
    <definedName name="ingacumppto">#REF!</definedName>
    <definedName name="ingacumreal" localSheetId="4">#REF!</definedName>
    <definedName name="ingacumreal" localSheetId="6">#REF!</definedName>
    <definedName name="ingacumreal">#REF!</definedName>
    <definedName name="ingaño" localSheetId="4">#REF!</definedName>
    <definedName name="ingaño" localSheetId="6">#REF!</definedName>
    <definedName name="ingaño">#REF!</definedName>
    <definedName name="ingañoppto" localSheetId="4">#REF!</definedName>
    <definedName name="ingañoppto" localSheetId="6">#REF!</definedName>
    <definedName name="ingañoppto">#REF!</definedName>
    <definedName name="ingmes" localSheetId="4">#REF!</definedName>
    <definedName name="ingmes" localSheetId="6">#REF!</definedName>
    <definedName name="ingmes">#REF!</definedName>
    <definedName name="ingmesppto" localSheetId="4">#REF!</definedName>
    <definedName name="ingmesppto" localSheetId="6">#REF!</definedName>
    <definedName name="ingmesppto">#REF!</definedName>
    <definedName name="INGRESO" localSheetId="4">#REF!</definedName>
    <definedName name="INGRESO" localSheetId="6">#REF!</definedName>
    <definedName name="INGRESO">#REF!</definedName>
    <definedName name="Ingresos" localSheetId="1">[26]Ingresos!$Q$13</definedName>
    <definedName name="Ingresos">[27]Ingresos!$Q$13</definedName>
    <definedName name="initialWorkingCapital">0</definedName>
    <definedName name="Interés">#REF!</definedName>
    <definedName name="INVERSIONES" localSheetId="4">#REF!</definedName>
    <definedName name="INVERSIONES" localSheetId="6">#REF!</definedName>
    <definedName name="INVERSIONES">#REF!</definedName>
    <definedName name="IPMUSA" localSheetId="4">#REF!</definedName>
    <definedName name="IPMUSA" localSheetId="6">#REF!</definedName>
    <definedName name="IPMUSA">#REF!</definedName>
    <definedName name="jeremi">OFFSET([21]Dand!#REF!, 0, 0, COUNTA([21]Dand!$CH$1:$CH$65536), 1)</definedName>
    <definedName name="JUANITO"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UU" localSheetId="4" hidden="1">{"DETALLE_1996",#N/A,FALSE,"flujo";"DETALLE_1997",#N/A,FALSE,"flujo";"GASTOS_INCURRIDOS_1996",#N/A,FALSE,"flujo";"GASTOS_PROGRAMADOS_PARA_1997",#N/A,FALSE,"flujo";#N/A,#N/A,FALSE,"comparat";#N/A,#N/A,FALSE,"costos";#N/A,#N/A,FALSE,"proyctrol"}</definedName>
    <definedName name="JUUU" localSheetId="1" hidden="1">{"DETALLE_1996",#N/A,FALSE,"flujo";"DETALLE_1997",#N/A,FALSE,"flujo";"GASTOS_INCURRIDOS_1996",#N/A,FALSE,"flujo";"GASTOS_PROGRAMADOS_PARA_1997",#N/A,FALSE,"flujo";#N/A,#N/A,FALSE,"comparat";#N/A,#N/A,FALSE,"costos";#N/A,#N/A,FALSE,"proyctrol"}</definedName>
    <definedName name="JUUU" localSheetId="6" hidden="1">{"DETALLE_1996",#N/A,FALSE,"flujo";"DETALLE_1997",#N/A,FALSE,"flujo";"GASTOS_INCURRIDOS_1996",#N/A,FALSE,"flujo";"GASTOS_PROGRAMADOS_PARA_1997",#N/A,FALSE,"flujo";#N/A,#N/A,FALSE,"comparat";#N/A,#N/A,FALSE,"costos";#N/A,#N/A,FALSE,"proyctrol"}</definedName>
    <definedName name="JUUU" hidden="1">{"DETALLE_1996",#N/A,FALSE,"flujo";"DETALLE_1997",#N/A,FALSE,"flujo";"GASTOS_INCURRIDOS_1996",#N/A,FALSE,"flujo";"GASTOS_PROGRAMADOS_PARA_1997",#N/A,FALSE,"flujo";#N/A,#N/A,FALSE,"comparat";#N/A,#N/A,FALSE,"costos";#N/A,#N/A,FALSE,"proyctrol"}</definedName>
    <definedName name="ka">OFFSET([21]Dand!#REF!, 0, 0, COUNTA([21]Dand!$CH$1:$CH$65536), 1)</definedName>
    <definedName name="kTonsPerYear" localSheetId="4">[0]!copperProductionAnnual/1000</definedName>
    <definedName name="kTonsPerYear" localSheetId="1">'PLAN DE ACCION RESSO '!copperProductionAnnual/1000</definedName>
    <definedName name="kTonsPerYear">[0]!copperProductionAnnual/1000</definedName>
    <definedName name="lbsPerTon">2204.6</definedName>
    <definedName name="LCOCABTA">#REF!</definedName>
    <definedName name="LCOCABTB" localSheetId="4">#REF!</definedName>
    <definedName name="LCOCABTB" localSheetId="6">#REF!</definedName>
    <definedName name="LCOCABTB">#REF!</definedName>
    <definedName name="LCOCABTC" localSheetId="4">#REF!</definedName>
    <definedName name="LCOCABTC" localSheetId="6">#REF!</definedName>
    <definedName name="LCOCABTC">#REF!</definedName>
    <definedName name="lixsblacum" localSheetId="4">#REF!</definedName>
    <definedName name="lixsblacum" localSheetId="6">#REF!</definedName>
    <definedName name="lixsblacum">#REF!</definedName>
    <definedName name="lixsblacummes" localSheetId="4">#REF!</definedName>
    <definedName name="lixsblacummes" localSheetId="6">#REF!</definedName>
    <definedName name="lixsblacummes">#REF!</definedName>
    <definedName name="lixsblacumppto" localSheetId="4">#REF!</definedName>
    <definedName name="lixsblacumppto" localSheetId="6">#REF!</definedName>
    <definedName name="lixsblacumppto">#REF!</definedName>
    <definedName name="lixsblacumreal" localSheetId="4">#REF!</definedName>
    <definedName name="lixsblacumreal" localSheetId="6">#REF!</definedName>
    <definedName name="lixsblacumreal">#REF!</definedName>
    <definedName name="lixsblaño" localSheetId="4">#REF!</definedName>
    <definedName name="lixsblaño" localSheetId="6">#REF!</definedName>
    <definedName name="lixsblaño">#REF!</definedName>
    <definedName name="lixsblañoppto" localSheetId="4">#REF!</definedName>
    <definedName name="lixsblañoppto" localSheetId="6">#REF!</definedName>
    <definedName name="lixsblañoppto">#REF!</definedName>
    <definedName name="lixsblmes" localSheetId="4">#REF!</definedName>
    <definedName name="lixsblmes" localSheetId="6">#REF!</definedName>
    <definedName name="lixsblmes">#REF!</definedName>
    <definedName name="lixsblmesppto" localSheetId="4">#REF!</definedName>
    <definedName name="lixsblmesppto" localSheetId="6">#REF!</definedName>
    <definedName name="lixsblmesppto">#REF!</definedName>
    <definedName name="ll"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uis">#REF!</definedName>
    <definedName name="manacum" localSheetId="4">#REF!</definedName>
    <definedName name="manacum" localSheetId="6">#REF!</definedName>
    <definedName name="manacum">#REF!</definedName>
    <definedName name="manacummes" localSheetId="4">#REF!</definedName>
    <definedName name="manacummes" localSheetId="6">#REF!</definedName>
    <definedName name="manacummes">#REF!</definedName>
    <definedName name="manacumppto" localSheetId="4">#REF!</definedName>
    <definedName name="manacumppto" localSheetId="6">#REF!</definedName>
    <definedName name="manacumppto">#REF!</definedName>
    <definedName name="manacumreal" localSheetId="4">#REF!</definedName>
    <definedName name="manacumreal" localSheetId="6">#REF!</definedName>
    <definedName name="manacumreal">#REF!</definedName>
    <definedName name="Management" localSheetId="4">'[5]Cash Flows'!#REF!</definedName>
    <definedName name="Management" localSheetId="1">'[6]Cash Flows'!#REF!</definedName>
    <definedName name="Management" localSheetId="6">'[5]Cash Flows'!#REF!</definedName>
    <definedName name="Management">'[5]Cash Flows'!#REF!</definedName>
    <definedName name="manaño" localSheetId="4">#REF!</definedName>
    <definedName name="manaño" localSheetId="6">#REF!</definedName>
    <definedName name="manaño">#REF!</definedName>
    <definedName name="manañoppto" localSheetId="4">#REF!</definedName>
    <definedName name="manañoppto" localSheetId="6">#REF!</definedName>
    <definedName name="manañoppto">#REF!</definedName>
    <definedName name="manmes" localSheetId="4">#REF!</definedName>
    <definedName name="manmes" localSheetId="6">#REF!</definedName>
    <definedName name="manmes">#REF!</definedName>
    <definedName name="manmesppto" localSheetId="4">#REF!</definedName>
    <definedName name="manmesppto" localSheetId="6">#REF!</definedName>
    <definedName name="manmesppto">#REF!</definedName>
    <definedName name="Memo" localSheetId="4">'[5]Cash Flows'!#REF!</definedName>
    <definedName name="Memo" localSheetId="1">'[6]Cash Flows'!#REF!</definedName>
    <definedName name="Memo" localSheetId="6">'[5]Cash Flows'!#REF!</definedName>
    <definedName name="Memo">'[5]Cash Flows'!#REF!</definedName>
    <definedName name="Mes_CON" localSheetId="1">[13]FACT!$C$2</definedName>
    <definedName name="Mes_CON">[14]FACT!$C$2</definedName>
    <definedName name="Mes_NRO" localSheetId="1">[13]FACT!$C$4</definedName>
    <definedName name="Mes_NRO">[14]FACT!$C$4</definedName>
    <definedName name="Mes_UP" localSheetId="1">[13]FACT!$C$3</definedName>
    <definedName name="Mes_UP">[14]FACT!$C$3</definedName>
    <definedName name="Mine" localSheetId="4">COMENTARIOS!Mine</definedName>
    <definedName name="Mine" localSheetId="1">'PLAN DE ACCION RESSO '!Mine</definedName>
    <definedName name="Mine" localSheetId="6">COMENTARIOS!Mine</definedName>
    <definedName name="Mine">[0]!Mine</definedName>
    <definedName name="Mine_Construction_Period_CAPX__less_Mine_Equipment" localSheetId="4">'[5]Cash Flows'!#REF!</definedName>
    <definedName name="Mine_Construction_Period_CAPX__less_Mine_Equipment" localSheetId="1">'[6]Cash Flows'!#REF!</definedName>
    <definedName name="Mine_Construction_Period_CAPX__less_Mine_Equipment" localSheetId="6">'[5]Cash Flows'!#REF!</definedName>
    <definedName name="Mine_Construction_Period_CAPX__less_Mine_Equipment">'[5]Cash Flows'!#REF!</definedName>
    <definedName name="Mine_Partial_Year_Factor" localSheetId="4">'[5]Mine Plan'!#REF!</definedName>
    <definedName name="Mine_Partial_Year_Factor" localSheetId="1">'[6]Mine Plan'!#REF!</definedName>
    <definedName name="Mine_Partial_Year_Factor" localSheetId="6">'[5]Mine Plan'!#REF!</definedName>
    <definedName name="Mine_Partial_Year_Factor">'[5]Mine Plan'!#REF!</definedName>
    <definedName name="Mine_SA_Labor" localSheetId="1">'[6]Mine Op Costs'!#REF!</definedName>
    <definedName name="Mine_SA_Labor">'[5]Mine Op Costs'!#REF!</definedName>
    <definedName name="mineHaulageTariff" localSheetId="4">[0]!mineHaulageTariffNominal*[0]!mineHaulageTariffSensitivity</definedName>
    <definedName name="mineHaulageTariff" localSheetId="1">'PLAN DE ACCION RESSO '!mineHaulageTariffNominal*'PLAN DE ACCION RESSO '!mineHaulageTariffSensitivity</definedName>
    <definedName name="mineHaulageTariff">[0]!mineHaulageTariffNominal*[0]!mineHaulageTariffSensitivity</definedName>
    <definedName name="mineHaulageTariffNominal" localSheetId="1">'[6]Cash Flows'!$C$132</definedName>
    <definedName name="mineHaulageTariffNominal">'[5]Cash Flows'!$C$132</definedName>
    <definedName name="mineHaulageTariffSensitivity" localSheetId="1">'[6]Cash Flows'!$B$132</definedName>
    <definedName name="mineHaulageTariffSensitivity">'[5]Cash Flows'!$B$132</definedName>
    <definedName name="mm"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ODEL_Crushing_and_Pile_Formation_Daily_Costs" localSheetId="1">'[6]Plant Operating Expenses'!#REF!</definedName>
    <definedName name="MODEL_Crushing_and_Pile_Formation_Daily_Costs">'[5]Plant Operating Expenses'!#REF!</definedName>
    <definedName name="MODEL_Crushing_and_Pile_Formation_Operating_Supplies_Costs" localSheetId="1">'[6]Plant Operating Expenses'!#REF!</definedName>
    <definedName name="MODEL_Crushing_and_Pile_Formation_Operating_Supplies_Costs">'[5]Plant Operating Expenses'!#REF!</definedName>
    <definedName name="MODEL_Crushing_and_Pile_Formation_Outsourcing_Heap_Formattion_Tariffs_Costs" localSheetId="1">'[6]Plant Operating Expenses'!#REF!</definedName>
    <definedName name="MODEL_Crushing_and_Pile_Formation_Outsourcing_Heap_Formattion_Tariffs_Costs">'[5]Plant Operating Expenses'!#REF!</definedName>
    <definedName name="MODEL_Crushing_and_Pile_Formation_Supervision_Costs" localSheetId="1">'[6]Plant Operating Expenses'!#REF!</definedName>
    <definedName name="MODEL_Crushing_and_Pile_Formation_Supervision_Costs">'[5]Plant Operating Expenses'!#REF!</definedName>
    <definedName name="MODEL_Leach__SX_and_EW_Contracts_Costs" localSheetId="1">'[6]Plant Operating Expenses'!#REF!</definedName>
    <definedName name="MODEL_Leach__SX_and_EW_Contracts_Costs">'[5]Plant Operating Expenses'!#REF!</definedName>
    <definedName name="modelStartDate">33604</definedName>
    <definedName name="modelYear" localSheetId="1">'[6]Cash Flows'!#REF!</definedName>
    <definedName name="modelYear">'[5]Cash Flows'!#REF!</definedName>
    <definedName name="MODO_C">#REF!</definedName>
    <definedName name="myPosition" localSheetId="1">CELL("address",'[6]Cash Flows'!A1)</definedName>
    <definedName name="myPosition">CELL("address",'[5]Cash Flows'!A1)</definedName>
    <definedName name="myYear" localSheetId="1">YEAR('[6]Cash Flows'!#REF!)</definedName>
    <definedName name="myYear">YEAR('[5]Cash Flows'!#REF!)</definedName>
    <definedName name="Ngrupo">#REF!</definedName>
    <definedName name="Nivel_Aprendizaje" localSheetId="1">[35]Lista!$B$19:$B$20</definedName>
    <definedName name="Nivel_Aprendizaje">[20]Lista!$B$19:$B$20</definedName>
    <definedName name="Nivel_Conductual" localSheetId="1">[35]Lista!$B$16:$B$17</definedName>
    <definedName name="Nivel_Conductual">[20]Lista!$B$16:$B$17</definedName>
    <definedName name="Nivel_ECF" localSheetId="1">[35]Lista!$B$7:$B$8</definedName>
    <definedName name="Nivel_ECF">[20]Lista!$B$7:$B$8</definedName>
    <definedName name="Nivel_EST" localSheetId="1">[35]Lista!$B$10:$B$11</definedName>
    <definedName name="Nivel_EST">[20]Lista!$B$10:$B$11</definedName>
    <definedName name="Nivel_Liderazgo" localSheetId="1">[35]Lista!$B$13:$B$14</definedName>
    <definedName name="Nivel_Liderazgo">[20]Lista!$B$13:$B$14</definedName>
    <definedName name="NProyecto">#REF!</definedName>
    <definedName name="OBSERV" localSheetId="4">#REF!</definedName>
    <definedName name="OBSERV" localSheetId="6">#REF!</definedName>
    <definedName name="OBSERV">#REF!</definedName>
    <definedName name="Ore_Leached" localSheetId="1">'[6]Plant Unit Consumption'!#REF!</definedName>
    <definedName name="Ore_Leached">'[5]Plant Unit Consumption'!#REF!</definedName>
    <definedName name="oreProductionDaily">26640</definedName>
    <definedName name="oreProductionNominal" localSheetId="4">COMENTARIOS!copperProductionActualAnnual/[0]!copperProductionAnnual</definedName>
    <definedName name="oreProductionNominal" localSheetId="1">'PLAN DE ACCION RESSO '!copperProductionActualAnnual/'PLAN DE ACCION RESSO '!copperProductionAnnual</definedName>
    <definedName name="oreProductionNominal" localSheetId="6">COMENTARIOS!copperProductionActualAnnual/[0]!copperProductionAnnual</definedName>
    <definedName name="oreProductionNominal">[0]!copperProductionActualAnnual/[0]!copperProductionAnnual</definedName>
    <definedName name="outSourceSwitch" localSheetId="4">IF([0]!Use_Outsourcing="Yes",0,1)</definedName>
    <definedName name="outSourceSwitch" localSheetId="1">IF('PLAN DE ACCION RESSO '!Use_Outsourcing="Yes",0,1)</definedName>
    <definedName name="outSourceSwitch">IF([0]!Use_Outsourcing="Yes",0,1)</definedName>
    <definedName name="Owners_Costs" localSheetId="4">'[5]Plant &amp; Mine CAPX'!#REF!</definedName>
    <definedName name="Owners_Costs" localSheetId="1">'[6]Plant &amp; Mine CAPX'!#REF!</definedName>
    <definedName name="Owners_Costs" localSheetId="6">'[5]Plant &amp; Mine CAPX'!#REF!</definedName>
    <definedName name="Owners_Costs">'[5]Plant &amp; Mine CAPX'!#REF!</definedName>
    <definedName name="P_base" localSheetId="4">#REF!</definedName>
    <definedName name="P_base" localSheetId="6">#REF!</definedName>
    <definedName name="P_base">#REF!</definedName>
    <definedName name="PAGINA1" localSheetId="1">[36]Producción!$A$13:$P$54</definedName>
    <definedName name="PAGINA1">[37]Producción!$A$13:$P$54</definedName>
    <definedName name="PAGINA2" localSheetId="1">[36]Producción!$A$45:$N$77</definedName>
    <definedName name="PAGINA2">[37]Producción!$A$45:$N$77</definedName>
    <definedName name="PAGINA3" localSheetId="1">[36]Producción!$A$79:$N$110</definedName>
    <definedName name="PAGINA3">[37]Producción!$A$79:$N$110</definedName>
    <definedName name="PAGINA4" localSheetId="1">[36]Producción!$A$113:$P$150</definedName>
    <definedName name="PAGINA4">[37]Producción!$A$113:$P$150</definedName>
    <definedName name="PARIDAD">#REF!</definedName>
    <definedName name="Partial_Year_Factor" localSheetId="1">'[24]Mine Plan'!$B$29:$AF$29</definedName>
    <definedName name="Partial_Year_Factor">'[25]Mine Plan'!$B$29:$AF$29</definedName>
    <definedName name="partialYearStart" localSheetId="4">(COMENTARIOS!productionStartDate-[0]!modelYear)/365</definedName>
    <definedName name="partialYearStart" localSheetId="1">('PLAN DE ACCION RESSO '!productionStartDate-'PLAN DE ACCION RESSO '!modelYear)/365</definedName>
    <definedName name="partialYearStart" localSheetId="6">(COMENTARIOS!productionStartDate-[0]!modelYear)/365</definedName>
    <definedName name="partialYearStart">([0]!productionStartDate-[0]!modelYear)/365</definedName>
    <definedName name="partialYearStop" localSheetId="4">([0]!productionstopdate-[0]!modelYear)/365</definedName>
    <definedName name="partialYearStop" localSheetId="1">('PLAN DE ACCION RESSO '!productionstopdate-'PLAN DE ACCION RESSO '!modelYear)/365</definedName>
    <definedName name="partialYearStop">([0]!productionstopdate-[0]!modelYear)/365</definedName>
    <definedName name="patacum" localSheetId="4">#REF!</definedName>
    <definedName name="patacum" localSheetId="6">#REF!</definedName>
    <definedName name="patacum">#REF!</definedName>
    <definedName name="patacummes" localSheetId="4">#REF!</definedName>
    <definedName name="patacummes" localSheetId="6">#REF!</definedName>
    <definedName name="patacummes">#REF!</definedName>
    <definedName name="patacumppto" localSheetId="4">#REF!</definedName>
    <definedName name="patacumppto" localSheetId="6">#REF!</definedName>
    <definedName name="patacumppto">#REF!</definedName>
    <definedName name="patacumreal" localSheetId="4">#REF!</definedName>
    <definedName name="patacumreal" localSheetId="6">#REF!</definedName>
    <definedName name="patacumreal">#REF!</definedName>
    <definedName name="pataño" localSheetId="4">#REF!</definedName>
    <definedName name="pataño" localSheetId="6">#REF!</definedName>
    <definedName name="pataño">#REF!</definedName>
    <definedName name="patañoppto" localSheetId="4">#REF!</definedName>
    <definedName name="patañoppto" localSheetId="6">#REF!</definedName>
    <definedName name="patañoppto">#REF!</definedName>
    <definedName name="patmes" localSheetId="4">#REF!</definedName>
    <definedName name="patmes" localSheetId="6">#REF!</definedName>
    <definedName name="patmes">#REF!</definedName>
    <definedName name="patmesppto" localSheetId="4">#REF!</definedName>
    <definedName name="patmesppto" localSheetId="6">#REF!</definedName>
    <definedName name="patmesppto">#REF!</definedName>
    <definedName name="pct" localSheetId="4">#REF!</definedName>
    <definedName name="pct" localSheetId="6">#REF!</definedName>
    <definedName name="pct">#REF!</definedName>
    <definedName name="planilla" localSheetId="4">#REF!</definedName>
    <definedName name="planilla" localSheetId="6">#REF!</definedName>
    <definedName name="planilla">#REF!</definedName>
    <definedName name="PLATA" localSheetId="4">#REF!</definedName>
    <definedName name="PLATA" localSheetId="6">#REF!</definedName>
    <definedName name="PLATA">#REF!</definedName>
    <definedName name="polacum" localSheetId="4">#REF!</definedName>
    <definedName name="polacum" localSheetId="6">#REF!</definedName>
    <definedName name="polacum">#REF!</definedName>
    <definedName name="polacummes" localSheetId="4">#REF!</definedName>
    <definedName name="polacummes" localSheetId="6">#REF!</definedName>
    <definedName name="polacummes">#REF!</definedName>
    <definedName name="polacumppto" localSheetId="4">#REF!</definedName>
    <definedName name="polacumppto" localSheetId="6">#REF!</definedName>
    <definedName name="polacumppto">#REF!</definedName>
    <definedName name="polacumreal" localSheetId="4">#REF!</definedName>
    <definedName name="polacumreal" localSheetId="6">#REF!</definedName>
    <definedName name="polacumreal">#REF!</definedName>
    <definedName name="polaño" localSheetId="4">#REF!</definedName>
    <definedName name="polaño" localSheetId="6">#REF!</definedName>
    <definedName name="polaño">#REF!</definedName>
    <definedName name="polañoppto" localSheetId="4">#REF!</definedName>
    <definedName name="polañoppto" localSheetId="6">#REF!</definedName>
    <definedName name="polañoppto">#REF!</definedName>
    <definedName name="polmes" localSheetId="4">#REF!</definedName>
    <definedName name="polmes" localSheetId="6">#REF!</definedName>
    <definedName name="polmes">#REF!</definedName>
    <definedName name="polmesppto" localSheetId="4">#REF!</definedName>
    <definedName name="polmesppto" localSheetId="6">#REF!</definedName>
    <definedName name="polmesppto">#REF!</definedName>
    <definedName name="PONCONREC" localSheetId="4">#REF!</definedName>
    <definedName name="PONCONREC" localSheetId="6">#REF!</definedName>
    <definedName name="PONCONREC">#REF!</definedName>
    <definedName name="pp"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REMIO_DESCUENTO">#REF!</definedName>
    <definedName name="preProductionDurationMonths">2</definedName>
    <definedName name="preProductionWC" localSheetId="4">COMENTARIOS!productionStartFlag*4315</definedName>
    <definedName name="preProductionWC" localSheetId="1">'PLAN DE ACCION RESSO '!productionStartFlag*4315</definedName>
    <definedName name="preProductionWC" localSheetId="6">COMENTARIOS!productionStartFlag*4315</definedName>
    <definedName name="preProductionWC">[0]!productionStartFlag*4315</definedName>
    <definedName name="PRESUPUESTO" localSheetId="4">#REF!</definedName>
    <definedName name="PRESUPUESTO" localSheetId="6">#REF!</definedName>
    <definedName name="PRESUPUESTO">#REF!</definedName>
    <definedName name="Price_LME" localSheetId="4">#REF!</definedName>
    <definedName name="Price_LME" localSheetId="6">#REF!</definedName>
    <definedName name="Price_LME">#REF!</definedName>
    <definedName name="priceFlag100" localSheetId="1">IF([6]Revenues!$B$10=1,1,0)</definedName>
    <definedName name="priceFlag100">IF([5]Revenues!$B$10=1,1,0)</definedName>
    <definedName name="priceFlag70" localSheetId="1">IF([6]Revenues!$B$10=0.7,1,0)</definedName>
    <definedName name="priceFlag70">IF([5]Revenues!$B$10=0.7,1,0)</definedName>
    <definedName name="priceFlag85" localSheetId="1">IF([6]Revenues!$B$10=0.85,1,0)</definedName>
    <definedName name="priceFlag85">IF([5]Revenues!$B$10=0.85,1,0)</definedName>
    <definedName name="pricingPerLbCu" localSheetId="4">IF(COMENTARIOS!copperProductionActualAnnual=0,"",'[5]Cash Flows'!$AI1048575/COMENTARIOS!copperProductionActualAnnual/[0]!lbsPerTon*1000)</definedName>
    <definedName name="pricingPerLbCu" localSheetId="1">IF('PLAN DE ACCION RESSO '!copperProductionActualAnnual=0,"",'[6]Cash Flows'!$AI1048575/'PLAN DE ACCION RESSO '!copperProductionActualAnnual/[0]!lbsPerTon*1000)</definedName>
    <definedName name="pricingPerLbCu" localSheetId="6">IF(COMENTARIOS!copperProductionActualAnnual=0,"",'[5]Cash Flows'!$AI1048575/COMENTARIOS!copperProductionActualAnnual/[0]!lbsPerTon*1000)</definedName>
    <definedName name="pricingPerLbCu">IF([0]!copperProductionActualAnnual=0,"",'[5]Cash Flows'!$AI1048575/[0]!copperProductionActualAnnual/[0]!lbsPerTon*1000)</definedName>
    <definedName name="pricingPerTonOre" localSheetId="4">IF([0]!oreProduction=0,"",'[5]Cash Flows'!A1048376/[0]!oreProduction/[0]!shiftPeriodConversion*1000)</definedName>
    <definedName name="pricingPerTonOre" localSheetId="1">IF([0]!oreProduction=0,"",'[6]Cash Flows'!A1048376/[0]!oreProduction/[0]!shiftPeriodConversion*1000)</definedName>
    <definedName name="pricingPerTonOre">IF([0]!oreProduction=0,"",'[5]Cash Flows'!A1048376/[0]!oreProduction/[0]!shiftPeriodConversion*1000)</definedName>
    <definedName name="Print_Area" localSheetId="4">#REF!</definedName>
    <definedName name="Print_Area" localSheetId="6">#REF!</definedName>
    <definedName name="Print_Area">#REF!</definedName>
    <definedName name="Print_Area_MI" localSheetId="4">[1]GENERAL!#REF!</definedName>
    <definedName name="Print_Area_MI" localSheetId="1">[2]GENERAL!#REF!</definedName>
    <definedName name="Print_Area_MI" localSheetId="6">[1]GENERAL!#REF!</definedName>
    <definedName name="Print_Area_MI">[1]GENERAL!#REF!</definedName>
    <definedName name="Print_Titles_MI" localSheetId="1">[2]GENERAL!$A$2:$IV$6</definedName>
    <definedName name="Print_Titles_MI">[1]GENERAL!$A$2:$IV$6</definedName>
    <definedName name="Production_Start_Date" localSheetId="1">'[6]Timing &amp; Assumptions'!$B$12</definedName>
    <definedName name="Production_Start_Date">'[5]Timing &amp; Assumptions'!$B$12</definedName>
    <definedName name="productionDurationMonths" localSheetId="1">'[6]Timing &amp; Assumptions'!$B$13</definedName>
    <definedName name="productionDurationMonths">'[5]Timing &amp; Assumptions'!$B$13</definedName>
    <definedName name="productionStartDate" localSheetId="4">[0]!Production_Start_Date</definedName>
    <definedName name="productionStartDate" localSheetId="1">'PLAN DE ACCION RESSO '!Production_Start_Date</definedName>
    <definedName name="productionStartDate">[0]!Production_Start_Date</definedName>
    <definedName name="productionStartFlag" localSheetId="4">IF(YEAR(COMENTARIOS!productionStartDate)=YEAR([0]!modelYear),1,0)</definedName>
    <definedName name="productionStartFlag" localSheetId="1">IF(YEAR('PLAN DE ACCION RESSO '!productionStartDate)=YEAR('PLAN DE ACCION RESSO '!modelYear),1,0)</definedName>
    <definedName name="productionStartFlag" localSheetId="6">IF(YEAR(COMENTARIOS!productionStartDate)=YEAR([0]!modelYear),1,0)</definedName>
    <definedName name="productionStartFlag">IF(YEAR([0]!productionStartDate)=YEAR([0]!modelYear),1,0)</definedName>
    <definedName name="productionstopdate" localSheetId="1">'[6]Timing &amp; Assumptions'!$C$14</definedName>
    <definedName name="productionstopdate">'[5]Timing &amp; Assumptions'!$C$14</definedName>
    <definedName name="productionStopFlag" localSheetId="4">IF(YEAR([0]!productionstopdate)=YEAR([0]!modelYear),1,0)</definedName>
    <definedName name="productionStopFlag" localSheetId="1">IF(YEAR('PLAN DE ACCION RESSO '!productionstopdate)=YEAR('PLAN DE ACCION RESSO '!modelYear),1,0)</definedName>
    <definedName name="productionStopFlag">IF(YEAR([0]!productionstopdate)=YEAR([0]!modelYear),1,0)</definedName>
    <definedName name="Profesor_Guía" localSheetId="4">#REF!</definedName>
    <definedName name="Profesor_Guía" localSheetId="6">#REF!</definedName>
    <definedName name="Profesor_Guía">#REF!</definedName>
    <definedName name="Profesor_Supervisor" localSheetId="4">#REF!</definedName>
    <definedName name="Profesor_Supervisor" localSheetId="6">#REF!</definedName>
    <definedName name="Profesor_Supervisor">#REF!</definedName>
    <definedName name="PROGINC" localSheetId="4" hidden="1">{"DETALLE_1996",#N/A,FALSE,"flujo";"DETALLE_1997",#N/A,FALSE,"flujo";"GASTOS_INCURRIDOS_1996",#N/A,FALSE,"flujo";"GASTOS_PROGRAMADOS_PARA_1997",#N/A,FALSE,"flujo";#N/A,#N/A,FALSE,"comparat";#N/A,#N/A,FALSE,"costos";#N/A,#N/A,FALSE,"proyctrol"}</definedName>
    <definedName name="PROGINC" localSheetId="1" hidden="1">{"DETALLE_1996",#N/A,FALSE,"flujo";"DETALLE_1997",#N/A,FALSE,"flujo";"GASTOS_INCURRIDOS_1996",#N/A,FALSE,"flujo";"GASTOS_PROGRAMADOS_PARA_1997",#N/A,FALSE,"flujo";#N/A,#N/A,FALSE,"comparat";#N/A,#N/A,FALSE,"costos";#N/A,#N/A,FALSE,"proyctrol"}</definedName>
    <definedName name="PROGINC" localSheetId="6" hidden="1">{"DETALLE_1996",#N/A,FALSE,"flujo";"DETALLE_1997",#N/A,FALSE,"flujo";"GASTOS_INCURRIDOS_1996",#N/A,FALSE,"flujo";"GASTOS_PROGRAMADOS_PARA_1997",#N/A,FALSE,"flujo";#N/A,#N/A,FALSE,"comparat";#N/A,#N/A,FALSE,"costos";#N/A,#N/A,FALSE,"proyctrol"}</definedName>
    <definedName name="PROGINC" hidden="1">{"DETALLE_1996",#N/A,FALSE,"flujo";"DETALLE_1997",#N/A,FALSE,"flujo";"GASTOS_INCURRIDOS_1996",#N/A,FALSE,"flujo";"GASTOS_PROGRAMADOS_PARA_1997",#N/A,FALSE,"flujo";#N/A,#N/A,FALSE,"comparat";#N/A,#N/A,FALSE,"costos";#N/A,#N/A,FALSE,"proyctrol"}</definedName>
    <definedName name="PROGRAMA__Y_CONTROL_DE_COSTOS_1996">[38]INC.CTE!$A$11:$AF$50</definedName>
    <definedName name="projectDurationMonths" localSheetId="4">[0]!productionDurationMonths+[0]!constructionDurationMonths+[0]!preProductionDurationMonths</definedName>
    <definedName name="projectDurationMonths" localSheetId="1">'PLAN DE ACCION RESSO '!productionDurationMonths+'PLAN DE ACCION RESSO '!constructionDurationMonths+[0]!preProductionDurationMonths</definedName>
    <definedName name="projectDurationMonths">[0]!productionDurationMonths+[0]!constructionDurationMonths+[0]!preProductionDurationMonths</definedName>
    <definedName name="Proyecto" localSheetId="4">#REF!</definedName>
    <definedName name="Proyecto" localSheetId="6">#REF!</definedName>
    <definedName name="Proyecto">#REF!</definedName>
    <definedName name="rangoA">#REF!</definedName>
    <definedName name="RangoB">#REF!</definedName>
    <definedName name="RangoC">#REF!</definedName>
    <definedName name="RangoD">#REF!</definedName>
    <definedName name="RawData" localSheetId="4">#REF!</definedName>
    <definedName name="RawData" localSheetId="6">#REF!</definedName>
    <definedName name="RawData">#REF!</definedName>
    <definedName name="RawHeader" localSheetId="4">#REF!</definedName>
    <definedName name="RawHeader" localSheetId="6">#REF!</definedName>
    <definedName name="RawHeader">#REF!</definedName>
    <definedName name="RESUMEN" localSheetId="4">[1]GENERAL!#REF!</definedName>
    <definedName name="RESUMEN" localSheetId="1">[2]GENERAL!#REF!</definedName>
    <definedName name="RESUMEN" localSheetId="6">[1]GENERAL!#REF!</definedName>
    <definedName name="RESUMEN">[1]GENERAL!#REF!</definedName>
    <definedName name="Resumen_negocios" localSheetId="4">#REF!</definedName>
    <definedName name="Resumen_negocios" localSheetId="6">#REF!</definedName>
    <definedName name="Resumen_negocios">#REF!</definedName>
    <definedName name="ripacum" localSheetId="4">#REF!</definedName>
    <definedName name="ripacum" localSheetId="6">#REF!</definedName>
    <definedName name="ripacum">#REF!</definedName>
    <definedName name="ripacummes" localSheetId="4">#REF!</definedName>
    <definedName name="ripacummes" localSheetId="6">#REF!</definedName>
    <definedName name="ripacummes">#REF!</definedName>
    <definedName name="ripacumppto" localSheetId="4">#REF!</definedName>
    <definedName name="ripacumppto" localSheetId="6">#REF!</definedName>
    <definedName name="ripacumppto">#REF!</definedName>
    <definedName name="ripacumreal" localSheetId="4">#REF!</definedName>
    <definedName name="ripacumreal" localSheetId="6">#REF!</definedName>
    <definedName name="ripacumreal">#REF!</definedName>
    <definedName name="ripaño" localSheetId="4">#REF!</definedName>
    <definedName name="ripaño" localSheetId="6">#REF!</definedName>
    <definedName name="ripaño">#REF!</definedName>
    <definedName name="ripañoppto" localSheetId="4">#REF!</definedName>
    <definedName name="ripañoppto" localSheetId="6">#REF!</definedName>
    <definedName name="ripañoppto">#REF!</definedName>
    <definedName name="ripmes" localSheetId="4">#REF!</definedName>
    <definedName name="ripmes" localSheetId="6">#REF!</definedName>
    <definedName name="ripmes">#REF!</definedName>
    <definedName name="ripmesppto" localSheetId="4">#REF!</definedName>
    <definedName name="ripmesppto" localSheetId="6">#REF!</definedName>
    <definedName name="ripmesppto">#REF!</definedName>
    <definedName name="salida1" localSheetId="4">#REF!</definedName>
    <definedName name="salida1" localSheetId="6">#REF!</definedName>
    <definedName name="salida1">#REF!</definedName>
    <definedName name="salida2" localSheetId="4">#REF!</definedName>
    <definedName name="salida2" localSheetId="6">#REF!</definedName>
    <definedName name="salida2">#REF!</definedName>
    <definedName name="salidat" localSheetId="4">#REF!,#REF!</definedName>
    <definedName name="salidat" localSheetId="6">#REF!,#REF!</definedName>
    <definedName name="salidat">#REF!,#REF!</definedName>
    <definedName name="SAP_DAT" localSheetId="1">[13]SAP!$B$4:$AF$49</definedName>
    <definedName name="SAP_DAT">[14]SAP!$B$4:$AF$49</definedName>
    <definedName name="SAPBEXrevision" hidden="1">1</definedName>
    <definedName name="SAPBEXsysID" hidden="1">"B03"</definedName>
    <definedName name="SAPBEXwbID" hidden="1">"6WCD2CR8A6S733BOSTE0LN1MZ"</definedName>
    <definedName name="Semestre">#REF!</definedName>
    <definedName name="SERIE_MESES" localSheetId="1">[13]HR!$G$10:$R$10</definedName>
    <definedName name="SERIE_MESES">[14]HR!$G$10:$R$10</definedName>
    <definedName name="SERVICE">#REF!</definedName>
    <definedName name="SFINTOTAL" localSheetId="4" hidden="1">{"DETALLE_1996",#N/A,FALSE,"flujo";"DETALLE_1997",#N/A,FALSE,"flujo";"GASTOS_INCURRIDOS_1996",#N/A,FALSE,"flujo";"GASTOS_PROGRAMADOS_PARA_1997",#N/A,FALSE,"flujo";#N/A,#N/A,FALSE,"comparat";#N/A,#N/A,FALSE,"costos";#N/A,#N/A,FALSE,"proyctrol"}</definedName>
    <definedName name="SFINTOTAL" localSheetId="1" hidden="1">{"DETALLE_1996",#N/A,FALSE,"flujo";"DETALLE_1997",#N/A,FALSE,"flujo";"GASTOS_INCURRIDOS_1996",#N/A,FALSE,"flujo";"GASTOS_PROGRAMADOS_PARA_1997",#N/A,FALSE,"flujo";#N/A,#N/A,FALSE,"comparat";#N/A,#N/A,FALSE,"costos";#N/A,#N/A,FALSE,"proyctrol"}</definedName>
    <definedName name="SFINTOTAL" localSheetId="6" hidden="1">{"DETALLE_1996",#N/A,FALSE,"flujo";"DETALLE_1997",#N/A,FALSE,"flujo";"GASTOS_INCURRIDOS_1996",#N/A,FALSE,"flujo";"GASTOS_PROGRAMADOS_PARA_1997",#N/A,FALSE,"flujo";#N/A,#N/A,FALSE,"comparat";#N/A,#N/A,FALSE,"costos";#N/A,#N/A,FALSE,"proyctrol"}</definedName>
    <definedName name="SFINTOTAL" hidden="1">{"DETALLE_1996",#N/A,FALSE,"flujo";"DETALLE_1997",#N/A,FALSE,"flujo";"GASTOS_INCURRIDOS_1996",#N/A,FALSE,"flujo";"GASTOS_PROGRAMADOS_PARA_1997",#N/A,FALSE,"flujo";#N/A,#N/A,FALSE,"comparat";#N/A,#N/A,FALSE,"costos";#N/A,#N/A,FALSE,"proyctrol"}</definedName>
    <definedName name="shiftPeriodConversion">0.36</definedName>
    <definedName name="ShowLee" localSheetId="1">'[6]Plant Unit Consumption'!#REF!</definedName>
    <definedName name="ShowLee">'[5]Plant Unit Consumption'!#REF!</definedName>
    <definedName name="singaby" localSheetId="4">COMENTARIOS!productionStartFlag*4315</definedName>
    <definedName name="singaby" localSheetId="1">'PLAN DE ACCION RESSO '!productionStartFlag*4315</definedName>
    <definedName name="singaby" localSheetId="6">COMENTARIOS!productionStartFlag*4315</definedName>
    <definedName name="singaby">[0]!productionStartFlag*4315</definedName>
    <definedName name="solacum" localSheetId="4">#REF!</definedName>
    <definedName name="solacum" localSheetId="6">#REF!</definedName>
    <definedName name="solacum">#REF!</definedName>
    <definedName name="solacummes" localSheetId="4">#REF!</definedName>
    <definedName name="solacummes" localSheetId="6">#REF!</definedName>
    <definedName name="solacummes">#REF!</definedName>
    <definedName name="solacumppto" localSheetId="4">#REF!</definedName>
    <definedName name="solacumppto" localSheetId="6">#REF!</definedName>
    <definedName name="solacumppto">#REF!</definedName>
    <definedName name="solacumreal" localSheetId="4">#REF!</definedName>
    <definedName name="solacumreal" localSheetId="6">#REF!</definedName>
    <definedName name="solacumreal">#REF!</definedName>
    <definedName name="solaño" localSheetId="4">#REF!</definedName>
    <definedName name="solaño" localSheetId="6">#REF!</definedName>
    <definedName name="solaño">#REF!</definedName>
    <definedName name="solañoppto" localSheetId="4">#REF!</definedName>
    <definedName name="solañoppto" localSheetId="6">#REF!</definedName>
    <definedName name="solañoppto">#REF!</definedName>
    <definedName name="solmes" localSheetId="4">#REF!</definedName>
    <definedName name="solmes" localSheetId="6">#REF!</definedName>
    <definedName name="solmes">#REF!</definedName>
    <definedName name="solmesppto" localSheetId="4">#REF!</definedName>
    <definedName name="solmesppto" localSheetId="6">#REF!</definedName>
    <definedName name="solmesppto">#REF!</definedName>
    <definedName name="SSS" localSheetId="4" hidden="1">{"DETALLE_1996",#N/A,FALSE,"flujo";"DETALLE_1997",#N/A,FALSE,"flujo";"GASTOS_INCURRIDOS_1996",#N/A,FALSE,"flujo";"GASTOS_PROGRAMADOS_PARA_1997",#N/A,FALSE,"flujo";#N/A,#N/A,FALSE,"comparat";#N/A,#N/A,FALSE,"costos";#N/A,#N/A,FALSE,"proyctrol"}</definedName>
    <definedName name="SSS" localSheetId="1" hidden="1">{"DETALLE_1996",#N/A,FALSE,"flujo";"DETALLE_1997",#N/A,FALSE,"flujo";"GASTOS_INCURRIDOS_1996",#N/A,FALSE,"flujo";"GASTOS_PROGRAMADOS_PARA_1997",#N/A,FALSE,"flujo";#N/A,#N/A,FALSE,"comparat";#N/A,#N/A,FALSE,"costos";#N/A,#N/A,FALSE,"proyctrol"}</definedName>
    <definedName name="SSS" localSheetId="6" hidden="1">{"DETALLE_1996",#N/A,FALSE,"flujo";"DETALLE_1997",#N/A,FALSE,"flujo";"GASTOS_INCURRIDOS_1996",#N/A,FALSE,"flujo";"GASTOS_PROGRAMADOS_PARA_1997",#N/A,FALSE,"flujo";#N/A,#N/A,FALSE,"comparat";#N/A,#N/A,FALSE,"costos";#N/A,#N/A,FALSE,"proyctrol"}</definedName>
    <definedName name="SSS" hidden="1">{"DETALLE_1996",#N/A,FALSE,"flujo";"DETALLE_1997",#N/A,FALSE,"flujo";"GASTOS_INCURRIDOS_1996",#N/A,FALSE,"flujo";"GASTOS_PROGRAMADOS_PARA_1997",#N/A,FALSE,"flujo";#N/A,#N/A,FALSE,"comparat";#N/A,#N/A,FALSE,"costos";#N/A,#N/A,FALSE,"proyctrol"}</definedName>
    <definedName name="stripacum">#REF!</definedName>
    <definedName name="stripacummes" localSheetId="4">#REF!</definedName>
    <definedName name="stripacummes" localSheetId="6">#REF!</definedName>
    <definedName name="stripacummes">#REF!</definedName>
    <definedName name="stripacumppto" localSheetId="4">#REF!</definedName>
    <definedName name="stripacumppto" localSheetId="6">#REF!</definedName>
    <definedName name="stripacumppto">#REF!</definedName>
    <definedName name="stripacumreal" localSheetId="4">#REF!</definedName>
    <definedName name="stripacumreal" localSheetId="6">#REF!</definedName>
    <definedName name="stripacumreal">#REF!</definedName>
    <definedName name="stripaño" localSheetId="4">#REF!</definedName>
    <definedName name="stripaño" localSheetId="6">#REF!</definedName>
    <definedName name="stripaño">#REF!</definedName>
    <definedName name="stripañoppto" localSheetId="4">#REF!</definedName>
    <definedName name="stripañoppto" localSheetId="6">#REF!</definedName>
    <definedName name="stripañoppto">#REF!</definedName>
    <definedName name="stripmes" localSheetId="4">#REF!</definedName>
    <definedName name="stripmes" localSheetId="6">#REF!</definedName>
    <definedName name="stripmes">#REF!</definedName>
    <definedName name="stripmesppto" localSheetId="4">#REF!</definedName>
    <definedName name="stripmesppto" localSheetId="6">#REF!</definedName>
    <definedName name="stripmesppto">#REF!</definedName>
    <definedName name="sunkCostSensitivity" localSheetId="4">IF([0]!Include_Preconstruction_Sunk_Costs="Yes",1,0)</definedName>
    <definedName name="sunkCostSensitivity" localSheetId="1">IF('PLAN DE ACCION RESSO '!Include_Preconstruction_Sunk_Costs="Yes",1,0)</definedName>
    <definedName name="sunkCostSensitivity">IF([0]!Include_Preconstruction_Sunk_Costs="Yes",1,0)</definedName>
    <definedName name="sxacum" localSheetId="4">#REF!</definedName>
    <definedName name="sxacum" localSheetId="6">#REF!</definedName>
    <definedName name="sxacum">#REF!</definedName>
    <definedName name="sxacummes" localSheetId="4">#REF!</definedName>
    <definedName name="sxacummes" localSheetId="6">#REF!</definedName>
    <definedName name="sxacummes">#REF!</definedName>
    <definedName name="sxacumppto" localSheetId="4">#REF!</definedName>
    <definedName name="sxacumppto" localSheetId="6">#REF!</definedName>
    <definedName name="sxacumppto">#REF!</definedName>
    <definedName name="sxacumreal" localSheetId="4">#REF!</definedName>
    <definedName name="sxacumreal" localSheetId="6">#REF!</definedName>
    <definedName name="sxacumreal">#REF!</definedName>
    <definedName name="sxaño" localSheetId="4">#REF!</definedName>
    <definedName name="sxaño" localSheetId="6">#REF!</definedName>
    <definedName name="sxaño">#REF!</definedName>
    <definedName name="sxañoppto" localSheetId="4">#REF!</definedName>
    <definedName name="sxañoppto" localSheetId="6">#REF!</definedName>
    <definedName name="sxañoppto">#REF!</definedName>
    <definedName name="sxmes" localSheetId="4">#REF!</definedName>
    <definedName name="sxmes" localSheetId="6">#REF!</definedName>
    <definedName name="sxmes">#REF!</definedName>
    <definedName name="sxmesppto" localSheetId="4">#REF!</definedName>
    <definedName name="sxmesppto" localSheetId="6">#REF!</definedName>
    <definedName name="sxmesppto">#REF!</definedName>
    <definedName name="sxsblacum" localSheetId="4">#REF!</definedName>
    <definedName name="sxsblacum" localSheetId="6">#REF!</definedName>
    <definedName name="sxsblacum">#REF!</definedName>
    <definedName name="sxsblacummes" localSheetId="4">#REF!</definedName>
    <definedName name="sxsblacummes" localSheetId="6">#REF!</definedName>
    <definedName name="sxsblacummes">#REF!</definedName>
    <definedName name="sxsblacumppto" localSheetId="4">#REF!</definedName>
    <definedName name="sxsblacumppto" localSheetId="6">#REF!</definedName>
    <definedName name="sxsblacumppto">#REF!</definedName>
    <definedName name="sxsblacumreal" localSheetId="4">#REF!</definedName>
    <definedName name="sxsblacumreal" localSheetId="6">#REF!</definedName>
    <definedName name="sxsblacumreal">#REF!</definedName>
    <definedName name="sxsblaño" localSheetId="4">#REF!</definedName>
    <definedName name="sxsblaño" localSheetId="6">#REF!</definedName>
    <definedName name="sxsblaño">#REF!</definedName>
    <definedName name="sxsblañoppto" localSheetId="4">#REF!</definedName>
    <definedName name="sxsblañoppto" localSheetId="6">#REF!</definedName>
    <definedName name="sxsblañoppto">#REF!</definedName>
    <definedName name="sxsblmes" localSheetId="4">#REF!</definedName>
    <definedName name="sxsblmes" localSheetId="6">#REF!</definedName>
    <definedName name="sxsblmes">#REF!</definedName>
    <definedName name="sxsblmesppto" localSheetId="4">#REF!</definedName>
    <definedName name="sxsblmesppto" localSheetId="6">#REF!</definedName>
    <definedName name="sxsblmesppto">#REF!</definedName>
    <definedName name="Tabla_Ficha" localSheetId="4">#REF!</definedName>
    <definedName name="Tabla_Ficha" localSheetId="6">#REF!</definedName>
    <definedName name="Tabla_Ficha">#REF!</definedName>
    <definedName name="TABLA14a" localSheetId="1">'[39]Tabla 14a'!$C$1:$Y$82</definedName>
    <definedName name="TABLA14a">'[40]Tabla 14a'!$C$1:$Y$82</definedName>
    <definedName name="TABLA14b" localSheetId="1">'[39]Tabla 14b'!$C$2:$Z$64</definedName>
    <definedName name="TABLA14b">'[40]Tabla 14b'!$C$2:$Z$64</definedName>
    <definedName name="Tapa" localSheetId="4" hidden="1">{"DETALLE_1996",#N/A,FALSE,"flujo";"DETALLE_1997",#N/A,FALSE,"flujo";"GASTOS_INCURRIDOS_1996",#N/A,FALSE,"flujo";"GASTOS_PROGRAMADOS_PARA_1997",#N/A,FALSE,"flujo";#N/A,#N/A,FALSE,"comparat";#N/A,#N/A,FALSE,"costos";#N/A,#N/A,FALSE,"proyctrol"}</definedName>
    <definedName name="Tapa" localSheetId="1" hidden="1">{"DETALLE_1996",#N/A,FALSE,"flujo";"DETALLE_1997",#N/A,FALSE,"flujo";"GASTOS_INCURRIDOS_1996",#N/A,FALSE,"flujo";"GASTOS_PROGRAMADOS_PARA_1997",#N/A,FALSE,"flujo";#N/A,#N/A,FALSE,"comparat";#N/A,#N/A,FALSE,"costos";#N/A,#N/A,FALSE,"proyctrol"}</definedName>
    <definedName name="Tapa" localSheetId="6" hidden="1">{"DETALLE_1996",#N/A,FALSE,"flujo";"DETALLE_1997",#N/A,FALSE,"flujo";"GASTOS_INCURRIDOS_1996",#N/A,FALSE,"flujo";"GASTOS_PROGRAMADOS_PARA_1997",#N/A,FALSE,"flujo";#N/A,#N/A,FALSE,"comparat";#N/A,#N/A,FALSE,"costos";#N/A,#N/A,FALSE,"proyctrol"}</definedName>
    <definedName name="Tapa" hidden="1">{"DETALLE_1996",#N/A,FALSE,"flujo";"DETALLE_1997",#N/A,FALSE,"flujo";"GASTOS_INCURRIDOS_1996",#N/A,FALSE,"flujo";"GASTOS_PROGRAMADOS_PARA_1997",#N/A,FALSE,"flujo";#N/A,#N/A,FALSE,"comparat";#N/A,#N/A,FALSE,"costos";#N/A,#N/A,FALSE,"proyctrol"}</definedName>
    <definedName name="tasa_desc">#REF!</definedName>
    <definedName name="tasa_imp" localSheetId="4">#REF!</definedName>
    <definedName name="tasa_imp" localSheetId="6">#REF!</definedName>
    <definedName name="tasa_imp">#REF!</definedName>
    <definedName name="taxRate">0.5</definedName>
    <definedName name="TCOCAB">#REF!</definedName>
    <definedName name="TCOCABTA" localSheetId="4">#REF!</definedName>
    <definedName name="TCOCABTA" localSheetId="6">#REF!</definedName>
    <definedName name="TCOCABTA">#REF!</definedName>
    <definedName name="TCOCABTB" localSheetId="4">#REF!</definedName>
    <definedName name="TCOCABTB" localSheetId="6">#REF!</definedName>
    <definedName name="TCOCABTB">#REF!</definedName>
    <definedName name="TCOCABTC" localSheetId="4">#REF!</definedName>
    <definedName name="TCOCABTC" localSheetId="6">#REF!</definedName>
    <definedName name="TCOCABTC">#REF!</definedName>
    <definedName name="TComp" localSheetId="1">'[26]Tabla Comparativa'!$B$6:$I$29</definedName>
    <definedName name="TComp">'[27]Tabla Comparativa'!$B$6:$I$29</definedName>
    <definedName name="TEST0">#REF!</definedName>
    <definedName name="TESTHKEY" localSheetId="4">#REF!</definedName>
    <definedName name="TESTHKEY" localSheetId="6">#REF!</definedName>
    <definedName name="TESTHKEY">#REF!</definedName>
    <definedName name="testito"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KEYS">#REF!</definedName>
    <definedName name="TESTVKEY" localSheetId="4">#REF!</definedName>
    <definedName name="TESTVKEY" localSheetId="6">#REF!</definedName>
    <definedName name="TESTVKEY">#REF!</definedName>
    <definedName name="Tipo_SG">OFFSET([21]Dand!#REF!, 0, 0, COUNTA([21]Dand!$CG$1:$CG$65536), 1)</definedName>
    <definedName name="Tipo_SO">OFFSET([21]Dand!#REF!, 0, 0, COUNTA([21]Dand!$CH$1:$CH$65536), 1)</definedName>
    <definedName name="TIR" localSheetId="4">#REF!</definedName>
    <definedName name="TIR" localSheetId="6">#REF!</definedName>
    <definedName name="TIR">#REF!</definedName>
    <definedName name="_xlnm.Print_Titles" localSheetId="4">#REF!</definedName>
    <definedName name="_xlnm.Print_Titles" localSheetId="6">#REF!</definedName>
    <definedName name="_xlnm.Print_Titles">#REF!</definedName>
    <definedName name="Total" localSheetId="4">COMENTARIOS!Total</definedName>
    <definedName name="Total" localSheetId="1">'PLAN DE ACCION RESSO '!Total</definedName>
    <definedName name="Total" localSheetId="6">COMENTARIOS!Total</definedName>
    <definedName name="Total">[0]!Total</definedName>
    <definedName name="Total_Fino__t" localSheetId="4">#REF!</definedName>
    <definedName name="Total_Fino__t" localSheetId="6">#REF!</definedName>
    <definedName name="Total_Fino__t">#REF!</definedName>
    <definedName name="total1" localSheetId="4">COMENTARIOS!total1</definedName>
    <definedName name="total1" localSheetId="1">'PLAN DE ACCION RESSO '!total1</definedName>
    <definedName name="total1" localSheetId="6">COMENTARIOS!total1</definedName>
    <definedName name="total1">[0]!total1</definedName>
    <definedName name="TotalHallazgosN1">[41]!tblNiveles1[[#Totals],[Hallazgo]]</definedName>
    <definedName name="UF" localSheetId="4">#REF!</definedName>
    <definedName name="UF" localSheetId="6">#REF!</definedName>
    <definedName name="UF">#REF!</definedName>
    <definedName name="US__lb_Cu" localSheetId="4">'[5]Plant Operating Expenses'!#REF!</definedName>
    <definedName name="US__lb_Cu" localSheetId="1">'[6]Plant Operating Expenses'!#REF!</definedName>
    <definedName name="US__lb_Cu" localSheetId="6">'[5]Plant Operating Expenses'!#REF!</definedName>
    <definedName name="US__lb_Cu">'[5]Plant Operating Expenses'!#REF!</definedName>
    <definedName name="US__t_ore" localSheetId="4">'[5]Plant Operating Expenses'!#REF!</definedName>
    <definedName name="US__t_ore" localSheetId="1">'[6]Plant Operating Expenses'!#REF!</definedName>
    <definedName name="US__t_ore" localSheetId="6">'[5]Plant Operating Expenses'!#REF!</definedName>
    <definedName name="US__t_ore">'[5]Plant Operating Expenses'!#REF!</definedName>
    <definedName name="Use_Outsourcing" localSheetId="1">'[6]Cash Flows'!$B$147</definedName>
    <definedName name="Use_Outsourcing">'[5]Cash Flows'!$B$147</definedName>
    <definedName name="VALOR_ESP">#REF!</definedName>
    <definedName name="VALOR_HH" localSheetId="4">#REF!</definedName>
    <definedName name="VALOR_HH" localSheetId="6">#REF!</definedName>
    <definedName name="VALOR_HH">#REF!</definedName>
    <definedName name="VALOR_RESIDUAL" localSheetId="4">#REF!</definedName>
    <definedName name="VALOR_RESIDUAL" localSheetId="6">#REF!</definedName>
    <definedName name="VALOR_RESIDUAL">#REF!</definedName>
    <definedName name="Van" localSheetId="4">#REF!</definedName>
    <definedName name="Van" localSheetId="6">#REF!</definedName>
    <definedName name="Van">#REF!</definedName>
    <definedName name="vero"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ageEscalation">0.02</definedName>
    <definedName name="wrn.INFORME_XPAND." localSheetId="4" hidden="1">{"DETALLE_1996",#N/A,FALSE,"flujo";"DETALLE_1997",#N/A,FALSE,"flujo";"GASTOS_INCURRIDOS_1996",#N/A,FALSE,"flujo";"GASTOS_PROGRAMADOS_PARA_1997",#N/A,FALSE,"flujo";#N/A,#N/A,FALSE,"comparat";#N/A,#N/A,FALSE,"costos";#N/A,#N/A,FALSE,"proyctrol"}</definedName>
    <definedName name="wrn.INFORME_XPAND." localSheetId="1" hidden="1">{"DETALLE_1996",#N/A,FALSE,"flujo";"DETALLE_1997",#N/A,FALSE,"flujo";"GASTOS_INCURRIDOS_1996",#N/A,FALSE,"flujo";"GASTOS_PROGRAMADOS_PARA_1997",#N/A,FALSE,"flujo";#N/A,#N/A,FALSE,"comparat";#N/A,#N/A,FALSE,"costos";#N/A,#N/A,FALSE,"proyctrol"}</definedName>
    <definedName name="wrn.INFORME_XPAND." localSheetId="6"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Print._.Base._.Case._.Statements."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x">OFFSET([21]Dand!#REF!, 0, 0, COUNTA([21]Dand!$BU$1:$BU$65536), 1)</definedName>
    <definedName name="xxx"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xxx"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xxx"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xx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XXXX" localSheetId="4" hidden="1">{"DETALLE_1996",#N/A,FALSE,"flujo";"DETALLE_1997",#N/A,FALSE,"flujo";"GASTOS_INCURRIDOS_1996",#N/A,FALSE,"flujo";"GASTOS_PROGRAMADOS_PARA_1997",#N/A,FALSE,"flujo";#N/A,#N/A,FALSE,"comparat";#N/A,#N/A,FALSE,"costos";#N/A,#N/A,FALSE,"proyctrol"}</definedName>
    <definedName name="XXXX" localSheetId="1" hidden="1">{"DETALLE_1996",#N/A,FALSE,"flujo";"DETALLE_1997",#N/A,FALSE,"flujo";"GASTOS_INCURRIDOS_1996",#N/A,FALSE,"flujo";"GASTOS_PROGRAMADOS_PARA_1997",#N/A,FALSE,"flujo";#N/A,#N/A,FALSE,"comparat";#N/A,#N/A,FALSE,"costos";#N/A,#N/A,FALSE,"proyctrol"}</definedName>
    <definedName name="XXXX" localSheetId="6" hidden="1">{"DETALLE_1996",#N/A,FALSE,"flujo";"DETALLE_1997",#N/A,FALSE,"flujo";"GASTOS_INCURRIDOS_1996",#N/A,FALSE,"flujo";"GASTOS_PROGRAMADOS_PARA_1997",#N/A,FALSE,"flujo";#N/A,#N/A,FALSE,"comparat";#N/A,#N/A,FALSE,"costos";#N/A,#N/A,FALSE,"proyctrol"}</definedName>
    <definedName name="XXXX" hidden="1">{"DETALLE_1996",#N/A,FALSE,"flujo";"DETALLE_1997",#N/A,FALSE,"flujo";"GASTOS_INCURRIDOS_1996",#N/A,FALSE,"flujo";"GASTOS_PROGRAMADOS_PARA_1997",#N/A,FALSE,"flujo";#N/A,#N/A,FALSE,"comparat";#N/A,#N/A,FALSE,"costos";#N/A,#N/A,FALSE,"proyctrol"}</definedName>
    <definedName name="zz"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 localSheetId="6"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zzzzz" localSheetId="4">COMENTARIOS!productionStartFlag*4315</definedName>
    <definedName name="zzzzz" localSheetId="1">'PLAN DE ACCION RESSO '!productionStartFlag*4315</definedName>
    <definedName name="zzzzz" localSheetId="6">COMENTARIOS!productionStartFlag*4315</definedName>
    <definedName name="zzzzz">[0]!productionStartFlag*4315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30" l="1"/>
  <c r="F46" i="34" l="1"/>
  <c r="G70" i="30" s="1"/>
  <c r="E28" i="30" l="1"/>
  <c r="E29" i="30"/>
  <c r="E30" i="30"/>
  <c r="E31" i="30"/>
  <c r="E32" i="30"/>
  <c r="E33" i="30"/>
  <c r="E34" i="30"/>
  <c r="E35" i="30"/>
  <c r="E36" i="30"/>
  <c r="E37" i="30"/>
  <c r="E38" i="30"/>
  <c r="E39" i="30"/>
  <c r="E40" i="30"/>
  <c r="E41" i="30"/>
  <c r="E42" i="30"/>
  <c r="E43" i="30"/>
  <c r="E44" i="30"/>
  <c r="E45" i="30"/>
  <c r="E46" i="30"/>
  <c r="E47" i="30"/>
  <c r="E26" i="30"/>
  <c r="G100" i="30" l="1"/>
  <c r="G98" i="30"/>
  <c r="G96" i="30"/>
  <c r="G95" i="30" s="1"/>
  <c r="AK29" i="28" l="1"/>
  <c r="AK30" i="28"/>
  <c r="AK31" i="28"/>
  <c r="AK32" i="28"/>
  <c r="AK28" i="28"/>
  <c r="G102" i="30"/>
  <c r="AL32" i="28" s="1"/>
  <c r="G101" i="30"/>
  <c r="AL31" i="28" s="1"/>
  <c r="G99" i="30"/>
  <c r="AL30" i="28" s="1"/>
  <c r="G97" i="30"/>
  <c r="AL29" i="28" s="1"/>
  <c r="AL28" i="28" l="1"/>
  <c r="I95" i="30"/>
  <c r="G93" i="30"/>
  <c r="AL25" i="28" s="1"/>
  <c r="G92" i="30"/>
  <c r="AK27" i="28"/>
  <c r="AK25" i="28"/>
  <c r="AK24" i="28"/>
  <c r="AK23" i="28"/>
  <c r="AK22" i="28"/>
  <c r="AK21" i="28"/>
  <c r="AK20" i="28"/>
  <c r="AK14" i="28"/>
  <c r="AK15" i="28"/>
  <c r="AK16" i="28"/>
  <c r="AK17" i="28"/>
  <c r="AK18" i="28"/>
  <c r="AK19" i="28"/>
  <c r="AK13" i="28"/>
  <c r="AK12" i="28"/>
  <c r="AK9" i="28"/>
  <c r="AK10" i="28"/>
  <c r="AK11" i="28"/>
  <c r="AK8" i="28"/>
  <c r="AK7" i="28"/>
  <c r="AK6" i="28"/>
  <c r="AK5" i="28"/>
  <c r="AK4" i="28"/>
  <c r="AK3" i="28"/>
  <c r="Q70" i="30" l="1"/>
  <c r="G89" i="30"/>
  <c r="AL21" i="28" s="1"/>
  <c r="G90" i="30"/>
  <c r="AL22" i="28" s="1"/>
  <c r="G87" i="30"/>
  <c r="AL19" i="28" s="1"/>
  <c r="G86" i="30"/>
  <c r="AL18" i="28" s="1"/>
  <c r="G85" i="30"/>
  <c r="AL17" i="28" s="1"/>
  <c r="G84" i="30"/>
  <c r="AL16" i="28" s="1"/>
  <c r="G83" i="30"/>
  <c r="AL15" i="28" s="1"/>
  <c r="G82" i="30"/>
  <c r="AL14" i="28" s="1"/>
  <c r="G81" i="30"/>
  <c r="AL13" i="28" s="1"/>
  <c r="G79" i="30"/>
  <c r="AL11" i="28" s="1"/>
  <c r="G78" i="30"/>
  <c r="AL10" i="28" s="1"/>
  <c r="G77" i="30"/>
  <c r="AL9" i="28" s="1"/>
  <c r="G76" i="30"/>
  <c r="AL8" i="28" s="1"/>
  <c r="G75" i="30"/>
  <c r="AL7" i="28" s="1"/>
  <c r="G74" i="30"/>
  <c r="AL6" i="28" l="1"/>
  <c r="G73" i="30"/>
  <c r="AL5" i="28" s="1"/>
  <c r="G80" i="30"/>
  <c r="AL12" i="28" s="1"/>
  <c r="G88" i="30"/>
  <c r="AL20" i="28" s="1"/>
  <c r="G91" i="30"/>
  <c r="G72" i="30"/>
  <c r="E49" i="30"/>
  <c r="E48" i="30"/>
  <c r="E27" i="30"/>
  <c r="D23" i="30"/>
  <c r="D22" i="30"/>
  <c r="D50" i="30" l="1"/>
  <c r="E50" i="30"/>
  <c r="AL4" i="28"/>
  <c r="I72" i="30"/>
  <c r="G69" i="30" s="1"/>
  <c r="AL23" i="28"/>
  <c r="AL24" i="28"/>
  <c r="Q69" i="30" l="1"/>
  <c r="G18" i="30" l="1"/>
</calcChain>
</file>

<file path=xl/sharedStrings.xml><?xml version="1.0" encoding="utf-8"?>
<sst xmlns="http://schemas.openxmlformats.org/spreadsheetml/2006/main" count="518" uniqueCount="392">
  <si>
    <t xml:space="preserve">DIVISIÓN: </t>
  </si>
  <si>
    <t>Chuquicamata</t>
  </si>
  <si>
    <t xml:space="preserve">GERENCIA: </t>
  </si>
  <si>
    <t xml:space="preserve">SUPERINTENDENCIA / DIRECCIÓN: </t>
  </si>
  <si>
    <t xml:space="preserve">NOMBRE DE LA EMPRESA: </t>
  </si>
  <si>
    <t xml:space="preserve">NOMBRE DEL SERVICIO Y N° DE CONTRATO:       </t>
  </si>
  <si>
    <t xml:space="preserve">NUMERO DE CONTRATO:       </t>
  </si>
  <si>
    <t xml:space="preserve">ADMINISTRADO DE CONTRATO EECC.: </t>
  </si>
  <si>
    <t xml:space="preserve">APR EECC: </t>
  </si>
  <si>
    <t xml:space="preserve">ADMINISTRADOR DE CONTRATO CODELCO: </t>
  </si>
  <si>
    <t>FECHA:</t>
  </si>
  <si>
    <t xml:space="preserve">CUMPLIMIENTO TOTAL AUDITORÍA </t>
  </si>
  <si>
    <t>CANTIDAD DE HALLAZGOS DOCUMENTAL</t>
  </si>
  <si>
    <t>NO CONFORMIDAD</t>
  </si>
  <si>
    <t>OBSERVACIÓN</t>
  </si>
  <si>
    <t>OPORTUNIDAD DE MEJORA</t>
  </si>
  <si>
    <t>CANTIDAD DE HALLAZGOS TERRENO</t>
  </si>
  <si>
    <t>NIVEL 1</t>
  </si>
  <si>
    <t>NIVEL 2</t>
  </si>
  <si>
    <t>OPORTUNIDAD DE MEJORA TERRENO</t>
  </si>
  <si>
    <t xml:space="preserve">OBSERVACIÓN POSITIVA </t>
  </si>
  <si>
    <t>TOTAL % DESC. AUDITORÍA TERRENO</t>
  </si>
  <si>
    <t>* Toda empresa que es considerada con un nivel de exposición “Inaceptable” tendrá  un  plazo  de  una semana para regularizar y llevar a nivel moderado su gestión. De no conseguir esta condición se detendrá toda tarea asociada a la Empresa Contratista hasta conseguir los niveles exigidos (a costo de la empresa contratista o subcontratista).
* Toda empresa con un nivel de exposición “moderado” tendrá  un  plazo  de   un  mes  para  resolver  las observaciones de las auditorías. De no cumplir o de volver a obtener un nivel “moderado” será considerada como una empresa de “desempeño discreto” en gestión, en caso de tener una tercera evaluación consecutiva de “moderado” será considerada como empresa de desempeño “inaceptable” y se someterá al proceso de sanción de Abastecimiento. (Que podría llegar hasta una suspensión de 1 año de participación en licitaciones Corporativas)</t>
  </si>
  <si>
    <t xml:space="preserve">               Firma Adm. Ctto EECC                                                                          Firma APR EECC</t>
  </si>
  <si>
    <t>I. REQUERIMIENTOS PARA IMPLEMENTAR UN SIGO PARA EMPRESAS CONTRATISTAS Y SUBCONTRATISTAS DE CODELCO</t>
  </si>
  <si>
    <t>A. SISTEMA DE GESTION DE SEGURIDAD Y SALUD EN EL TRABAJO (TITULO IV)</t>
  </si>
  <si>
    <t>B. PROGRAMA DE SEGURIDAD Y SALUD EN EL TRABAJO (TITULO V RESSO)</t>
  </si>
  <si>
    <t>B.1 Contenidos del Programa de Seguridad y Salud en el Trabajo</t>
  </si>
  <si>
    <t>B.2 Elementos del Programa (Establecimiento de objetivos y metas)</t>
  </si>
  <si>
    <t>B.3 Planificación y Administración del Sistema de Gestión (Identificación y cumplimiento del marco regulatorio)</t>
  </si>
  <si>
    <t>B.4 Planificación y Administración del Sistema de Gestión (Proceso de identificación de Peligros, Evaluación y Control de Riesgos)</t>
  </si>
  <si>
    <t xml:space="preserve">B.5 Estandarización de los controles operacionales </t>
  </si>
  <si>
    <t>B.6 Preparación y Respuesta ante emergencias</t>
  </si>
  <si>
    <t>C. IMPLEMENTACION Y OPERACIÓN (TITULO VI RESSO)</t>
  </si>
  <si>
    <t xml:space="preserve">C.2 Participación de los trabajadores </t>
  </si>
  <si>
    <t xml:space="preserve">C.3 Documentación que debe mantener la empresa principal. </t>
  </si>
  <si>
    <t xml:space="preserve">C.4 Libro de Obra o de Servicios o Libro de Obra Digital (LOD) </t>
  </si>
  <si>
    <t>C.5 Libro SERNAGEOMIN</t>
  </si>
  <si>
    <t>C.6 Control y actualización de documentos y datos de Seguridad y Salud en el Trabajo</t>
  </si>
  <si>
    <t>C.7 Estándares de control operacional</t>
  </si>
  <si>
    <t>D. RESULTADOS DE FISCALIZACIONES INTERNAS Y EXTERNAS (TITULO VII RESSO)</t>
  </si>
  <si>
    <t>D.1 Registro y seguimiento de instrucciones</t>
  </si>
  <si>
    <t>D.2 Categorización y Calificación de Empresas Contratistas y Subcontratistas</t>
  </si>
  <si>
    <t>E. PROCEDIMIENTOS EN CASO DE ACCIDENTES E INCIDENTES (TITULO VIII RESSO)</t>
  </si>
  <si>
    <t>E.1 Informe de Accidentes Graves, Fatales y de Alto Potencial</t>
  </si>
  <si>
    <t>II. REQUERIMIENTOS PARA LA IMPLEMENTACIÓN Y OPERACIÓN (OTROS REQUISITOS RELEVANTES DEL SIGO)</t>
  </si>
  <si>
    <t>G. Medidas de Prevención Especiales (Título XI RESSO)</t>
  </si>
  <si>
    <t>G.1 Avisos Escritos</t>
  </si>
  <si>
    <t>H. Estándares Mínimos (Título XII RESSO)</t>
  </si>
  <si>
    <t>H1 Estándares Coorporativos</t>
  </si>
  <si>
    <t>I. Comités Paritarios de Higiene y Seguridad (Título XIII RESSO)</t>
  </si>
  <si>
    <t>I.1 De los Comités Paritarios de Higiene y Seguridad de la empresa contratista o subcontratista y de Faena</t>
  </si>
  <si>
    <t>J. Estadística e Información (Título XIV RESSO)</t>
  </si>
  <si>
    <t>K. Infracciones o Faltas de los Contratistas / Trabajadores al RIHS (TITULO XV y XVI)</t>
  </si>
  <si>
    <t>I. REQUERIMIENTOS PARA IMPLEMENTAR UN SIGO PARA EMPRESAS CONTRATISTAS Y SUBCONTRATISTAS DE CODELCO.</t>
  </si>
  <si>
    <t>CUMPLIMIENTO</t>
  </si>
  <si>
    <t>1.</t>
  </si>
  <si>
    <t>¿Cuenta la empresa contratista con un sistema de gestión de Seguridad y Salud en el Trabajo, certificado en la norma OHSAS 18.001 o ISO 45001, asociada al alcance de la obra o servicios prestados específicamente a la división o VP?</t>
  </si>
  <si>
    <t>Comentarios:</t>
  </si>
  <si>
    <t>2.</t>
  </si>
  <si>
    <t>3.</t>
  </si>
  <si>
    <t>¿Esta Política Corporativa se dio a conocer a todos los trabajadores de la contratista y subcontratistas? ¿Se cuenta con evidencia de ello?</t>
  </si>
  <si>
    <t>4.</t>
  </si>
  <si>
    <t>5.</t>
  </si>
  <si>
    <t>¿La empresa cuenta con una metodología formal para la identificación y evaluación del marco regulatorio legal que aplica a sus procesos identificando nivel de cumplimiento, programas de brechas y monitoreo?</t>
  </si>
  <si>
    <t>6.</t>
  </si>
  <si>
    <t>¿El programa de seguridad cuenta con un registro de identificación de peligros y la evaluación de riesgos actualizado acorde a las actividades del contrato y está en concordancia con la Carta Gantt del contrato?</t>
  </si>
  <si>
    <t>N/A</t>
  </si>
  <si>
    <t>7.</t>
  </si>
  <si>
    <t>¿El programa de SST cuenta con la validación previa, por parte del organismo Administrador del seguro  correspondiente? ¿Además, está suscrito por el representante legal y por el administrador de la empresa contratista?</t>
  </si>
  <si>
    <t>8.</t>
  </si>
  <si>
    <t>9.</t>
  </si>
  <si>
    <t>¿Cuenta la empresa contratista con Mapas de Riesgo de Higiene Industrial en el lugar donde realiza sus actividades?, a partir de éstos, ¿se cuenta con un programa de gestión, con responsables, acciones y fechas? ¿Realizo difusión del mapa de riesgo a los trabajadores?</t>
  </si>
  <si>
    <t>10.</t>
  </si>
  <si>
    <t>11.</t>
  </si>
  <si>
    <t>¿Tiene identificado, documentado y evaluado los requisitos de los “EST” que aplican a sus procesos o servicios y cuenta con plan de brechas, si aplica?</t>
  </si>
  <si>
    <t>12.</t>
  </si>
  <si>
    <t>3. ¿Se cumple y se dispone de evidencias de las actividades definidas en el “¿Estándar de Liderazgo”, de acuerdo a lo programado?</t>
  </si>
  <si>
    <t>13.</t>
  </si>
  <si>
    <t>¿Se cumple y se dispone de evidencias de actividades definidas en el “Estándar de Seguridad Conductual” de acuerdo a lo programado (Nº Observadores, cierre de ciclo, conductas preocupantes y plan de acción)?</t>
  </si>
  <si>
    <t>14.</t>
  </si>
  <si>
    <t>¿Respecto al “Estándar de Aprendizaje”. ¿Se difunden los reportes de incidentes Divisionales y Corporativos, en especial los que apliquen a su servicio? Si aplica, ¿la empresa realiza una evaluación de la probabilidad de ocurrencia del incidente y de los controles existentes en su área de responsabilidad?</t>
  </si>
  <si>
    <t>15.</t>
  </si>
  <si>
    <t>16.</t>
  </si>
  <si>
    <t>¿La empresa cuenta con un plan de emergencia formal que considere la comunicación, coordinación y plan de acción ante una emergencia que le afecte y se difundió a sus trabajadores?</t>
  </si>
  <si>
    <t>17.</t>
  </si>
  <si>
    <t>¿La empresa cuenta con un programa de simulacros relacionados a emergencias que afecten a su servicio?</t>
  </si>
  <si>
    <t>18.</t>
  </si>
  <si>
    <t>¿La empresa contratista capacita a sus trabajadores, supervisores y línea de mando respecto de los planes de emergencia de Codelco y propios, de las áreas donde ejecutaran sus actividades?</t>
  </si>
  <si>
    <t>19.</t>
  </si>
  <si>
    <t>C. Implementación y Operación (Título VI RESSO)</t>
  </si>
  <si>
    <t>C.1 Obligación de Informar</t>
  </si>
  <si>
    <t>20.</t>
  </si>
  <si>
    <t>¿La empresa informa a todos sus trabajadores a través de la “Obligación de Informar” acerca de los riesgos que entrañan sus labores, de las medidas preventivas y de los métodos de trabajo seguros, antes de iniciar cualquier tipo de actividad? (Evidencia de la Obligación de Informar y la evaluación de comprensión de la misma)</t>
  </si>
  <si>
    <t>21.</t>
  </si>
  <si>
    <t>¿La empresa cuenta con procedimiento de capacitación, en el cual incluye un programa de operadores de baja experiencia laboral (BEL)?</t>
  </si>
  <si>
    <t>C.2 Participación de los trabajadores</t>
  </si>
  <si>
    <t>22.</t>
  </si>
  <si>
    <t>¿La empresa cuenta con un mecanismo para la participación y consulta de los trabajadores en materias de SST (procedimiento/ instructivos trabajos críticos, matriz de riesgos, etc.)? ¿Y este considera un plan de motivación y econocimiento de sus trabajadores?</t>
  </si>
  <si>
    <t>23.</t>
  </si>
  <si>
    <t>¿Tiene la empresa un mecanismo para asegurar, facilitar y canalizar la participación de sus trabajadores, supervisores y línea de mando en los Comités Paritarios de Higiene y Seguridad de la empresa y/o de Faena?</t>
  </si>
  <si>
    <t>C.3 Documentación que debe mantener la empresa principal.</t>
  </si>
  <si>
    <t>24.</t>
  </si>
  <si>
    <t xml:space="preserve"> ¿La empresa cuenta en su instalación de faena con todos los documentos del SIGO, indicados en el Titulo VI de la guía de implementación del RESSO?</t>
  </si>
  <si>
    <t>C.4 Libro de Obra o de Servicios o Libro de Obra Digital (LOD)</t>
  </si>
  <si>
    <t>25.</t>
  </si>
  <si>
    <t xml:space="preserve"> ¿Cuenta la empresa en faena con un Libro de Obra o de Servicios o Libro de Obra Digital o Carta Contractual VP?</t>
  </si>
  <si>
    <t>26.</t>
  </si>
  <si>
    <t>¿La empresa gestiona, en los plazos estipulados por el servicio, a través de un plan y programa las observaciones detectados por SERNAGEOMIN y estos son enviados por LOD o Carta Contractual al Administrador de Contrato Codelco/VP?</t>
  </si>
  <si>
    <t>27.</t>
  </si>
  <si>
    <t>¿Cuenta la empresa con un procedimiento interno que asegure que todos los documentos en materia de gestión de seguridad y salud en el trabajo estén disponibles, revisados y actualizados periódicamente?</t>
  </si>
  <si>
    <t>28.</t>
  </si>
  <si>
    <t>¿Los trabajadores cuentan con los procedimientos propios de su tarea, en el área de trabajo?</t>
  </si>
  <si>
    <t>29.</t>
  </si>
  <si>
    <t>30.</t>
  </si>
  <si>
    <t>D. Resultados de Fiscalizaciones Internas y Externas (Título VII RESSO)</t>
  </si>
  <si>
    <t>31.</t>
  </si>
  <si>
    <t>¿La empresa comunica los resultados de las entidades fiscalizadoras o de los organismos administradores de la Ley 16.744 al Administrador de Contrato Codelco y a la Dirección de Seguridad y Salud en el Trabajo de cada División, mediante LOD / Carta Contractual?</t>
  </si>
  <si>
    <t>32.</t>
  </si>
  <si>
    <t>¿Existe un programa interno para el cumplimiento de las instrucciones y medidas correctivas emanadas de las autoridades fiscalizadoras externas o de los organismos administradores de la Ley 16.744?</t>
  </si>
  <si>
    <t>33.</t>
  </si>
  <si>
    <t>¿La empresa solicitó y recibió la notificación de su categorización mediante el LOD/ Libro de Obra/ Carta Contractual enviada por su Administrador de Contrato de Codelco?</t>
  </si>
  <si>
    <t>E. Procedimientos en Caso de Accidentes e Incidentes (Título VIII RESSO)</t>
  </si>
  <si>
    <t>Informe de accidentes graves, fatales y de alto potencial</t>
  </si>
  <si>
    <t>34.</t>
  </si>
  <si>
    <t>35.</t>
  </si>
  <si>
    <t>¿De las investigaciones, la empresa aplica los lineamientos del Procedimiento de Gestión de Incidentes?</t>
  </si>
  <si>
    <t>F. Prohibiciones de las Empresas Contratistas y Subcontratistas (Título X RESSO)</t>
  </si>
  <si>
    <t>36.</t>
  </si>
  <si>
    <t>¿Cuenta la empresa con un plan de identificación, difusión y control para que sus trabajadores cumplan con las obligaciones indicadas en el Título IX del RESSO?</t>
  </si>
  <si>
    <t>37.</t>
  </si>
  <si>
    <t>¿Están los reglamentos internos de H y S de la empresa debidamente actualizados y correctamente asociados con las obligaciones indicadas en el Título IX del RESSO?</t>
  </si>
  <si>
    <t>38.</t>
  </si>
  <si>
    <t>¿La empresa difundió a todos sus trabajadores la información acerca de las normas, estándares y procedimientos que le competen en sus labores?</t>
  </si>
  <si>
    <t xml:space="preserve">Comentarios: </t>
  </si>
  <si>
    <t>II. Requerimientos para la Implementación y Operación (Otros Requisitos Relevantes del SIGO)</t>
  </si>
  <si>
    <t>G.1 Aviso escrito</t>
  </si>
  <si>
    <t>39.</t>
  </si>
  <si>
    <t>¿La empresa informa a través del Libro de Obras o Libro de Obra Digital o Cartas Contractuales al Administrador de Contrato Codelco respecto de los trabajos que implican riesgos inherentes altos, indicando los métodos seguros para realizar sus tareas críticas?</t>
  </si>
  <si>
    <t>Comentarios</t>
  </si>
  <si>
    <t>H.1 Estándares Corporativos</t>
  </si>
  <si>
    <t>40.</t>
  </si>
  <si>
    <t>¿Existe registro formal de “Reunión de Inicio”, adecuadamente firmado, donde acrediten la entrega de los documentos estipulados por las Divisiones de Codelco/VP y en especial el RESSO a la empresa contratista y por extensión a los subcontratistas?</t>
  </si>
  <si>
    <t>41.</t>
  </si>
  <si>
    <t>¿Existe registro formal de “Reunión de Arranque”, adecuadamente firmado, donde acrediten la entrega de los documentos estipulados por las Divisiones de Codelco/VP, incluyendo la declaración de los subcontratos, toma de conocimiento del RESSO, de la empresa contratista y por extensión a los subcontratistas?</t>
  </si>
  <si>
    <t>¿Se cumple el programa de trabajo de los comités paritarios considerando las actas y los 7 puntos legales descritos en la legislación Art 24 DS N°54 y DS N° 76?</t>
  </si>
  <si>
    <t>42.</t>
  </si>
  <si>
    <t>43.</t>
  </si>
  <si>
    <t>¿La empresa cumple con la exigencia de entregar el informe requerido una vez por mes en la fecha requerida y los datos referente al cumplimiento de las actividades impresas en él son concordante, con la información existente en el área de trabajo? (EJ: Actividades de Liderazgo Preventivo y autoevaluaciones del RESSO, etc.)</t>
  </si>
  <si>
    <t>44.</t>
  </si>
  <si>
    <t>¿La empresa entrega las estadísticas de información de riesgos profesionales en los formatos y plazos requeridos por Codelco?</t>
  </si>
  <si>
    <t>45.</t>
  </si>
  <si>
    <t>¿Cuenta la empresa con un plan de difusión, capacitación y evaluación para que sus trabajadores, supervisores y línea de mando cumplan y conozcan el proceder ante faltas menores, graves e infracciones de los contratistas o subcontratistas y de los trabajadores indicadas en el título XV y XVI del RESSO?</t>
  </si>
  <si>
    <t>COMENTARIOS</t>
  </si>
  <si>
    <t>A. SISTEMA DE GESTIÓN DE SEGURIDAD Y SALUD EN EL TRABAJO</t>
  </si>
  <si>
    <t>B. PROGRAMA DE SEGURIDAD Y SALUD EN EL TRABAJO</t>
  </si>
  <si>
    <t>C. IMPLEMENTACIÓN Y OPERACIÓN</t>
  </si>
  <si>
    <t>D. RESULTADOS DE FISCALIZACIONES INTERNAS Y EXTERNAS</t>
  </si>
  <si>
    <t>E. PROCEDIMIENTOS EN CASO DE ACCIDENTES E INCIDENTES</t>
  </si>
  <si>
    <t>F. OBLIGACIONES Y PROHIBICIONES DE LAS EMPRESAS CONTRATISTAS Y SUBCONTRATISTAS</t>
  </si>
  <si>
    <t>II. REQUERIMIENTOS PARA LA IMPLEMENTACIÓN Y OPERACIÓN</t>
  </si>
  <si>
    <t>G. MEDIDAS DE PREVENCIÓN ESPECIALES</t>
  </si>
  <si>
    <t>H. ESTÁNDARES MÍNIMOS</t>
  </si>
  <si>
    <t>I. COMITÉS PARITARIOS DE HIGIENE Y SEGURIDAD</t>
  </si>
  <si>
    <t>J. ESTADÍSTICA E INFORMACIÓN</t>
  </si>
  <si>
    <t>K. INFRACCIONES O FALTAS DE LOS CONTRATISTAS O SUBCONTRATISTAS</t>
  </si>
  <si>
    <t>RESUMEN DE HALLAZGOS DOCUMENTAL RESSO</t>
  </si>
  <si>
    <t>PUNTO RESSO</t>
  </si>
  <si>
    <t>DESCRIPCIÓN DEL HALLAZGO</t>
  </si>
  <si>
    <t xml:space="preserve">EVIDENCIA HALLAZGO (ANTES) </t>
  </si>
  <si>
    <t xml:space="preserve">CALIFICACIÓN DEL HALLAZGO </t>
  </si>
  <si>
    <t>OM</t>
  </si>
  <si>
    <t>OBS</t>
  </si>
  <si>
    <t>NC</t>
  </si>
  <si>
    <t>LISTA DE VERIFICACIÓN RESSO EN TERRENO</t>
  </si>
  <si>
    <t>N°</t>
  </si>
  <si>
    <t>ITEM A EVALUAR</t>
  </si>
  <si>
    <t>CUMPLIMIENTO
(%)</t>
  </si>
  <si>
    <t>PLANIFICACIÓN DE LA TAREA.</t>
  </si>
  <si>
    <t>1.1</t>
  </si>
  <si>
    <t>Realización del análisis de riesgos de la tarea (ART).</t>
  </si>
  <si>
    <t>Se ha realizado el ART en terreno antes de la actividad.</t>
  </si>
  <si>
    <t>Cuenta con la participación de los trabajadores.</t>
  </si>
  <si>
    <t>Es revisado por el supervisor.</t>
  </si>
  <si>
    <t>Se han implementado las medidas de control identificadas.</t>
  </si>
  <si>
    <t>1.2</t>
  </si>
  <si>
    <t>Se realiza Permiso Especial de Trabajo (Si aplica).</t>
  </si>
  <si>
    <t>1.3</t>
  </si>
  <si>
    <t>Personal cuenta y utiliza los EPP exigidos por el área.</t>
  </si>
  <si>
    <t>1.4</t>
  </si>
  <si>
    <t>Se encuentra el área segregada / delimitada.</t>
  </si>
  <si>
    <t>1.5</t>
  </si>
  <si>
    <t>Se identifican interacciones con otros trabajos en el área.</t>
  </si>
  <si>
    <t>AISLACIÓN Y BLOQUEO.</t>
  </si>
  <si>
    <t>2.1</t>
  </si>
  <si>
    <t>Se realiza bloqueo personal de equipo, maquina, sistema.</t>
  </si>
  <si>
    <t>2.2</t>
  </si>
  <si>
    <t>Elementos de bloqueo en buen estado, personales e identificados.</t>
  </si>
  <si>
    <t>TRABAJOS EN ALTURA FÍSICA.</t>
  </si>
  <si>
    <t>3.1</t>
  </si>
  <si>
    <t>Personal cuenta con autorización.</t>
  </si>
  <si>
    <t>3.2</t>
  </si>
  <si>
    <t>Plataforma de trabajo cuenta con registro de inspección.</t>
  </si>
  <si>
    <t>3.3</t>
  </si>
  <si>
    <t>Herramientas, equipos y elementos cuentan con sistemas que eviten
su caída desde altura.</t>
  </si>
  <si>
    <t>3.4</t>
  </si>
  <si>
    <t>Se cuenta con puntos de anclaje certificados.</t>
  </si>
  <si>
    <t>3.5</t>
  </si>
  <si>
    <t>Se cuenta con certificados, inspeccionados, y con código de color correspondiente.</t>
  </si>
  <si>
    <t>EQUIPOS Y HERRAMIENTAS PORTÁTILES Y MANUALES.</t>
  </si>
  <si>
    <t>4.1</t>
  </si>
  <si>
    <t>Herramientas se encuentran en buen estado, con código de color de inspección del mes.</t>
  </si>
  <si>
    <t>4.2</t>
  </si>
  <si>
    <t>Herramientas eléctricas se encuentran aisladas, en buen estado.</t>
  </si>
  <si>
    <t>4.3</t>
  </si>
  <si>
    <t>Equipos y Herramientas cuentan con sistema de hombre muerto.</t>
  </si>
  <si>
    <t>CARGAS SUSPENDIDAS E IZAJE.</t>
  </si>
  <si>
    <t>5.1</t>
  </si>
  <si>
    <t>Se cuenta con plan de izaje / procedimiento.</t>
  </si>
  <si>
    <t>5.2</t>
  </si>
  <si>
    <t>Elementos de izaje en buen estado, inspeccionado y con código de color correspondiente.</t>
  </si>
  <si>
    <t>MANEJO SUSTANCIAS PELIGROSAS.</t>
  </si>
  <si>
    <t>6.1</t>
  </si>
  <si>
    <t>Se cuenta con hoja de datos de seguridad.</t>
  </si>
  <si>
    <t>6.2</t>
  </si>
  <si>
    <t>Contenedores Originales o de re envase rotulados.</t>
  </si>
  <si>
    <t>VEHÍCULOS LIVIANOS / EQUIPOS PESADOS.</t>
  </si>
  <si>
    <t>7.1</t>
  </si>
  <si>
    <t>Operador o conductor cuenta con licencia respectiva.</t>
  </si>
  <si>
    <t>7.2</t>
  </si>
  <si>
    <t>Se realiza Lista Chequeo del vehículo / Encuesta Fatiga y Somnolencia.</t>
  </si>
  <si>
    <t>7.3</t>
  </si>
  <si>
    <t>Se cuenta con plan de tránsito.</t>
  </si>
  <si>
    <t>7.4</t>
  </si>
  <si>
    <t>Existe segregación equipo - persona en la actividad.</t>
  </si>
  <si>
    <t>INCENDIO.</t>
  </si>
  <si>
    <t>8.1</t>
  </si>
  <si>
    <t>Se cuenta con equipos en buen estado y procedimiento en caso de emergencia.</t>
  </si>
  <si>
    <t>8.2</t>
  </si>
  <si>
    <t>Trabajos en caliente autorizados / Medidas de control implementadas.</t>
  </si>
  <si>
    <t>TOTAL TERRENO</t>
  </si>
  <si>
    <t>RESUMEN DE HALLAZGOS EN TERRENO</t>
  </si>
  <si>
    <t>OBPOS</t>
  </si>
  <si>
    <t xml:space="preserve">LISTA DE VERIFICACIÓN EVALUACIÓN SGSST </t>
  </si>
  <si>
    <t>xz&lt;xz&lt;xz&lt;</t>
  </si>
  <si>
    <t xml:space="preserve">JEFE SEGURIDAD ÁREA CODELCO: </t>
  </si>
  <si>
    <t>C.1 Obligación de Informar / ODI</t>
  </si>
  <si>
    <t>D.2 Calificación de Empresas Contratistas y Subcontratistas</t>
  </si>
  <si>
    <t>F. OBLIGACIONES DE LAS EMPRESASCONTRATISTAS Y SUBCONTRATISTAS (Título IX Y X RESSO)</t>
  </si>
  <si>
    <t>¿La empresa cuenta con la identificación de los GES (Grupo de Exposición Similar), con listado de expuestos y  Programa de Vigilancia Medica,   en coordinación con el organismo administrador del seguro?
¿Cumple con las medidas prescritas emitidas por el organismo administrador?</t>
  </si>
  <si>
    <t>¿Tienen identificados, documentados y evaluados los niveles de cumplimiento de los “Riesgos Críticos aplicables (Bowtie) y ECF” que aplican a sus procesos o servicios y cuentan con plan de brechas, si aplica?</t>
  </si>
  <si>
    <t xml:space="preserve"> ¿De los incidentes del contrato (Evento Significativo,  CTP o STP), se ha realizado la investigación respectiva, las medidas correctivas y preventivas se encuentran cerradas dentro del  plazo de acuerdo a la investigación y se privilegia la definición de medidas de control de alta jerarquía?. ¿Estas medidas fueron verificadas en terreno?</t>
  </si>
  <si>
    <t>¿La empresa contratista evaluó los riesgos de un potencial accidente grave o fatal considerando los Riesgos Críticos aplicables (Bowtie) y ECF identificados y de las tareas críticas? ¿De lo anterior se realizó un simulacro documental, implementando las medidas correctivas y preventivas dentro de los plazos definidos?</t>
  </si>
  <si>
    <t>¿La empresa cuenta con documentos operativos que asignan responsables y las actividades asociadas a las medidas de control necesarias de acuerdo a los Riesgos Críticos aplicables (Bowtie), ECF y EST?</t>
  </si>
  <si>
    <t>¿La empresa realiza auditorías a los Riesgos Críticos aplicables (Bowtie), ECF y EST? De los hallazgos N1 levantados en terreno ¿éstos son cerrados e informados al administrador de contrato Codelco?</t>
  </si>
  <si>
    <t>¿Cuenta la empresa con personal capacitado en el método para investigar incidentes definido por Codelco (EVITA/RDP 8 pasosy/o 3 pasos)?</t>
  </si>
  <si>
    <t>DFHFSHFHF</t>
  </si>
  <si>
    <t>DFGDFHDFHF</t>
  </si>
  <si>
    <t>FHFGHFGJH</t>
  </si>
  <si>
    <t>HFGHFGJ</t>
  </si>
  <si>
    <t>HFGH</t>
  </si>
  <si>
    <t>HFH</t>
  </si>
  <si>
    <t>FHFGHF</t>
  </si>
  <si>
    <t>HFGHFD</t>
  </si>
  <si>
    <t>HFGHFGH</t>
  </si>
  <si>
    <t xml:space="preserve">             Firma Adm. Ctto Codelco                                                                  Firma Jefe Seguridad Área Codelco</t>
  </si>
  <si>
    <t>PORCENTAJE DE CUMPLIMIENTO DOCUMENTAL</t>
  </si>
  <si>
    <t>PORCENTAJE DE CUMPLIMIENTO TERRENO</t>
  </si>
  <si>
    <t>GERENCIA DE ADMINISTRACIÓN</t>
  </si>
  <si>
    <t>GERENCIA DE RECURSOS HUMANOS</t>
  </si>
  <si>
    <t>GERENCIA SEGURIDAD Y SALUD OCUPACIONAL</t>
  </si>
  <si>
    <t>GERENCIA DE SUSTENTABILIDAD Y ASUNT.EXT.</t>
  </si>
  <si>
    <t>GERENCIA RECURSOS MINEROS Y DESARROLLO</t>
  </si>
  <si>
    <t>GERENCIA MINA CHUQUICAMATA SUBTERRÁNEA</t>
  </si>
  <si>
    <t>GERENCIA DE PROYECTO</t>
  </si>
  <si>
    <t xml:space="preserve">GERENCIA DE SERVICIOS Y SUMINISTROS </t>
  </si>
  <si>
    <t>GERENCIA FUNDICIÓN</t>
  </si>
  <si>
    <t>GERENCIA DE SERVICIOS Y SUMINISTROS</t>
  </si>
  <si>
    <t>GERENCIA DE PROYECTOS</t>
  </si>
  <si>
    <t>GERENCIA MANTENIMIENTO CONCENTRADORA</t>
  </si>
  <si>
    <t xml:space="preserve">GERENCIA REFINERÍA </t>
  </si>
  <si>
    <t>GERENCIA MINA</t>
  </si>
  <si>
    <t>GERENCIA OPERACIONES CONCENTRADORA</t>
  </si>
  <si>
    <t>GERENCIA EXTRACCIÓN Y LIXIVIACIÓN</t>
  </si>
  <si>
    <t>GERENCIA AGUA Y RELAVES</t>
  </si>
  <si>
    <t>GERENCIA MANTENIMIENTO MINA CHUQUICAMATA SUBTERRÁNEA</t>
  </si>
  <si>
    <t>GERENCIA OPERACCIONES MINA CHUQUICAMATA SUBTERRÁNEA</t>
  </si>
  <si>
    <t>GERENCIA DE TECNOLOGÍAS DE INFORMACIÓN</t>
  </si>
  <si>
    <t>GERENCIA VTAP (ADMINISTRACIÓN)</t>
  </si>
  <si>
    <t>GERENCIA SUSTENTABILIDAD Y ASUNT. EXT</t>
  </si>
  <si>
    <t>GERENCIA OBRAS MINA CHUQUICAMATA SUBTERRÁNEA</t>
  </si>
  <si>
    <t>¿En la elaboración del Programa de Seguridad y Salud en el Trabajo de la empresa, se consideró los enunciados de la Política Corporativa de Gestión de Seguridad, Salud en el Trabajo y Riesgos Operacionales de Codelco (Descrita en el Título I RESSO V9)?</t>
  </si>
  <si>
    <t>¿El programa definido para el cumplimiento de los objetivos y metas consistentes en la política de seguridad y salud ocupacional, cuenta con indicadores de desempeño, responsables, recursos y plazos consistentes con la criticidad de las actividades definidas, así  como también con los 7 Elementos del Sistema de Gestión de Seguridad y Salud en el Trabajo u Ocupacional de CODELCO</t>
  </si>
  <si>
    <t>Versión: 00</t>
  </si>
  <si>
    <t>GERENCIAS</t>
  </si>
  <si>
    <t>GERENCIA OPERACIONES TECNOLÓGICAS</t>
  </si>
  <si>
    <t>GERENCIA OPERACIONES MINA CHUQUICAMATA SUBTERRÁNEA</t>
  </si>
  <si>
    <t>SUPERINTENDENCIA GEOLOGÍA</t>
  </si>
  <si>
    <t>SUPERINTENDENCIA GEOTECNIA OPERACIONES</t>
  </si>
  <si>
    <t>SUPERINTENDENCIA DE CALIDAD</t>
  </si>
  <si>
    <t>SUPERINTENDENCIA PLANIFICACIÓN CP</t>
  </si>
  <si>
    <t>DIRECCIÓN DE ESTÁNDARES Y CONTROLES</t>
  </si>
  <si>
    <t>DIRECCIÓN DE INGENIERÍA Y ESTUDIOS</t>
  </si>
  <si>
    <t>DIRECCIÓN DE PROYECTOS CONCENTRADORA</t>
  </si>
  <si>
    <t>DIRECCIÓN DE PROYECTOS DE SERVICIOS</t>
  </si>
  <si>
    <t>DIRECCIÓN DE PROYECTOS FURE</t>
  </si>
  <si>
    <t>DIRECCIÓN DE PROYECTOS MINA</t>
  </si>
  <si>
    <t>SUPERINTENDENCIA PLANTAS SUMINISTROS</t>
  </si>
  <si>
    <t>SUPERINTENDENCIA DE PROTECCIÓN INDUSTRIAL Y EMERGENCIAS</t>
  </si>
  <si>
    <t>SUPERINTENDENCIA SERV. TRANSVERSALES</t>
  </si>
  <si>
    <t>SUPERINTENDENCIA SERV. PRODUCCIÓN Y LOGÍSTICA</t>
  </si>
  <si>
    <t>SUPERINTENDENCIA DE ENERGÍA Y COMBUSTIBLES</t>
  </si>
  <si>
    <t>SUPERINTENDENCIA PLANIFICACIÓN Y CONFIABILIDAD</t>
  </si>
  <si>
    <t>SUPERINTENDENCIA OPERACIONES</t>
  </si>
  <si>
    <t>SUPERINTENDENCIA OPERACIONES- PLANTAS DE ACIDO SULFÚRICO Y OXIGENO</t>
  </si>
  <si>
    <t>SUPERINTENDENCIA INGENIERÍA PROCESOS</t>
  </si>
  <si>
    <t>SUPERINTENDENCIA EJECUCIÓN MANTENCIÓN</t>
  </si>
  <si>
    <t>SUPERINTENDENCIA CHANCADO</t>
  </si>
  <si>
    <t xml:space="preserve">SUPERINTENDENCIA MANTENIMIENTO ELÉCTRICO Y AUTOMATIZACIÓN </t>
  </si>
  <si>
    <t>SUPERINTENDENCIA MOLIENDA CONVENCIONAL A0- A1</t>
  </si>
  <si>
    <t xml:space="preserve">SUPERINTENDENCIA MOLIENDA A2-A3- V MOLINO - PEEBLES  </t>
  </si>
  <si>
    <t>SUPERINTENDENCIA ESPESADORES/FILTROS/MOLIBDENO/FLOTACIÓN</t>
  </si>
  <si>
    <t>SUPERINTENDENCIA ELÉCTRICO E INSTRUMENTACIÓN</t>
  </si>
  <si>
    <t>SUPERINTENDENCIA PLANIFICACIÓN</t>
  </si>
  <si>
    <t xml:space="preserve">SUPERINTENDENCIA CONFIABILIDAD </t>
  </si>
  <si>
    <t>SUPERINTENDENCIA OPERACIONES REFINERÍA</t>
  </si>
  <si>
    <t>SUPERINTENDENCIA MANTENIMIENTO REFINERÍA</t>
  </si>
  <si>
    <t>SUPERINTENDENCIA MANTENCIÓN MINA</t>
  </si>
  <si>
    <t>SUPERINTENDENCIA OPERACIONES CHANCADO 1°</t>
  </si>
  <si>
    <t>SUPERINTENDENCIA CHANCADO 2° Y 3°</t>
  </si>
  <si>
    <t>SUPERINTENDENCIA MOLIENDA</t>
  </si>
  <si>
    <t xml:space="preserve">SUPERINTENDENCIA PROYECTO OPERACIONALES </t>
  </si>
  <si>
    <t>SUPERINTENDENCIA FLOTACIÓN RECUPERACIÓN DE AGUA</t>
  </si>
  <si>
    <t>SUPERINTENDENCIA MOLIBDENO Y FILTROS</t>
  </si>
  <si>
    <t>SUPERINTENDENCIA OPERACIONES MINA</t>
  </si>
  <si>
    <t>SUPERINTENDENCIA DE PROCESOS Y OPERACIONES PLANTA</t>
  </si>
  <si>
    <t>DIRECCIÓN GESTIÓN DE PRODUCCIÓN Y COSTOS</t>
  </si>
  <si>
    <t>SUPERINTENDENCIA DE OPERACIONES PLANTA GEL</t>
  </si>
  <si>
    <t>SUPERINTENDENCIA MANTENIMIENTO PLANTAS</t>
  </si>
  <si>
    <t>SUPERINTENDENCIA PROYECTOS</t>
  </si>
  <si>
    <t>SUPERINTENDENCIA SBL PARCELAS</t>
  </si>
  <si>
    <t xml:space="preserve">SUPERINTENDENCIA INGENIERÍA DE  MANTENIMIENTO </t>
  </si>
  <si>
    <t>SUPERINTENDENCIA MANTENIMIENTO MECÁNICO GEL</t>
  </si>
  <si>
    <t>SUPERINTENDENCIA MANTENIMIENTO ELÉC-ELECTRO GEL</t>
  </si>
  <si>
    <t>SUPERINTENDENCIA OPERACIONES/MANTENIMIENTO</t>
  </si>
  <si>
    <t>SUPERINTENDENCIA DESARROLLO</t>
  </si>
  <si>
    <t>SUPERINTENDENCIA ELÉCTRICA E INSTRUMENTACIÓN</t>
  </si>
  <si>
    <t>SUPERINTENDENCIA EQUIPOS MÓVILES</t>
  </si>
  <si>
    <t>SUPERINTENDENCIA MANEJO MATERIALES Y CHANCADO</t>
  </si>
  <si>
    <t>SUPERINTENDENCIA CHANCADO Y MANEJO DE MINERALES</t>
  </si>
  <si>
    <t>SUPERINTENDENCIA SERVICIOS E INFRAESTRUCTURA MINA</t>
  </si>
  <si>
    <t>SUPERINTENDENCIA PRODUCCIÓN MINA</t>
  </si>
  <si>
    <t>TRANSMACLTDA</t>
  </si>
  <si>
    <t>“SERVICIO DE ARRIENDO DE GRUA PLUMA 250 TON Y CAMA BAJA CON OPERACIÓN”</t>
  </si>
  <si>
    <t>CARLA BRICEÑO G</t>
  </si>
  <si>
    <t>DARWIN SOTO H</t>
  </si>
  <si>
    <t>PATRICIO BARRIENTOS L</t>
  </si>
  <si>
    <t>ANDRES ILLANES L</t>
  </si>
  <si>
    <t>ÍTEM</t>
  </si>
  <si>
    <t>REQUISITO</t>
  </si>
  <si>
    <t>Modo de cumplimiento</t>
  </si>
  <si>
    <t>EVIDENCIA</t>
  </si>
  <si>
    <t>RESPONSABLE</t>
  </si>
  <si>
    <t xml:space="preserve">FECHA DE CUMPLIMIENTO </t>
  </si>
  <si>
    <t>¿Esta Política Corporativa se dio a conocer a todos los trabajadores de la contratista y subcontratistas? Se cuenta con evidencia de ello?</t>
  </si>
  <si>
    <t>Difusion y evaluación de la polictica de forma mensual</t>
  </si>
  <si>
    <t>Registro de difusipon y evaluacion a todo el personal del contrato</t>
  </si>
  <si>
    <t xml:space="preserve">EXPERTO PREVENCION DE RIESGOS // ADC </t>
  </si>
  <si>
    <t xml:space="preserve">Identificación de la GES </t>
  </si>
  <si>
    <t xml:space="preserve">GES </t>
  </si>
  <si>
    <t>¿Cuenta la empresa contratista con Mapas de Riesgo de Higiene Industrial en el lugar donde realiza sus actividades?, a partir de éstos, ¿se cuenta con un programa de gestión, con responsables, acciones y fechas? ¿Realizo difusión del mapa de riesgo a los trabajadores (as)?</t>
  </si>
  <si>
    <t xml:space="preserve">Confeccion mapa de riesgos, difusion y evaluacion  </t>
  </si>
  <si>
    <t xml:space="preserve">MAPA DE RIESGOS DIFUNDIDO </t>
  </si>
  <si>
    <t>¿Tiene identificado, documentado y evaluado los requisitos  de los “EST” que aplican a sus procesos o servicios y cuenta con plan de brechas, si aplica?</t>
  </si>
  <si>
    <t xml:space="preserve">Listas de verificacion EST </t>
  </si>
  <si>
    <t xml:space="preserve">Dar cumplimiento a brechas </t>
  </si>
  <si>
    <t>¿Se cumple y se dispone de evidencias de las actividades definidas en el “Estándar de Liderazgo”, de acuerdo a lo programado?</t>
  </si>
  <si>
    <t xml:space="preserve">Incoporrar el PAM </t>
  </si>
  <si>
    <t xml:space="preserve">PAM </t>
  </si>
  <si>
    <t>Se cumple y se dispone de evidencias de actividades definidas en el “Estándar de Seguridad Conductual” de acuerdo a lo programado (N° Observadores, cierre de ciclo, conductas preocupantes y plan de acción)?</t>
  </si>
  <si>
    <t>Observaciones conductuales de acuerdo a plan de liderazgo</t>
  </si>
  <si>
    <t xml:space="preserve">Plan conductual he informe </t>
  </si>
  <si>
    <t xml:space="preserve">Mnesual </t>
  </si>
  <si>
    <t xml:space="preserve">Capacitacion por parte de la mandante </t>
  </si>
  <si>
    <t xml:space="preserve">Registro capacitacion </t>
  </si>
  <si>
    <t>¿La empresa cuenta con un plan de emergencia formal que considere la comunicación, coordinación y plan de acción ante una emergencia que le afecte y se difundió a sus trabajadores (as)?</t>
  </si>
  <si>
    <t xml:space="preserve">Difusion y evaluacion </t>
  </si>
  <si>
    <t>Registro de difusion y evaluacion</t>
  </si>
  <si>
    <t xml:space="preserve">Aplicación de simulacro fatal </t>
  </si>
  <si>
    <t xml:space="preserve">Implememtacion F7 </t>
  </si>
  <si>
    <t>Fecha: MARZO  2026</t>
  </si>
  <si>
    <t>PLAN DE ACCION RESSO  MARZO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</si>
</sst>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5" formatCode="&quot;$&quot;#,##0;&quot;$&quot;\-#,##0"/>
    <numFmt numFmtId="164" formatCode="_-* #,##0.00_-;\-* #,##0.00_-;_-* &quot;-&quot;??_-;_-@_-"/>
    <numFmt numFmtId="165" formatCode="#,##0.0"/>
    <numFmt numFmtId="166" formatCode="_-* #,##0.00\ [$€]_-;\-* #,##0.00\ [$€]_-;_-* &quot;-&quot;??\ [$€]_-;_-@_-"/>
    <numFmt numFmtId="167" formatCode="&quot;$&quot;#,##0_);\(&quot;$&quot;#,##0\)"/>
    <numFmt numFmtId="168" formatCode="_-* #,##0\ _p_t_a_-;\-* #,##0\ _p_t_a_-;_-* &quot;-&quot;\ _p_t_a_-;_-@_-"/>
    <numFmt numFmtId="169" formatCode="d\ m\es\ \a\a\a\a"/>
    <numFmt numFmtId="170" formatCode="&quot;Ch$&quot;#,##0.00_);\(&quot;Ch$&quot;#,##0.00\)"/>
    <numFmt numFmtId="171" formatCode="mmm"/>
    <numFmt numFmtId="172" formatCode="#,##0.00_)&quot;Cents/lb&quot;;\-&quot;$&quot;#,##0.00"/>
    <numFmt numFmtId="173" formatCode="&quot;$&quot;#,##0.000_);\(&quot;$&quot;#,##0.000\)"/>
    <numFmt numFmtId="174" formatCode="&quot;$&quot;#,##0.00\ ;\(&quot;$&quot;#,##0.00\)"/>
    <numFmt numFmtId="175" formatCode="&quot;$&quot;#,##0\ ;\(&quot;$&quot;#,##0\)"/>
    <numFmt numFmtId="176" formatCode="&quot;$&quot;\ #.##&quot;/KWh&quot;"/>
    <numFmt numFmtId="177" formatCode="&quot;$&quot;#,##0.00_)&quot;/lb&quot;;\-&quot;$&quot;#,##0.00"/>
    <numFmt numFmtId="178" formatCode="&quot;$&quot;#,##0.0000_)&quot;/lb&quot;;\(&quot;$&quot;#,##0.0000\)"/>
    <numFmt numFmtId="179" formatCode="&quot;$&quot;#,##0.000_)&quot;/m3&quot;;\(&quot;$&quot;#,##0.00\)"/>
    <numFmt numFmtId="180" formatCode="&quot;$&quot;\ #.##&quot;/MWh&quot;"/>
    <numFmt numFmtId="181" formatCode="&quot;$&quot;#,##0.00_)&quot;/t&quot;;\-&quot;$&quot;#,##0"/>
    <numFmt numFmtId="182" formatCode="&quot;$&quot;#,##0_)&quot; /year&quot;;[Red]\(#,##0\)"/>
    <numFmt numFmtId="183" formatCode="#0&quot; months&quot;"/>
    <numFmt numFmtId="184" formatCode="0%\ &quot;Grade A&quot;"/>
    <numFmt numFmtId="185" formatCode="0\ &quot;weeks&quot;"/>
    <numFmt numFmtId="186" formatCode="yyyy"/>
    <numFmt numFmtId="187" formatCode="0.0\ &quot;yrs&quot;"/>
    <numFmt numFmtId="188" formatCode="0.0%"/>
  </numFmts>
  <fonts count="11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0"/>
      <name val="Arial"/>
      <family val="2"/>
    </font>
    <font>
      <sz val="11"/>
      <color indexed="17"/>
      <name val="Calibri"/>
      <family val="2"/>
    </font>
    <font>
      <b/>
      <sz val="24"/>
      <name val="Courier New"/>
      <family val="3"/>
    </font>
    <font>
      <sz val="11"/>
      <name val="Courier New"/>
      <family val="3"/>
    </font>
    <font>
      <b/>
      <sz val="11"/>
      <color indexed="52"/>
      <name val="Calibri"/>
      <family val="2"/>
    </font>
    <font>
      <b/>
      <sz val="11"/>
      <color indexed="9"/>
      <name val="Calibri"/>
      <family val="2"/>
    </font>
    <font>
      <sz val="11"/>
      <color indexed="52"/>
      <name val="Calibri"/>
      <family val="2"/>
    </font>
    <font>
      <sz val="10"/>
      <color indexed="11"/>
      <name val="Courier New"/>
      <family val="3"/>
    </font>
    <font>
      <sz val="12"/>
      <color indexed="24"/>
      <name val="Arial"/>
      <family val="2"/>
    </font>
    <font>
      <sz val="10"/>
      <name val="Courier New"/>
      <family val="3"/>
    </font>
    <font>
      <sz val="12"/>
      <name val="Arial"/>
      <family val="2"/>
    </font>
    <font>
      <sz val="5"/>
      <name val="Arial"/>
      <family val="2"/>
    </font>
    <font>
      <b/>
      <sz val="12"/>
      <name val="Arial"/>
      <family val="2"/>
    </font>
    <font>
      <b/>
      <sz val="11"/>
      <color indexed="56"/>
      <name val="Calibri"/>
      <family val="2"/>
    </font>
    <font>
      <sz val="11"/>
      <color indexed="62"/>
      <name val="Calibri"/>
      <family val="2"/>
    </font>
    <font>
      <sz val="10"/>
      <name val="Comic Sans MS"/>
      <family val="4"/>
    </font>
    <font>
      <sz val="8"/>
      <name val="Courier New"/>
      <family val="3"/>
    </font>
    <font>
      <sz val="18"/>
      <color indexed="24"/>
      <name val="Arial"/>
      <family val="2"/>
    </font>
    <font>
      <sz val="8"/>
      <color indexed="24"/>
      <name val="Arial"/>
      <family val="2"/>
    </font>
    <font>
      <sz val="10"/>
      <color indexed="9"/>
      <name val="MS Sans Serif"/>
      <family val="2"/>
    </font>
    <font>
      <sz val="11"/>
      <color indexed="20"/>
      <name val="Calibri"/>
      <family val="2"/>
    </font>
    <font>
      <sz val="10"/>
      <name val="MS Sans Serif"/>
      <family val="2"/>
    </font>
    <font>
      <sz val="11"/>
      <color indexed="60"/>
      <name val="Calibri"/>
      <family val="2"/>
    </font>
    <font>
      <sz val="10"/>
      <name val="Courier"/>
      <family val="3"/>
    </font>
    <font>
      <b/>
      <sz val="11"/>
      <color indexed="63"/>
      <name val="Calibri"/>
      <family val="2"/>
    </font>
    <font>
      <b/>
      <sz val="12"/>
      <color indexed="8"/>
      <name val="Arial"/>
      <family val="2"/>
    </font>
    <font>
      <b/>
      <i/>
      <sz val="12"/>
      <color indexed="8"/>
      <name val="Arial"/>
      <family val="2"/>
    </font>
    <font>
      <sz val="12"/>
      <color indexed="8"/>
      <name val="Arial"/>
      <family val="2"/>
    </font>
    <font>
      <b/>
      <sz val="10"/>
      <color indexed="8"/>
      <name val="Arial"/>
      <family val="2"/>
    </font>
    <font>
      <b/>
      <sz val="12"/>
      <color indexed="9"/>
      <name val="Arial"/>
      <family val="2"/>
    </font>
    <font>
      <sz val="10"/>
      <color indexed="8"/>
      <name val="Arial"/>
      <family val="2"/>
    </font>
    <font>
      <i/>
      <sz val="12"/>
      <color indexed="8"/>
      <name val="Arial"/>
      <family val="2"/>
    </font>
    <font>
      <sz val="10"/>
      <color indexed="8"/>
      <name val="Arial"/>
      <family val="2"/>
    </font>
    <font>
      <b/>
      <sz val="20"/>
      <color indexed="9"/>
      <name val="Arial"/>
      <family val="2"/>
    </font>
    <font>
      <sz val="12"/>
      <color indexed="14"/>
      <name val="Arial"/>
      <family val="2"/>
    </font>
    <font>
      <b/>
      <sz val="12"/>
      <name val="MS Sans Serif"/>
      <family val="2"/>
    </font>
    <font>
      <sz val="11"/>
      <color indexed="10"/>
      <name val="Calibri"/>
      <family val="2"/>
    </font>
    <font>
      <i/>
      <sz val="11"/>
      <color indexed="23"/>
      <name val="Calibri"/>
      <family val="2"/>
    </font>
    <font>
      <b/>
      <sz val="10"/>
      <name val="Arial"/>
      <family val="2"/>
    </font>
    <font>
      <b/>
      <sz val="18"/>
      <color indexed="56"/>
      <name val="Cambria"/>
      <family val="2"/>
    </font>
    <font>
      <b/>
      <sz val="15"/>
      <color indexed="56"/>
      <name val="Calibri"/>
      <family val="2"/>
    </font>
    <font>
      <b/>
      <sz val="13"/>
      <color indexed="56"/>
      <name val="Calibri"/>
      <family val="2"/>
    </font>
    <font>
      <sz val="12"/>
      <name val="Courier New"/>
      <family val="3"/>
    </font>
    <font>
      <sz val="11"/>
      <name val="Calibri"/>
      <family val="2"/>
      <scheme val="minor"/>
    </font>
    <font>
      <sz val="10"/>
      <color rgb="FFFF0000"/>
      <name val="Arial"/>
      <family val="2"/>
    </font>
    <font>
      <b/>
      <sz val="11"/>
      <color theme="1"/>
      <name val="Calibri"/>
      <family val="2"/>
      <scheme val="minor"/>
    </font>
    <font>
      <b/>
      <sz val="11"/>
      <color theme="0"/>
      <name val="Calibri"/>
      <family val="2"/>
      <scheme val="minor"/>
    </font>
    <font>
      <b/>
      <sz val="11"/>
      <color rgb="FF9A1D00"/>
      <name val="Calibri"/>
      <family val="2"/>
      <scheme val="minor"/>
    </font>
    <font>
      <b/>
      <sz val="10"/>
      <color rgb="FF601200"/>
      <name val="Calibri"/>
      <family val="2"/>
      <scheme val="minor"/>
    </font>
    <font>
      <sz val="10"/>
      <color rgb="FF601200"/>
      <name val="Calibri"/>
      <family val="2"/>
      <scheme val="minor"/>
    </font>
    <font>
      <sz val="11"/>
      <color rgb="FF601200"/>
      <name val="Calibri"/>
      <family val="2"/>
      <scheme val="minor"/>
    </font>
    <font>
      <sz val="8"/>
      <color rgb="FFFF0000"/>
      <name val="Cambria"/>
      <family val="1"/>
      <scheme val="major"/>
    </font>
    <font>
      <b/>
      <sz val="14"/>
      <color rgb="FF9A1D00"/>
      <name val="Calibri"/>
      <family val="2"/>
      <scheme val="minor"/>
    </font>
    <font>
      <sz val="10"/>
      <color theme="3" tint="-0.249977111117893"/>
      <name val="Calibri"/>
      <family val="2"/>
      <scheme val="minor"/>
    </font>
    <font>
      <b/>
      <sz val="10"/>
      <color rgb="FF990000"/>
      <name val="Calibri"/>
      <family val="2"/>
      <scheme val="minor"/>
    </font>
    <font>
      <b/>
      <sz val="11"/>
      <color rgb="FF601200"/>
      <name val="Calibri"/>
      <family val="2"/>
      <scheme val="minor"/>
    </font>
    <font>
      <sz val="10"/>
      <name val="Calibri"/>
      <family val="2"/>
      <scheme val="minor"/>
    </font>
    <font>
      <sz val="10"/>
      <color theme="5"/>
      <name val="Arial"/>
      <family val="2"/>
    </font>
    <font>
      <b/>
      <sz val="10"/>
      <color theme="5"/>
      <name val="Arial"/>
      <family val="2"/>
    </font>
    <font>
      <sz val="10"/>
      <color theme="1"/>
      <name val="Calibri"/>
      <family val="2"/>
      <scheme val="minor"/>
    </font>
    <font>
      <b/>
      <sz val="11"/>
      <name val="Cambria"/>
      <family val="1"/>
      <scheme val="major"/>
    </font>
    <font>
      <b/>
      <sz val="11"/>
      <name val="Arial"/>
      <family val="2"/>
    </font>
    <font>
      <sz val="10"/>
      <color theme="0" tint="-0.34998626667073579"/>
      <name val="Arial"/>
      <family val="2"/>
    </font>
    <font>
      <sz val="10"/>
      <color theme="0" tint="-0.499984740745262"/>
      <name val="Arial"/>
      <family val="2"/>
    </font>
    <font>
      <b/>
      <sz val="11"/>
      <color rgb="FF4397A8"/>
      <name val="Calibri"/>
      <family val="2"/>
      <scheme val="minor"/>
    </font>
    <font>
      <b/>
      <sz val="14"/>
      <color rgb="FF4397A8"/>
      <name val="Calibri"/>
      <family val="2"/>
      <scheme val="minor"/>
    </font>
    <font>
      <b/>
      <sz val="10"/>
      <color theme="1"/>
      <name val="Calibri"/>
      <family val="2"/>
      <scheme val="minor"/>
    </font>
    <font>
      <b/>
      <sz val="13"/>
      <color rgb="FF4397A8"/>
      <name val="Calibri"/>
      <family val="2"/>
      <scheme val="minor"/>
    </font>
    <font>
      <b/>
      <sz val="14"/>
      <color theme="0"/>
      <name val="Calibri"/>
      <family val="2"/>
      <scheme val="minor"/>
    </font>
    <font>
      <sz val="8"/>
      <name val="Arial"/>
      <family val="2"/>
    </font>
    <font>
      <sz val="10"/>
      <name val="Barlow"/>
    </font>
    <font>
      <b/>
      <sz val="11"/>
      <color theme="0"/>
      <name val="Barlow"/>
    </font>
    <font>
      <sz val="11"/>
      <color theme="1"/>
      <name val="Barlow"/>
    </font>
    <font>
      <b/>
      <sz val="11"/>
      <color theme="1"/>
      <name val="Barlow"/>
    </font>
    <font>
      <b/>
      <sz val="16"/>
      <color theme="1"/>
      <name val="Barlow"/>
    </font>
    <font>
      <b/>
      <sz val="16"/>
      <name val="Barlow"/>
    </font>
    <font>
      <b/>
      <sz val="12"/>
      <color theme="0"/>
      <name val="Barlow"/>
    </font>
    <font>
      <b/>
      <sz val="10"/>
      <name val="Barlow"/>
    </font>
    <font>
      <b/>
      <sz val="16"/>
      <color theme="0"/>
      <name val="Barlow"/>
    </font>
    <font>
      <b/>
      <sz val="8"/>
      <color theme="0"/>
      <name val="Barlow"/>
    </font>
    <font>
      <b/>
      <sz val="11"/>
      <color rgb="FF9A1D00"/>
      <name val="Barlow"/>
    </font>
    <font>
      <b/>
      <sz val="12"/>
      <name val="Barlow"/>
    </font>
    <font>
      <sz val="12"/>
      <name val="Barlow"/>
    </font>
    <font>
      <sz val="11"/>
      <color rgb="FF990000"/>
      <name val="Barlow"/>
    </font>
    <font>
      <sz val="11"/>
      <color rgb="FF4397A8"/>
      <name val="Barlow"/>
    </font>
    <font>
      <sz val="14"/>
      <color theme="1"/>
      <name val="Barlow"/>
    </font>
    <font>
      <b/>
      <sz val="14"/>
      <color theme="1"/>
      <name val="Barlow"/>
    </font>
    <font>
      <b/>
      <sz val="18"/>
      <color theme="1"/>
      <name val="Barlow"/>
    </font>
    <font>
      <b/>
      <sz val="10"/>
      <color theme="0"/>
      <name val="Barlow"/>
    </font>
    <font>
      <b/>
      <sz val="11"/>
      <color rgb="FF2588B9"/>
      <name val="Barlow"/>
    </font>
    <font>
      <b/>
      <sz val="18"/>
      <color rgb="FF2588B9"/>
      <name val="Barlow"/>
    </font>
    <font>
      <b/>
      <sz val="14"/>
      <color rgb="FF2588B9"/>
      <name val="Barlow"/>
    </font>
    <font>
      <sz val="11"/>
      <color rgb="FF2588B9"/>
      <name val="Barlow"/>
    </font>
    <font>
      <b/>
      <sz val="11"/>
      <color theme="0" tint="-0.34998626667073579"/>
      <name val="Calibri"/>
      <family val="2"/>
      <scheme val="minor"/>
    </font>
    <font>
      <sz val="11"/>
      <color theme="0" tint="-0.34998626667073579"/>
      <name val="Calibri"/>
      <family val="2"/>
      <scheme val="minor"/>
    </font>
    <font>
      <sz val="7"/>
      <color theme="0" tint="-0.34998626667073579"/>
      <name val="Calibri"/>
      <family val="2"/>
      <scheme val="minor"/>
    </font>
    <font>
      <b/>
      <sz val="8"/>
      <color theme="0"/>
      <name val="Arial"/>
      <family val="2"/>
    </font>
    <font>
      <sz val="8"/>
      <color theme="1"/>
      <name val="Calibri"/>
      <family val="2"/>
      <scheme val="minor"/>
    </font>
    <font>
      <sz val="8"/>
      <color theme="1"/>
      <name val="Arial"/>
      <family val="2"/>
    </font>
    <font>
      <sz val="11"/>
      <name val="Arial"/>
      <family val="2"/>
    </font>
    <font>
      <sz val="11"/>
      <color theme="1"/>
      <name val="Arial"/>
      <family val="2"/>
    </font>
    <font>
      <b/>
      <sz val="16"/>
      <name val="Calibri"/>
      <family val="2"/>
      <scheme val="minor"/>
    </font>
    <font>
      <b/>
      <sz val="16"/>
      <color theme="1"/>
      <name val="Calibri"/>
      <family val="2"/>
      <scheme val="minor"/>
    </font>
    <font>
      <b/>
      <sz val="16"/>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34"/>
      </patternFill>
    </fill>
    <fill>
      <patternFill patternType="solid">
        <fgColor indexed="43"/>
        <bgColor indexed="64"/>
      </patternFill>
    </fill>
    <fill>
      <patternFill patternType="solid">
        <fgColor indexed="18"/>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54"/>
        <bgColor indexed="64"/>
      </patternFill>
    </fill>
    <fill>
      <patternFill patternType="solid">
        <fgColor indexed="40"/>
        <bgColor indexed="64"/>
      </patternFill>
    </fill>
    <fill>
      <patternFill patternType="solid">
        <fgColor indexed="41"/>
        <bgColor indexed="64"/>
      </patternFill>
    </fill>
    <fill>
      <patternFill patternType="solid">
        <fgColor indexed="26"/>
        <bgColor indexed="64"/>
      </patternFill>
    </fill>
    <fill>
      <patternFill patternType="solid">
        <fgColor indexed="5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rgb="FFE7F4F7"/>
        <bgColor indexed="64"/>
      </patternFill>
    </fill>
    <fill>
      <patternFill patternType="solid">
        <fgColor rgb="FF4397A8"/>
        <bgColor indexed="64"/>
      </patternFill>
    </fill>
    <fill>
      <patternFill patternType="solid">
        <fgColor rgb="FFF9FAFF"/>
        <bgColor indexed="64"/>
      </patternFill>
    </fill>
    <fill>
      <patternFill patternType="solid">
        <fgColor rgb="FF2588B9"/>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8" tint="0.39997558519241921"/>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4"/>
      </top>
      <bottom style="double">
        <color indexed="64"/>
      </bottom>
      <diagonal/>
    </border>
    <border>
      <left/>
      <right/>
      <top style="thin">
        <color theme="9" tint="-0.499984740745262"/>
      </top>
      <bottom/>
      <diagonal/>
    </border>
    <border>
      <left/>
      <right/>
      <top/>
      <bottom style="thin">
        <color theme="9" tint="-0.499984740745262"/>
      </bottom>
      <diagonal/>
    </border>
    <border>
      <left style="thin">
        <color theme="9" tint="-0.499984740745262"/>
      </left>
      <right/>
      <top/>
      <bottom/>
      <diagonal/>
    </border>
    <border>
      <left style="thin">
        <color theme="9" tint="-0.499984740745262"/>
      </left>
      <right/>
      <top/>
      <bottom style="thin">
        <color theme="9"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rgb="FF990000"/>
      </left>
      <right style="thin">
        <color rgb="FF990000"/>
      </right>
      <top/>
      <bottom style="thin">
        <color rgb="FF990000"/>
      </bottom>
      <diagonal/>
    </border>
    <border>
      <left style="thin">
        <color rgb="FF990000"/>
      </left>
      <right/>
      <top/>
      <bottom style="thin">
        <color rgb="FF990000"/>
      </bottom>
      <diagonal/>
    </border>
    <border>
      <left style="thin">
        <color rgb="FF990000"/>
      </left>
      <right style="thin">
        <color rgb="FF990000"/>
      </right>
      <top style="thin">
        <color rgb="FF990000"/>
      </top>
      <bottom/>
      <diagonal/>
    </border>
    <border>
      <left/>
      <right/>
      <top style="thin">
        <color theme="9" tint="-0.499984740745262"/>
      </top>
      <bottom style="thin">
        <color theme="9" tint="-0.499984740745262"/>
      </bottom>
      <diagonal/>
    </border>
    <border>
      <left/>
      <right style="thin">
        <color theme="9" tint="-0.499984740745262"/>
      </right>
      <top style="thin">
        <color theme="9" tint="-0.499984740745262"/>
      </top>
      <bottom/>
      <diagonal/>
    </border>
    <border>
      <left/>
      <right style="thin">
        <color theme="9" tint="-0.499984740745262"/>
      </right>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right style="thin">
        <color theme="9" tint="-0.499984740745262"/>
      </right>
      <top/>
      <bottom/>
      <diagonal/>
    </border>
    <border>
      <left style="thin">
        <color rgb="FF4397A8"/>
      </left>
      <right style="thin">
        <color rgb="FF4397A8"/>
      </right>
      <top style="thin">
        <color rgb="FF4397A8"/>
      </top>
      <bottom style="thin">
        <color rgb="FF4397A8"/>
      </bottom>
      <diagonal/>
    </border>
    <border>
      <left style="thin">
        <color rgb="FF4397A8"/>
      </left>
      <right/>
      <top style="thin">
        <color rgb="FF4397A8"/>
      </top>
      <bottom style="thin">
        <color rgb="FF4397A8"/>
      </bottom>
      <diagonal/>
    </border>
    <border>
      <left/>
      <right style="thin">
        <color rgb="FF4397A8"/>
      </right>
      <top/>
      <bottom style="thin">
        <color rgb="FF4397A8"/>
      </bottom>
      <diagonal/>
    </border>
    <border>
      <left style="thin">
        <color rgb="FF4397A8"/>
      </left>
      <right style="thin">
        <color rgb="FF4397A8"/>
      </right>
      <top/>
      <bottom style="thin">
        <color rgb="FF4397A8"/>
      </bottom>
      <diagonal/>
    </border>
    <border>
      <left style="thin">
        <color rgb="FF4397A8"/>
      </left>
      <right/>
      <top/>
      <bottom style="thin">
        <color rgb="FF4397A8"/>
      </bottom>
      <diagonal/>
    </border>
    <border>
      <left/>
      <right style="thin">
        <color rgb="FF4397A8"/>
      </right>
      <top style="thin">
        <color rgb="FF4397A8"/>
      </top>
      <bottom style="thin">
        <color rgb="FF4397A8"/>
      </bottom>
      <diagonal/>
    </border>
    <border>
      <left/>
      <right style="thin">
        <color rgb="FF4397A8"/>
      </right>
      <top style="thin">
        <color rgb="FF4397A8"/>
      </top>
      <bottom/>
      <diagonal/>
    </border>
    <border>
      <left style="thin">
        <color rgb="FF4397A8"/>
      </left>
      <right style="thin">
        <color rgb="FF4397A8"/>
      </right>
      <top style="thin">
        <color rgb="FF4397A8"/>
      </top>
      <bottom/>
      <diagonal/>
    </border>
    <border>
      <left style="thin">
        <color rgb="FF4397A8"/>
      </left>
      <right/>
      <top style="thin">
        <color rgb="FF4397A8"/>
      </top>
      <bottom/>
      <diagonal/>
    </border>
    <border>
      <left style="thin">
        <color indexed="64"/>
      </left>
      <right/>
      <top/>
      <bottom/>
      <diagonal/>
    </border>
    <border>
      <left style="thin">
        <color theme="9" tint="-0.499984740745262"/>
      </left>
      <right style="thin">
        <color theme="9" tint="-0.499984740745262"/>
      </right>
      <top style="thin">
        <color theme="9" tint="-0.499984740745262"/>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9" tint="-0.499984740745262"/>
      </left>
      <right/>
      <top style="thin">
        <color theme="9" tint="-0.499984740745262"/>
      </top>
      <bottom/>
      <diagonal/>
    </border>
  </borders>
  <cellStyleXfs count="137">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0" borderId="0"/>
    <xf numFmtId="0" fontId="7"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16" borderId="1" applyNumberFormat="0" applyAlignment="0" applyProtection="0"/>
    <xf numFmtId="0" fontId="11" fillId="17" borderId="2" applyNumberFormat="0" applyAlignment="0" applyProtection="0"/>
    <xf numFmtId="0" fontId="12" fillId="0" borderId="3" applyNumberFormat="0" applyFill="0" applyAlignment="0" applyProtection="0"/>
    <xf numFmtId="172" fontId="13" fillId="0" borderId="4">
      <alignment horizontal="center"/>
      <protection locked="0"/>
    </xf>
    <xf numFmtId="168" fontId="6" fillId="0" borderId="0" applyFont="0" applyFill="0" applyBorder="0" applyAlignment="0" applyProtection="0"/>
    <xf numFmtId="164" fontId="6" fillId="0" borderId="0" applyFont="0" applyFill="0" applyBorder="0" applyAlignment="0" applyProtection="0"/>
    <xf numFmtId="3" fontId="14" fillId="0" borderId="0" applyFont="0" applyFill="0" applyBorder="0" applyAlignment="0" applyProtection="0"/>
    <xf numFmtId="173" fontId="15" fillId="0" borderId="0"/>
    <xf numFmtId="174" fontId="14" fillId="0" borderId="0" applyFont="0" applyFill="0" applyBorder="0" applyAlignment="0" applyProtection="0"/>
    <xf numFmtId="175" fontId="14" fillId="0" borderId="0" applyFont="0" applyFill="0" applyBorder="0" applyAlignment="0" applyProtection="0"/>
    <xf numFmtId="0" fontId="14" fillId="0" borderId="0" applyFont="0" applyFill="0" applyBorder="0" applyAlignment="0" applyProtection="0"/>
    <xf numFmtId="169" fontId="16" fillId="0" borderId="0" applyFill="0" applyBorder="0" applyAlignment="0" applyProtection="0"/>
    <xf numFmtId="176" fontId="6" fillId="0" borderId="0">
      <alignment horizontal="center"/>
    </xf>
    <xf numFmtId="177" fontId="6" fillId="0" borderId="0">
      <alignment horizontal="center"/>
    </xf>
    <xf numFmtId="178" fontId="6" fillId="0" borderId="0">
      <alignment horizontal="right"/>
    </xf>
    <xf numFmtId="179" fontId="15" fillId="0" borderId="5">
      <alignment horizontal="center"/>
    </xf>
    <xf numFmtId="180" fontId="6" fillId="0" borderId="0">
      <alignment horizontal="center"/>
    </xf>
    <xf numFmtId="181" fontId="6" fillId="0" borderId="0">
      <alignment horizontal="center"/>
    </xf>
    <xf numFmtId="182" fontId="15" fillId="0" borderId="6">
      <alignment horizontal="center"/>
    </xf>
    <xf numFmtId="0" fontId="17"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21" borderId="0" applyNumberFormat="0" applyBorder="0" applyAlignment="0" applyProtection="0"/>
    <xf numFmtId="0" fontId="20" fillId="7" borderId="1" applyNumberFormat="0" applyAlignment="0" applyProtection="0"/>
    <xf numFmtId="166" fontId="21"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171" fontId="22" fillId="0" borderId="0" applyFill="0" applyBorder="0" applyAlignment="0" applyProtection="0"/>
    <xf numFmtId="2" fontId="16" fillId="0" borderId="0" applyFill="0" applyBorder="0" applyAlignment="0" applyProtection="0"/>
    <xf numFmtId="165" fontId="16" fillId="0" borderId="0" applyFill="0" applyBorder="0" applyAlignment="0" applyProtection="0"/>
    <xf numFmtId="2" fontId="14"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37" fontId="25" fillId="0" borderId="0"/>
    <xf numFmtId="0" fontId="26" fillId="3" borderId="0" applyNumberFormat="0" applyBorder="0" applyAlignment="0" applyProtection="0"/>
    <xf numFmtId="170" fontId="16" fillId="0" borderId="0" applyFill="0" applyBorder="0" applyAlignment="0" applyProtection="0"/>
    <xf numFmtId="167" fontId="22" fillId="0" borderId="0" applyFill="0" applyBorder="0" applyAlignment="0" applyProtection="0"/>
    <xf numFmtId="183" fontId="27" fillId="0" borderId="0">
      <alignment horizontal="center"/>
    </xf>
    <xf numFmtId="0" fontId="28" fillId="22" borderId="0" applyNumberFormat="0" applyBorder="0" applyAlignment="0" applyProtection="0"/>
    <xf numFmtId="0" fontId="29" fillId="0" borderId="0"/>
    <xf numFmtId="0" fontId="6" fillId="0" borderId="0"/>
    <xf numFmtId="0" fontId="6" fillId="23" borderId="7" applyNumberFormat="0" applyFont="0" applyAlignment="0" applyProtection="0"/>
    <xf numFmtId="10" fontId="14" fillId="0" borderId="0" applyFont="0" applyFill="0" applyBorder="0" applyAlignment="0" applyProtection="0"/>
    <xf numFmtId="184" fontId="15" fillId="0" borderId="6">
      <alignment horizontal="center"/>
    </xf>
    <xf numFmtId="9" fontId="6" fillId="0" borderId="0" applyFont="0" applyFill="0" applyBorder="0" applyAlignment="0" applyProtection="0"/>
    <xf numFmtId="165" fontId="16" fillId="0" borderId="0" applyFill="0" applyBorder="0" applyAlignment="0" applyProtection="0"/>
    <xf numFmtId="3" fontId="16" fillId="0" borderId="0" applyFill="0" applyBorder="0" applyAlignment="0" applyProtection="0"/>
    <xf numFmtId="0" fontId="30" fillId="16" borderId="8" applyNumberFormat="0" applyAlignment="0" applyProtection="0"/>
    <xf numFmtId="4" fontId="31" fillId="24" borderId="9" applyNumberFormat="0" applyProtection="0">
      <alignment vertical="center"/>
    </xf>
    <xf numFmtId="4" fontId="32" fillId="25" borderId="9" applyNumberFormat="0" applyProtection="0">
      <alignment vertical="center"/>
    </xf>
    <xf numFmtId="4" fontId="33" fillId="24" borderId="9" applyNumberFormat="0" applyProtection="0">
      <alignment horizontal="left" vertical="center" indent="1"/>
    </xf>
    <xf numFmtId="0" fontId="34" fillId="25" borderId="9" applyNumberFormat="0" applyProtection="0">
      <alignment horizontal="left" vertical="top" indent="1"/>
    </xf>
    <xf numFmtId="4" fontId="35" fillId="26" borderId="0" applyNumberFormat="0" applyProtection="0">
      <alignment horizontal="left" vertical="center" indent="1"/>
    </xf>
    <xf numFmtId="4" fontId="33" fillId="27" borderId="9" applyNumberFormat="0" applyProtection="0">
      <alignment horizontal="right" vertical="center"/>
    </xf>
    <xf numFmtId="4" fontId="33" fillId="28" borderId="9" applyNumberFormat="0" applyProtection="0">
      <alignment horizontal="right" vertical="center"/>
    </xf>
    <xf numFmtId="4" fontId="33" fillId="29" borderId="9" applyNumberFormat="0" applyProtection="0">
      <alignment horizontal="right" vertical="center"/>
    </xf>
    <xf numFmtId="4" fontId="33" fillId="30" borderId="9" applyNumberFormat="0" applyProtection="0">
      <alignment horizontal="right" vertical="center"/>
    </xf>
    <xf numFmtId="4" fontId="33" fillId="31" borderId="9" applyNumberFormat="0" applyProtection="0">
      <alignment horizontal="right" vertical="center"/>
    </xf>
    <xf numFmtId="4" fontId="33" fillId="32" borderId="9" applyNumberFormat="0" applyProtection="0">
      <alignment horizontal="right" vertical="center"/>
    </xf>
    <xf numFmtId="4" fontId="33" fillId="33" borderId="9" applyNumberFormat="0" applyProtection="0">
      <alignment horizontal="right" vertical="center"/>
    </xf>
    <xf numFmtId="4" fontId="33" fillId="34" borderId="9" applyNumberFormat="0" applyProtection="0">
      <alignment horizontal="right" vertical="center"/>
    </xf>
    <xf numFmtId="4" fontId="33" fillId="35" borderId="9" applyNumberFormat="0" applyProtection="0">
      <alignment horizontal="right" vertical="center"/>
    </xf>
    <xf numFmtId="4" fontId="31" fillId="36" borderId="10" applyNumberFormat="0" applyProtection="0">
      <alignment horizontal="left" vertical="center" indent="1"/>
    </xf>
    <xf numFmtId="4" fontId="31" fillId="37" borderId="0" applyNumberFormat="0" applyProtection="0">
      <alignment horizontal="left" vertical="center" indent="1"/>
    </xf>
    <xf numFmtId="4" fontId="31" fillId="38" borderId="0" applyNumberFormat="0" applyProtection="0">
      <alignment horizontal="left" vertical="center" indent="1"/>
    </xf>
    <xf numFmtId="4" fontId="33" fillId="37" borderId="9" applyNumberFormat="0" applyProtection="0">
      <alignment horizontal="right" vertical="center"/>
    </xf>
    <xf numFmtId="4" fontId="36" fillId="37" borderId="0" applyNumberFormat="0" applyProtection="0">
      <alignment horizontal="left" vertical="center" indent="1"/>
    </xf>
    <xf numFmtId="4" fontId="34" fillId="38" borderId="0" applyNumberFormat="0" applyProtection="0">
      <alignment horizontal="left" vertical="center" indent="1"/>
    </xf>
    <xf numFmtId="0" fontId="6" fillId="38" borderId="9" applyNumberFormat="0" applyProtection="0">
      <alignment horizontal="left" vertical="center" indent="1"/>
    </xf>
    <xf numFmtId="0" fontId="6" fillId="38" borderId="9" applyNumberFormat="0" applyProtection="0">
      <alignment horizontal="left" vertical="top" indent="1"/>
    </xf>
    <xf numFmtId="0" fontId="6" fillId="39" borderId="9" applyNumberFormat="0" applyProtection="0">
      <alignment horizontal="left" vertical="center" indent="1"/>
    </xf>
    <xf numFmtId="0" fontId="6" fillId="39" borderId="9" applyNumberFormat="0" applyProtection="0">
      <alignment horizontal="left" vertical="top" indent="1"/>
    </xf>
    <xf numFmtId="0" fontId="6" fillId="37" borderId="9" applyNumberFormat="0" applyProtection="0">
      <alignment horizontal="left" vertical="center" indent="1"/>
    </xf>
    <xf numFmtId="0" fontId="6" fillId="37" borderId="9" applyNumberFormat="0" applyProtection="0">
      <alignment horizontal="left" vertical="top" indent="1"/>
    </xf>
    <xf numFmtId="0" fontId="6" fillId="40" borderId="9" applyNumberFormat="0" applyProtection="0">
      <alignment horizontal="left" vertical="center" indent="1"/>
    </xf>
    <xf numFmtId="0" fontId="6" fillId="40" borderId="9" applyNumberFormat="0" applyProtection="0">
      <alignment horizontal="left" vertical="top" indent="1"/>
    </xf>
    <xf numFmtId="4" fontId="33" fillId="40" borderId="9" applyNumberFormat="0" applyProtection="0">
      <alignment vertical="center"/>
    </xf>
    <xf numFmtId="4" fontId="37" fillId="40" borderId="9" applyNumberFormat="0" applyProtection="0">
      <alignment vertical="center"/>
    </xf>
    <xf numFmtId="4" fontId="31" fillId="37" borderId="11" applyNumberFormat="0" applyProtection="0">
      <alignment horizontal="left" vertical="center" indent="1"/>
    </xf>
    <xf numFmtId="0" fontId="38" fillId="41" borderId="9" applyNumberFormat="0" applyProtection="0">
      <alignment horizontal="left" vertical="top" indent="1"/>
    </xf>
    <xf numFmtId="4" fontId="33" fillId="40" borderId="9" applyNumberFormat="0" applyProtection="0">
      <alignment horizontal="right" vertical="center"/>
    </xf>
    <xf numFmtId="4" fontId="37" fillId="40" borderId="9" applyNumberFormat="0" applyProtection="0">
      <alignment horizontal="right" vertical="center"/>
    </xf>
    <xf numFmtId="4" fontId="31" fillId="42" borderId="9" applyNumberFormat="0" applyProtection="0">
      <alignment horizontal="left" vertical="center" indent="1"/>
    </xf>
    <xf numFmtId="0" fontId="34" fillId="39" borderId="9" applyNumberFormat="0" applyProtection="0">
      <alignment horizontal="left" vertical="top" indent="1"/>
    </xf>
    <xf numFmtId="4" fontId="39" fillId="12" borderId="11" applyNumberFormat="0" applyProtection="0">
      <alignment horizontal="left" vertical="center" indent="1"/>
    </xf>
    <xf numFmtId="4" fontId="40" fillId="40" borderId="9" applyNumberFormat="0" applyProtection="0">
      <alignment horizontal="right" vertical="center"/>
    </xf>
    <xf numFmtId="0" fontId="41" fillId="0" borderId="0" applyNumberFormat="0" applyBorder="0">
      <alignment horizontal="centerContinuous"/>
    </xf>
    <xf numFmtId="0" fontId="42" fillId="0" borderId="0" applyNumberFormat="0" applyFill="0" applyBorder="0" applyAlignment="0" applyProtection="0"/>
    <xf numFmtId="0" fontId="43" fillId="0" borderId="0" applyNumberFormat="0" applyFill="0" applyBorder="0" applyAlignment="0" applyProtection="0"/>
    <xf numFmtId="0" fontId="44" fillId="0" borderId="0"/>
    <xf numFmtId="0" fontId="45" fillId="0" borderId="0" applyNumberFormat="0" applyFill="0" applyBorder="0" applyAlignment="0" applyProtection="0"/>
    <xf numFmtId="0" fontId="46" fillId="0" borderId="12" applyNumberFormat="0" applyFill="0" applyAlignment="0" applyProtection="0"/>
    <xf numFmtId="0" fontId="47" fillId="0" borderId="13" applyNumberFormat="0" applyFill="0" applyAlignment="0" applyProtection="0"/>
    <xf numFmtId="0" fontId="19" fillId="0" borderId="14" applyNumberFormat="0" applyFill="0" applyAlignment="0" applyProtection="0"/>
    <xf numFmtId="0" fontId="16" fillId="0" borderId="15" applyNumberFormat="0" applyFill="0" applyAlignment="0" applyProtection="0"/>
    <xf numFmtId="185" fontId="27" fillId="0" borderId="0"/>
    <xf numFmtId="186" fontId="6" fillId="0" borderId="0">
      <alignment horizontal="right"/>
    </xf>
    <xf numFmtId="187" fontId="48" fillId="0" borderId="0">
      <alignment horizontal="center"/>
    </xf>
    <xf numFmtId="5" fontId="22" fillId="0" borderId="0" applyFill="0" applyBorder="0" applyAlignment="0" applyProtection="0"/>
    <xf numFmtId="0" fontId="36" fillId="41" borderId="9" applyNumberFormat="0" applyProtection="0">
      <alignment horizontal="left" vertical="top" indent="1"/>
    </xf>
    <xf numFmtId="0" fontId="6" fillId="0" borderId="0"/>
    <xf numFmtId="0" fontId="2" fillId="0" borderId="0"/>
  </cellStyleXfs>
  <cellXfs count="231">
    <xf numFmtId="0" fontId="0" fillId="0" borderId="0" xfId="0"/>
    <xf numFmtId="0" fontId="0" fillId="0" borderId="0" xfId="0" applyProtection="1">
      <protection locked="0"/>
    </xf>
    <xf numFmtId="0" fontId="0" fillId="0" borderId="0" xfId="0" applyAlignment="1">
      <alignment horizontal="left" vertical="center" wrapText="1"/>
    </xf>
    <xf numFmtId="0" fontId="49" fillId="0" borderId="0" xfId="0" applyFont="1"/>
    <xf numFmtId="0" fontId="49" fillId="0" borderId="0" xfId="0" applyFont="1" applyAlignment="1">
      <alignment horizontal="left" vertical="center" wrapText="1"/>
    </xf>
    <xf numFmtId="0" fontId="49" fillId="43" borderId="0" xfId="0" applyFont="1" applyFill="1"/>
    <xf numFmtId="0" fontId="6" fillId="0" borderId="0" xfId="0" applyFont="1"/>
    <xf numFmtId="0" fontId="50" fillId="0" borderId="0" xfId="0" applyFont="1"/>
    <xf numFmtId="0" fontId="55" fillId="44" borderId="0" xfId="0" applyFont="1" applyFill="1" applyAlignment="1">
      <alignment horizontal="left" vertical="center" wrapText="1"/>
    </xf>
    <xf numFmtId="9" fontId="56" fillId="0" borderId="0" xfId="0" applyNumberFormat="1" applyFont="1" applyAlignment="1" applyProtection="1">
      <alignment horizontal="center" vertical="center"/>
      <protection locked="0"/>
    </xf>
    <xf numFmtId="0" fontId="54" fillId="0" borderId="0" xfId="0" applyFont="1" applyAlignment="1">
      <alignment horizontal="center" vertical="center"/>
    </xf>
    <xf numFmtId="9" fontId="57" fillId="0" borderId="0" xfId="0" applyNumberFormat="1" applyFont="1" applyAlignment="1">
      <alignment horizontal="center"/>
    </xf>
    <xf numFmtId="0" fontId="53" fillId="0" borderId="0" xfId="0" applyFont="1" applyAlignment="1">
      <alignment vertical="center"/>
    </xf>
    <xf numFmtId="0" fontId="53" fillId="0" borderId="0" xfId="0" applyFont="1" applyAlignment="1">
      <alignment horizontal="left" vertical="center"/>
    </xf>
    <xf numFmtId="0" fontId="58" fillId="0" borderId="0" xfId="0" applyFont="1" applyAlignment="1">
      <alignment horizontal="center" vertical="center"/>
    </xf>
    <xf numFmtId="0" fontId="50" fillId="0" borderId="0" xfId="0" applyFont="1" applyAlignment="1">
      <alignment horizontal="left"/>
    </xf>
    <xf numFmtId="0" fontId="0" fillId="0" borderId="0" xfId="0" applyAlignment="1">
      <alignment horizontal="left"/>
    </xf>
    <xf numFmtId="0" fontId="3" fillId="43" borderId="0" xfId="0" applyFont="1" applyFill="1"/>
    <xf numFmtId="0" fontId="3" fillId="43" borderId="0" xfId="0" applyFont="1" applyFill="1" applyAlignment="1">
      <alignment horizontal="left" vertical="center" wrapText="1"/>
    </xf>
    <xf numFmtId="0" fontId="63" fillId="0" borderId="0" xfId="0" applyFont="1"/>
    <xf numFmtId="9" fontId="63" fillId="0" borderId="0" xfId="0" applyNumberFormat="1" applyFont="1"/>
    <xf numFmtId="0" fontId="63" fillId="0" borderId="0" xfId="0" applyFont="1" applyAlignment="1">
      <alignment horizontal="left" indent="1"/>
    </xf>
    <xf numFmtId="0" fontId="64" fillId="0" borderId="0" xfId="0" applyFont="1"/>
    <xf numFmtId="0" fontId="0" fillId="0" borderId="0" xfId="0" applyAlignment="1">
      <alignment horizontal="center" vertical="center" wrapText="1"/>
    </xf>
    <xf numFmtId="0" fontId="50" fillId="0" borderId="0" xfId="0" applyFont="1" applyAlignment="1">
      <alignment horizontal="center" vertical="center" wrapText="1"/>
    </xf>
    <xf numFmtId="0" fontId="6" fillId="0" borderId="0" xfId="0" applyFont="1" applyAlignment="1">
      <alignment horizontal="center" vertical="center" wrapText="1"/>
    </xf>
    <xf numFmtId="9" fontId="66" fillId="0" borderId="0" xfId="0" applyNumberFormat="1" applyFont="1" applyAlignment="1">
      <alignment horizontal="center"/>
    </xf>
    <xf numFmtId="9" fontId="66" fillId="0" borderId="0" xfId="0" applyNumberFormat="1" applyFont="1" applyAlignment="1">
      <alignment horizontal="center" vertical="center"/>
    </xf>
    <xf numFmtId="9" fontId="67" fillId="0" borderId="0" xfId="0" applyNumberFormat="1" applyFont="1" applyAlignment="1">
      <alignment horizontal="center"/>
    </xf>
    <xf numFmtId="0" fontId="0" fillId="43" borderId="0" xfId="0" applyFill="1" applyProtection="1">
      <protection locked="0"/>
    </xf>
    <xf numFmtId="0" fontId="68" fillId="0" borderId="0" xfId="0" applyFont="1" applyProtection="1">
      <protection locked="0"/>
    </xf>
    <xf numFmtId="188" fontId="68" fillId="0" borderId="0" xfId="0" applyNumberFormat="1" applyFont="1" applyProtection="1">
      <protection hidden="1"/>
    </xf>
    <xf numFmtId="0" fontId="54" fillId="0" borderId="17" xfId="0" applyFont="1" applyBorder="1" applyAlignment="1">
      <alignment horizontal="center" vertical="center"/>
    </xf>
    <xf numFmtId="0" fontId="55" fillId="0" borderId="17" xfId="0" applyFont="1" applyBorder="1" applyAlignment="1">
      <alignment horizontal="justify" vertical="center" wrapText="1"/>
    </xf>
    <xf numFmtId="9" fontId="56" fillId="0" borderId="17" xfId="0" applyNumberFormat="1" applyFont="1" applyBorder="1" applyAlignment="1" applyProtection="1">
      <alignment horizontal="center" vertical="center"/>
      <protection locked="0"/>
    </xf>
    <xf numFmtId="0" fontId="55" fillId="0" borderId="0" xfId="0" applyFont="1" applyAlignment="1">
      <alignment horizontal="justify" vertical="center" wrapText="1"/>
    </xf>
    <xf numFmtId="0" fontId="72" fillId="0" borderId="30" xfId="0" applyFont="1" applyBorder="1" applyAlignment="1">
      <alignment horizontal="center" vertical="center"/>
    </xf>
    <xf numFmtId="0" fontId="65" fillId="0" borderId="30" xfId="0" applyFont="1" applyBorder="1" applyAlignment="1">
      <alignment horizontal="justify" vertical="center" wrapText="1"/>
    </xf>
    <xf numFmtId="0" fontId="72" fillId="48" borderId="30" xfId="0" applyFont="1" applyFill="1" applyBorder="1" applyAlignment="1">
      <alignment horizontal="center" vertical="center"/>
    </xf>
    <xf numFmtId="0" fontId="65" fillId="48" borderId="30" xfId="0" applyFont="1" applyFill="1" applyBorder="1" applyAlignment="1">
      <alignment horizontal="justify" vertical="center" wrapText="1"/>
    </xf>
    <xf numFmtId="0" fontId="65" fillId="44" borderId="30" xfId="0" applyFont="1" applyFill="1" applyBorder="1" applyAlignment="1">
      <alignment horizontal="justify" vertical="center" wrapText="1"/>
    </xf>
    <xf numFmtId="0" fontId="59" fillId="43" borderId="35" xfId="0" applyFont="1" applyFill="1" applyBorder="1" applyAlignment="1" applyProtection="1">
      <alignment horizontal="center" vertical="center"/>
      <protection locked="0"/>
    </xf>
    <xf numFmtId="0" fontId="59" fillId="43" borderId="30" xfId="0" applyFont="1" applyFill="1" applyBorder="1" applyAlignment="1" applyProtection="1">
      <alignment horizontal="center" vertical="center"/>
      <protection locked="0"/>
    </xf>
    <xf numFmtId="0" fontId="59" fillId="43" borderId="31" xfId="0" applyFont="1" applyFill="1" applyBorder="1" applyAlignment="1" applyProtection="1">
      <alignment horizontal="center" vertical="center"/>
      <protection locked="0"/>
    </xf>
    <xf numFmtId="0" fontId="70" fillId="46" borderId="32" xfId="0" applyFont="1" applyFill="1" applyBorder="1" applyAlignment="1" applyProtection="1">
      <alignment horizontal="center" vertical="center" wrapText="1"/>
      <protection locked="0"/>
    </xf>
    <xf numFmtId="0" fontId="70" fillId="46" borderId="33" xfId="0" applyFont="1" applyFill="1" applyBorder="1" applyAlignment="1" applyProtection="1">
      <alignment horizontal="center" vertical="center"/>
      <protection locked="0"/>
    </xf>
    <xf numFmtId="0" fontId="70" fillId="46" borderId="33" xfId="0" applyFont="1" applyFill="1" applyBorder="1" applyAlignment="1" applyProtection="1">
      <alignment horizontal="center" vertical="center" wrapText="1"/>
      <protection locked="0"/>
    </xf>
    <xf numFmtId="0" fontId="70" fillId="46" borderId="34" xfId="0" applyFont="1" applyFill="1" applyBorder="1" applyAlignment="1" applyProtection="1">
      <alignment horizontal="center" vertical="center" wrapText="1"/>
      <protection locked="0"/>
    </xf>
    <xf numFmtId="0" fontId="60" fillId="46" borderId="36" xfId="0" applyFont="1" applyFill="1" applyBorder="1" applyAlignment="1" applyProtection="1">
      <alignment horizontal="center" vertical="center"/>
      <protection locked="0"/>
    </xf>
    <xf numFmtId="0" fontId="60" fillId="46" borderId="37" xfId="0" applyFont="1" applyFill="1" applyBorder="1" applyAlignment="1" applyProtection="1">
      <alignment horizontal="center" vertical="center"/>
      <protection locked="0"/>
    </xf>
    <xf numFmtId="0" fontId="60" fillId="46" borderId="37" xfId="0" applyFont="1" applyFill="1" applyBorder="1" applyAlignment="1" applyProtection="1">
      <alignment horizontal="center" vertical="center" wrapText="1"/>
      <protection locked="0"/>
    </xf>
    <xf numFmtId="0" fontId="60" fillId="46" borderId="38" xfId="0" applyFont="1" applyFill="1" applyBorder="1" applyAlignment="1" applyProtection="1">
      <alignment horizontal="center" vertical="center" wrapText="1"/>
      <protection locked="0"/>
    </xf>
    <xf numFmtId="14" fontId="59" fillId="43" borderId="30" xfId="0" applyNumberFormat="1" applyFont="1" applyFill="1" applyBorder="1" applyAlignment="1" applyProtection="1">
      <alignment horizontal="center" vertical="center"/>
      <protection locked="0"/>
    </xf>
    <xf numFmtId="0" fontId="70" fillId="46" borderId="32" xfId="0" applyFont="1" applyFill="1" applyBorder="1" applyAlignment="1" applyProtection="1">
      <alignment horizontal="center" vertical="center"/>
      <protection locked="0"/>
    </xf>
    <xf numFmtId="0" fontId="59" fillId="48" borderId="35" xfId="0" applyFont="1" applyFill="1" applyBorder="1" applyAlignment="1" applyProtection="1">
      <alignment horizontal="center" vertical="center"/>
      <protection locked="0"/>
    </xf>
    <xf numFmtId="0" fontId="59" fillId="48" borderId="30" xfId="0" applyFont="1" applyFill="1" applyBorder="1" applyAlignment="1" applyProtection="1">
      <alignment horizontal="center" vertical="center"/>
      <protection locked="0"/>
    </xf>
    <xf numFmtId="0" fontId="59" fillId="48" borderId="31" xfId="0" applyFont="1" applyFill="1" applyBorder="1" applyAlignment="1" applyProtection="1">
      <alignment horizontal="center" vertical="center"/>
      <protection locked="0"/>
    </xf>
    <xf numFmtId="14" fontId="59" fillId="48" borderId="30" xfId="0" applyNumberFormat="1" applyFont="1" applyFill="1" applyBorder="1" applyAlignment="1" applyProtection="1">
      <alignment horizontal="center" vertical="center"/>
      <protection locked="0"/>
    </xf>
    <xf numFmtId="0" fontId="6" fillId="0" borderId="0" xfId="75"/>
    <xf numFmtId="0" fontId="53" fillId="0" borderId="0" xfId="75" applyFont="1" applyAlignment="1">
      <alignment vertical="center"/>
    </xf>
    <xf numFmtId="0" fontId="69" fillId="0" borderId="0" xfId="75" applyFont="1"/>
    <xf numFmtId="0" fontId="68" fillId="0" borderId="0" xfId="75" applyFont="1" applyProtection="1">
      <protection hidden="1"/>
    </xf>
    <xf numFmtId="0" fontId="68" fillId="0" borderId="0" xfId="75" applyFont="1" applyAlignment="1" applyProtection="1">
      <alignment horizontal="center"/>
      <protection hidden="1"/>
    </xf>
    <xf numFmtId="9" fontId="68" fillId="0" borderId="0" xfId="75" applyNumberFormat="1" applyFont="1" applyAlignment="1" applyProtection="1">
      <alignment horizontal="center"/>
      <protection hidden="1"/>
    </xf>
    <xf numFmtId="9" fontId="62" fillId="0" borderId="0" xfId="75" applyNumberFormat="1" applyFont="1" applyAlignment="1">
      <alignment horizontal="center" vertical="center"/>
    </xf>
    <xf numFmtId="0" fontId="6" fillId="0" borderId="0" xfId="75" applyAlignment="1">
      <alignment horizontal="center" vertical="center"/>
    </xf>
    <xf numFmtId="2" fontId="6" fillId="0" borderId="0" xfId="75" applyNumberFormat="1" applyAlignment="1">
      <alignment horizontal="left" vertical="top"/>
    </xf>
    <xf numFmtId="9" fontId="62" fillId="0" borderId="30" xfId="79" applyFont="1" applyBorder="1" applyAlignment="1" applyProtection="1">
      <alignment horizontal="center" vertical="center"/>
      <protection locked="0"/>
    </xf>
    <xf numFmtId="0" fontId="51" fillId="46" borderId="30" xfId="75" applyFont="1" applyFill="1" applyBorder="1" applyAlignment="1">
      <alignment horizontal="center" vertical="center" wrapText="1"/>
    </xf>
    <xf numFmtId="0" fontId="3" fillId="46" borderId="30" xfId="75" applyFont="1" applyFill="1" applyBorder="1" applyAlignment="1">
      <alignment horizontal="center" vertical="center"/>
    </xf>
    <xf numFmtId="9" fontId="70" fillId="48" borderId="30" xfId="79" applyFont="1" applyFill="1" applyBorder="1" applyAlignment="1" applyProtection="1">
      <alignment horizontal="center" vertical="center"/>
      <protection hidden="1"/>
    </xf>
    <xf numFmtId="0" fontId="52" fillId="47" borderId="30" xfId="75" applyFont="1" applyFill="1" applyBorder="1" applyAlignment="1">
      <alignment horizontal="center" vertical="center"/>
    </xf>
    <xf numFmtId="9" fontId="62" fillId="48" borderId="30" xfId="79" applyFont="1" applyFill="1" applyBorder="1" applyAlignment="1" applyProtection="1">
      <alignment horizontal="center" vertical="center"/>
      <protection locked="0"/>
    </xf>
    <xf numFmtId="0" fontId="50" fillId="0" borderId="0" xfId="0" applyFont="1" applyProtection="1">
      <protection locked="0"/>
    </xf>
    <xf numFmtId="0" fontId="68" fillId="0" borderId="0" xfId="0" applyFont="1" applyProtection="1">
      <protection hidden="1"/>
    </xf>
    <xf numFmtId="0" fontId="65" fillId="48" borderId="30" xfId="0" applyFont="1" applyFill="1" applyBorder="1" applyAlignment="1" applyProtection="1">
      <alignment horizontal="justify" vertical="center" wrapText="1"/>
      <protection hidden="1"/>
    </xf>
    <xf numFmtId="0" fontId="65" fillId="0" borderId="30" xfId="0" applyFont="1" applyBorder="1" applyAlignment="1" applyProtection="1">
      <alignment horizontal="justify" vertical="center" wrapText="1"/>
      <protection hidden="1"/>
    </xf>
    <xf numFmtId="0" fontId="76" fillId="43" borderId="0" xfId="0" applyFont="1" applyFill="1" applyAlignment="1" applyProtection="1">
      <alignment horizontal="left" vertical="top" wrapText="1"/>
      <protection locked="0"/>
    </xf>
    <xf numFmtId="0" fontId="77" fillId="43" borderId="0" xfId="0" applyFont="1" applyFill="1" applyAlignment="1" applyProtection="1">
      <alignment horizontal="center" vertical="center"/>
      <protection locked="0"/>
    </xf>
    <xf numFmtId="0" fontId="76" fillId="43" borderId="0" xfId="0" applyFont="1" applyFill="1" applyProtection="1">
      <protection locked="0"/>
    </xf>
    <xf numFmtId="0" fontId="79" fillId="43" borderId="0" xfId="0" applyFont="1" applyFill="1" applyAlignment="1" applyProtection="1">
      <alignment vertical="center"/>
      <protection locked="0"/>
    </xf>
    <xf numFmtId="0" fontId="78" fillId="43" borderId="0" xfId="0" applyFont="1" applyFill="1" applyAlignment="1" applyProtection="1">
      <alignment horizontal="left" vertical="center"/>
      <protection locked="0"/>
    </xf>
    <xf numFmtId="0" fontId="81" fillId="43" borderId="0" xfId="0" applyFont="1" applyFill="1" applyAlignment="1" applyProtection="1">
      <alignment horizontal="center" vertical="center" wrapText="1"/>
      <protection locked="0"/>
    </xf>
    <xf numFmtId="0" fontId="81" fillId="0" borderId="0" xfId="0" applyFont="1" applyAlignment="1" applyProtection="1">
      <alignment horizontal="center" vertical="center" wrapText="1"/>
      <protection locked="0"/>
    </xf>
    <xf numFmtId="0" fontId="76" fillId="0" borderId="0" xfId="0" applyFont="1" applyProtection="1">
      <protection locked="0"/>
    </xf>
    <xf numFmtId="0" fontId="76" fillId="0" borderId="30" xfId="0" applyFont="1" applyBorder="1" applyAlignment="1" applyProtection="1">
      <alignment horizontal="left" vertical="center"/>
      <protection locked="0"/>
    </xf>
    <xf numFmtId="0" fontId="76" fillId="0" borderId="30" xfId="0" applyFont="1" applyBorder="1" applyAlignment="1" applyProtection="1">
      <alignment horizontal="center" vertical="center"/>
      <protection hidden="1"/>
    </xf>
    <xf numFmtId="0" fontId="76" fillId="43" borderId="0" xfId="0" applyFont="1" applyFill="1" applyAlignment="1" applyProtection="1">
      <alignment horizontal="left" vertical="center"/>
      <protection locked="0"/>
    </xf>
    <xf numFmtId="0" fontId="76" fillId="43" borderId="0" xfId="0" applyFont="1" applyFill="1" applyAlignment="1" applyProtection="1">
      <alignment horizontal="center" vertical="center"/>
      <protection locked="0"/>
    </xf>
    <xf numFmtId="0" fontId="84" fillId="43" borderId="0" xfId="0" applyFont="1" applyFill="1" applyAlignment="1" applyProtection="1">
      <alignment horizontal="center" vertical="center" wrapText="1"/>
      <protection locked="0"/>
    </xf>
    <xf numFmtId="0" fontId="76" fillId="0" borderId="31" xfId="0" applyFont="1" applyBorder="1" applyAlignment="1" applyProtection="1">
      <alignment horizontal="left" vertical="center"/>
      <protection locked="0"/>
    </xf>
    <xf numFmtId="188" fontId="85" fillId="43" borderId="0" xfId="0" applyNumberFormat="1" applyFont="1" applyFill="1" applyAlignment="1" applyProtection="1">
      <alignment horizontal="center" vertical="center" wrapText="1"/>
      <protection hidden="1"/>
    </xf>
    <xf numFmtId="188" fontId="83" fillId="0" borderId="30" xfId="0" applyNumberFormat="1" applyFont="1" applyBorder="1" applyAlignment="1" applyProtection="1">
      <alignment horizontal="center" vertical="center"/>
      <protection hidden="1"/>
    </xf>
    <xf numFmtId="0" fontId="86" fillId="43" borderId="0" xfId="0" applyFont="1" applyFill="1" applyAlignment="1" applyProtection="1">
      <alignment vertical="center"/>
      <protection locked="0"/>
    </xf>
    <xf numFmtId="0" fontId="88" fillId="43" borderId="0" xfId="0" applyFont="1" applyFill="1" applyProtection="1">
      <protection locked="0"/>
    </xf>
    <xf numFmtId="0" fontId="87" fillId="43" borderId="0" xfId="0" applyFont="1" applyFill="1" applyAlignment="1" applyProtection="1">
      <alignment horizontal="left" vertical="center" wrapText="1"/>
      <protection locked="0"/>
    </xf>
    <xf numFmtId="0" fontId="89" fillId="43" borderId="0" xfId="0" applyFont="1" applyFill="1" applyAlignment="1" applyProtection="1">
      <alignment horizontal="justify" vertical="center" wrapText="1"/>
      <protection locked="0"/>
    </xf>
    <xf numFmtId="0" fontId="78" fillId="43" borderId="0" xfId="0" applyFont="1" applyFill="1" applyProtection="1">
      <protection locked="0"/>
    </xf>
    <xf numFmtId="0" fontId="78" fillId="0" borderId="0" xfId="0" applyFont="1" applyProtection="1">
      <protection locked="0"/>
    </xf>
    <xf numFmtId="0" fontId="93" fillId="0" borderId="0" xfId="0" applyFont="1" applyAlignment="1" applyProtection="1">
      <alignment horizontal="left"/>
      <protection locked="0"/>
    </xf>
    <xf numFmtId="0" fontId="76" fillId="0" borderId="0" xfId="0" quotePrefix="1" applyFont="1" applyProtection="1">
      <protection locked="0"/>
    </xf>
    <xf numFmtId="49" fontId="76" fillId="0" borderId="0" xfId="0" applyNumberFormat="1" applyFont="1" applyAlignment="1" applyProtection="1">
      <alignment horizontal="left"/>
      <protection locked="0"/>
    </xf>
    <xf numFmtId="0" fontId="76" fillId="0" borderId="0" xfId="0" applyFont="1" applyAlignment="1" applyProtection="1">
      <alignment horizontal="center"/>
      <protection locked="0"/>
    </xf>
    <xf numFmtId="0" fontId="76" fillId="0" borderId="0" xfId="0" applyFont="1" applyAlignment="1" applyProtection="1">
      <alignment horizontal="center" vertical="center" wrapText="1"/>
      <protection locked="0"/>
    </xf>
    <xf numFmtId="0" fontId="76" fillId="0" borderId="0" xfId="0" applyFont="1" applyAlignment="1" applyProtection="1">
      <alignment vertical="center" wrapText="1"/>
      <protection locked="0"/>
    </xf>
    <xf numFmtId="0" fontId="76" fillId="0" borderId="0" xfId="0" applyFont="1" applyAlignment="1" applyProtection="1">
      <alignment horizontal="center" wrapText="1"/>
      <protection locked="0"/>
    </xf>
    <xf numFmtId="0" fontId="76" fillId="0" borderId="0" xfId="0" applyFont="1" applyAlignment="1" applyProtection="1">
      <alignment wrapText="1"/>
      <protection locked="0"/>
    </xf>
    <xf numFmtId="0" fontId="83" fillId="43" borderId="0" xfId="0" applyFont="1" applyFill="1" applyAlignment="1" applyProtection="1">
      <alignment horizontal="left" wrapText="1"/>
      <protection locked="0"/>
    </xf>
    <xf numFmtId="0" fontId="68" fillId="51" borderId="0" xfId="0" applyFont="1" applyFill="1" applyProtection="1">
      <protection locked="0"/>
    </xf>
    <xf numFmtId="0" fontId="99" fillId="51" borderId="0" xfId="0" applyFont="1" applyFill="1" applyProtection="1">
      <protection hidden="1"/>
    </xf>
    <xf numFmtId="0" fontId="100" fillId="51" borderId="0" xfId="0" applyFont="1" applyFill="1" applyProtection="1">
      <protection hidden="1"/>
    </xf>
    <xf numFmtId="0" fontId="68" fillId="51" borderId="0" xfId="0" applyFont="1" applyFill="1" applyAlignment="1" applyProtection="1">
      <alignment horizontal="left" vertical="center"/>
      <protection locked="0"/>
    </xf>
    <xf numFmtId="0" fontId="101" fillId="51" borderId="0" xfId="0" applyFont="1" applyFill="1" applyAlignment="1" applyProtection="1">
      <alignment wrapText="1"/>
      <protection hidden="1"/>
    </xf>
    <xf numFmtId="0" fontId="101" fillId="51" borderId="0" xfId="0" applyFont="1" applyFill="1" applyAlignment="1" applyProtection="1">
      <alignment horizontal="left" vertical="center" wrapText="1"/>
      <protection hidden="1"/>
    </xf>
    <xf numFmtId="0" fontId="103" fillId="0" borderId="0" xfId="136" applyFont="1"/>
    <xf numFmtId="0" fontId="105" fillId="0" borderId="4" xfId="135" applyFont="1" applyBorder="1" applyAlignment="1" applyProtection="1">
      <alignment horizontal="center" vertical="center"/>
      <protection locked="0"/>
    </xf>
    <xf numFmtId="0" fontId="1" fillId="0" borderId="4" xfId="136" applyFont="1" applyBorder="1" applyAlignment="1">
      <alignment vertical="center" wrapText="1"/>
    </xf>
    <xf numFmtId="14" fontId="1" fillId="0" borderId="4" xfId="136" applyNumberFormat="1" applyFont="1" applyBorder="1" applyAlignment="1">
      <alignment horizontal="center" vertical="center"/>
    </xf>
    <xf numFmtId="0" fontId="1" fillId="0" borderId="4" xfId="136" applyFont="1" applyBorder="1" applyAlignment="1">
      <alignment horizontal="left" vertical="center" wrapText="1"/>
    </xf>
    <xf numFmtId="0" fontId="105" fillId="43" borderId="4" xfId="136" applyFont="1" applyFill="1" applyBorder="1" applyAlignment="1">
      <alignment horizontal="justify" vertical="center" wrapText="1"/>
    </xf>
    <xf numFmtId="0" fontId="107" fillId="53" borderId="40" xfId="136" applyFont="1" applyFill="1" applyBorder="1" applyAlignment="1" applyProtection="1">
      <alignment horizontal="center" vertical="center" wrapText="1"/>
      <protection locked="0"/>
    </xf>
    <xf numFmtId="0" fontId="109" fillId="53" borderId="45" xfId="136" applyFont="1" applyFill="1" applyBorder="1" applyAlignment="1" applyProtection="1">
      <alignment horizontal="center" vertical="center" wrapText="1"/>
      <protection locked="0"/>
    </xf>
    <xf numFmtId="0" fontId="108" fillId="54" borderId="4" xfId="136" applyFont="1" applyFill="1" applyBorder="1" applyAlignment="1">
      <alignment horizontal="center"/>
    </xf>
    <xf numFmtId="0" fontId="108" fillId="54" borderId="4" xfId="136" applyFont="1" applyFill="1" applyBorder="1" applyAlignment="1">
      <alignment horizontal="center" wrapText="1"/>
    </xf>
    <xf numFmtId="0" fontId="97" fillId="46" borderId="30" xfId="0" applyFont="1" applyFill="1" applyBorder="1" applyAlignment="1" applyProtection="1">
      <alignment horizontal="center" vertical="center"/>
      <protection locked="0"/>
    </xf>
    <xf numFmtId="188" fontId="80" fillId="0" borderId="30" xfId="0" applyNumberFormat="1" applyFont="1" applyBorder="1" applyAlignment="1" applyProtection="1">
      <alignment horizontal="center" vertical="center"/>
      <protection hidden="1"/>
    </xf>
    <xf numFmtId="0" fontId="78" fillId="0" borderId="30" xfId="0" applyFont="1" applyBorder="1" applyAlignment="1" applyProtection="1">
      <alignment horizontal="left" vertical="center"/>
      <protection locked="0"/>
    </xf>
    <xf numFmtId="0" fontId="96" fillId="0" borderId="30" xfId="0" applyFont="1" applyBorder="1" applyAlignment="1" applyProtection="1">
      <alignment horizontal="center" vertical="center" wrapText="1"/>
      <protection locked="0"/>
    </xf>
    <xf numFmtId="0" fontId="95" fillId="46" borderId="30" xfId="0" applyFont="1" applyFill="1" applyBorder="1" applyAlignment="1" applyProtection="1">
      <alignment vertical="center"/>
      <protection locked="0"/>
    </xf>
    <xf numFmtId="0" fontId="78" fillId="48" borderId="30" xfId="0" applyFont="1" applyFill="1" applyBorder="1" applyAlignment="1" applyProtection="1">
      <alignment horizontal="justify" vertical="center" wrapText="1"/>
      <protection locked="0"/>
    </xf>
    <xf numFmtId="188" fontId="80" fillId="0" borderId="30" xfId="0" applyNumberFormat="1" applyFont="1" applyBorder="1" applyAlignment="1" applyProtection="1">
      <alignment horizontal="center" vertical="center" wrapText="1"/>
      <protection hidden="1"/>
    </xf>
    <xf numFmtId="14" fontId="78" fillId="0" borderId="30" xfId="0" applyNumberFormat="1" applyFont="1" applyBorder="1" applyAlignment="1" applyProtection="1">
      <alignment horizontal="left" vertical="top"/>
      <protection locked="0"/>
    </xf>
    <xf numFmtId="0" fontId="78" fillId="0" borderId="30" xfId="0" applyFont="1" applyBorder="1" applyAlignment="1" applyProtection="1">
      <alignment horizontal="left" vertical="top"/>
      <protection locked="0"/>
    </xf>
    <xf numFmtId="0" fontId="82" fillId="49" borderId="30" xfId="0" applyFont="1" applyFill="1" applyBorder="1" applyAlignment="1" applyProtection="1">
      <alignment horizontal="center" vertical="center"/>
      <protection locked="0"/>
    </xf>
    <xf numFmtId="0" fontId="83" fillId="0" borderId="0" xfId="0" applyFont="1" applyAlignment="1" applyProtection="1">
      <alignment horizontal="center" vertical="center"/>
      <protection locked="0"/>
    </xf>
    <xf numFmtId="0" fontId="76" fillId="0" borderId="30" xfId="0" applyFont="1" applyBorder="1" applyAlignment="1" applyProtection="1">
      <alignment horizontal="left" vertical="center"/>
      <protection locked="0"/>
    </xf>
    <xf numFmtId="0" fontId="76" fillId="0" borderId="0" xfId="0" applyFont="1" applyAlignment="1" applyProtection="1">
      <alignment horizontal="left" vertical="center"/>
      <protection locked="0"/>
    </xf>
    <xf numFmtId="0" fontId="76" fillId="0" borderId="31" xfId="0" applyFont="1" applyBorder="1" applyAlignment="1" applyProtection="1">
      <alignment horizontal="left" vertical="center"/>
      <protection locked="0"/>
    </xf>
    <xf numFmtId="0" fontId="76" fillId="43" borderId="0" xfId="0" applyFont="1" applyFill="1" applyAlignment="1" applyProtection="1">
      <alignment horizontal="left" vertical="center"/>
      <protection locked="0"/>
    </xf>
    <xf numFmtId="0" fontId="82" fillId="49" borderId="23" xfId="0" applyFont="1" applyFill="1" applyBorder="1" applyAlignment="1" applyProtection="1">
      <alignment horizontal="center" vertical="center"/>
      <protection locked="0"/>
    </xf>
    <xf numFmtId="0" fontId="94" fillId="0" borderId="0" xfId="0" applyFont="1" applyAlignment="1" applyProtection="1">
      <alignment horizontal="left"/>
      <protection locked="0"/>
    </xf>
    <xf numFmtId="0" fontId="78" fillId="0" borderId="30" xfId="0" applyFont="1" applyBorder="1" applyAlignment="1">
      <alignment horizontal="left" vertical="center" wrapText="1" indent="1"/>
    </xf>
    <xf numFmtId="0" fontId="78" fillId="48" borderId="30" xfId="0" applyFont="1" applyFill="1" applyBorder="1" applyAlignment="1">
      <alignment horizontal="left" vertical="center" wrapText="1" indent="1"/>
    </xf>
    <xf numFmtId="9" fontId="92" fillId="45" borderId="30" xfId="0" applyNumberFormat="1" applyFont="1" applyFill="1" applyBorder="1" applyAlignment="1" applyProtection="1">
      <alignment horizontal="center" vertical="center"/>
      <protection hidden="1"/>
    </xf>
    <xf numFmtId="9" fontId="78" fillId="45" borderId="30" xfId="0" applyNumberFormat="1" applyFont="1" applyFill="1" applyBorder="1" applyAlignment="1" applyProtection="1">
      <alignment horizontal="center" vertical="center"/>
      <protection hidden="1"/>
    </xf>
    <xf numFmtId="0" fontId="98" fillId="46" borderId="30" xfId="0" applyFont="1" applyFill="1" applyBorder="1" applyAlignment="1">
      <alignment horizontal="left" vertical="center"/>
    </xf>
    <xf numFmtId="0" fontId="90" fillId="46" borderId="30" xfId="0" applyFont="1" applyFill="1" applyBorder="1" applyAlignment="1">
      <alignment horizontal="left" vertical="center" wrapText="1"/>
    </xf>
    <xf numFmtId="0" fontId="77" fillId="49" borderId="18" xfId="0" applyFont="1" applyFill="1" applyBorder="1" applyAlignment="1" applyProtection="1">
      <alignment vertical="center" wrapText="1"/>
      <protection locked="0"/>
    </xf>
    <xf numFmtId="0" fontId="77" fillId="49" borderId="0" xfId="0" applyFont="1" applyFill="1" applyAlignment="1" applyProtection="1">
      <alignment vertical="center" wrapText="1"/>
      <protection locked="0"/>
    </xf>
    <xf numFmtId="0" fontId="77" fillId="49" borderId="29" xfId="0" applyFont="1" applyFill="1" applyBorder="1" applyAlignment="1" applyProtection="1">
      <alignment vertical="center" wrapText="1"/>
      <protection locked="0"/>
    </xf>
    <xf numFmtId="0" fontId="93" fillId="0" borderId="0" xfId="0" applyFont="1" applyAlignment="1" applyProtection="1">
      <alignment horizontal="left"/>
      <protection locked="0"/>
    </xf>
    <xf numFmtId="9" fontId="92" fillId="48" borderId="30" xfId="0" applyNumberFormat="1" applyFont="1" applyFill="1" applyBorder="1" applyAlignment="1" applyProtection="1">
      <alignment horizontal="center" vertical="center"/>
      <protection hidden="1"/>
    </xf>
    <xf numFmtId="9" fontId="91" fillId="45" borderId="30" xfId="0" applyNumberFormat="1" applyFont="1" applyFill="1" applyBorder="1" applyAlignment="1" applyProtection="1">
      <alignment horizontal="center" vertical="center"/>
      <protection hidden="1"/>
    </xf>
    <xf numFmtId="0" fontId="98" fillId="46" borderId="30" xfId="0" applyFont="1" applyFill="1" applyBorder="1" applyAlignment="1">
      <alignment horizontal="justify" vertical="center" wrapText="1"/>
    </xf>
    <xf numFmtId="0" fontId="77" fillId="49" borderId="30" xfId="0" applyFont="1" applyFill="1" applyBorder="1" applyAlignment="1" applyProtection="1">
      <alignment vertical="center"/>
      <protection locked="0"/>
    </xf>
    <xf numFmtId="0" fontId="87" fillId="0" borderId="0" xfId="0" applyFont="1" applyAlignment="1" applyProtection="1">
      <alignment horizontal="left" vertical="center" wrapText="1"/>
      <protection locked="0"/>
    </xf>
    <xf numFmtId="0" fontId="76" fillId="43" borderId="5" xfId="0" applyFont="1" applyFill="1" applyBorder="1" applyProtection="1">
      <protection locked="0"/>
    </xf>
    <xf numFmtId="0" fontId="87" fillId="43" borderId="0" xfId="0" applyFont="1" applyFill="1" applyAlignment="1" applyProtection="1">
      <alignment horizontal="left" vertical="center" wrapText="1"/>
      <protection locked="0"/>
    </xf>
    <xf numFmtId="0" fontId="79" fillId="46" borderId="21" xfId="0" applyFont="1" applyFill="1" applyBorder="1" applyAlignment="1" applyProtection="1">
      <alignment horizontal="center" vertical="center"/>
      <protection locked="0"/>
    </xf>
    <xf numFmtId="0" fontId="79" fillId="46" borderId="22" xfId="0" applyFont="1" applyFill="1" applyBorder="1" applyAlignment="1" applyProtection="1">
      <alignment horizontal="center" vertical="center"/>
      <protection locked="0"/>
    </xf>
    <xf numFmtId="0" fontId="75" fillId="0" borderId="0" xfId="136" applyFont="1" applyAlignment="1">
      <alignment horizontal="justify" vertical="center" wrapText="1"/>
    </xf>
    <xf numFmtId="0" fontId="103" fillId="0" borderId="0" xfId="136" applyFont="1"/>
    <xf numFmtId="0" fontId="104" fillId="0" borderId="0" xfId="136" applyFont="1" applyAlignment="1">
      <alignment horizontal="justify" vertical="center" wrapText="1"/>
    </xf>
    <xf numFmtId="0" fontId="75" fillId="0" borderId="42" xfId="136" applyFont="1" applyBorder="1" applyAlignment="1">
      <alignment horizontal="justify" vertical="center" wrapText="1"/>
    </xf>
    <xf numFmtId="0" fontId="75" fillId="0" borderId="43" xfId="136" applyFont="1" applyBorder="1" applyAlignment="1">
      <alignment horizontal="justify" vertical="center" wrapText="1"/>
    </xf>
    <xf numFmtId="0" fontId="75" fillId="0" borderId="41" xfId="136" applyFont="1" applyBorder="1" applyAlignment="1">
      <alignment horizontal="justify" vertical="center" wrapText="1"/>
    </xf>
    <xf numFmtId="0" fontId="106" fillId="0" borderId="4" xfId="136" applyFont="1" applyBorder="1" applyAlignment="1">
      <alignment horizontal="justify" vertical="center" wrapText="1"/>
    </xf>
    <xf numFmtId="0" fontId="1" fillId="0" borderId="4" xfId="136" applyFont="1" applyBorder="1" applyAlignment="1">
      <alignment vertical="center" wrapText="1"/>
    </xf>
    <xf numFmtId="0" fontId="105" fillId="0" borderId="41" xfId="136" applyFont="1" applyBorder="1" applyAlignment="1">
      <alignment horizontal="justify" vertical="center" wrapText="1"/>
    </xf>
    <xf numFmtId="0" fontId="1" fillId="43" borderId="4" xfId="136" applyFont="1" applyFill="1" applyBorder="1" applyAlignment="1">
      <alignment vertical="center" wrapText="1"/>
    </xf>
    <xf numFmtId="0" fontId="105" fillId="0" borderId="41" xfId="0" applyFont="1" applyBorder="1" applyAlignment="1">
      <alignment horizontal="justify" vertical="center" wrapText="1"/>
    </xf>
    <xf numFmtId="0" fontId="1" fillId="0" borderId="42" xfId="136" applyFont="1" applyBorder="1" applyAlignment="1">
      <alignment horizontal="center" vertical="center" wrapText="1"/>
    </xf>
    <xf numFmtId="0" fontId="1" fillId="0" borderId="44" xfId="136" applyFont="1" applyBorder="1" applyAlignment="1">
      <alignment horizontal="center" vertical="center" wrapText="1"/>
    </xf>
    <xf numFmtId="0" fontId="1" fillId="0" borderId="43" xfId="136" applyFont="1" applyBorder="1" applyAlignment="1">
      <alignment horizontal="center" vertical="center" wrapText="1"/>
    </xf>
    <xf numFmtId="0" fontId="105" fillId="0" borderId="4" xfId="0" applyFont="1" applyBorder="1" applyAlignment="1">
      <alignment horizontal="justify" vertical="center" wrapText="1"/>
    </xf>
    <xf numFmtId="0" fontId="105" fillId="0" borderId="4" xfId="136" applyFont="1" applyBorder="1" applyAlignment="1">
      <alignment horizontal="justify" vertical="center" wrapText="1"/>
    </xf>
    <xf numFmtId="9" fontId="1" fillId="0" borderId="4" xfId="136" applyNumberFormat="1" applyFont="1" applyBorder="1" applyAlignment="1">
      <alignment horizontal="left" vertical="center" wrapText="1"/>
    </xf>
    <xf numFmtId="9" fontId="1" fillId="0" borderId="4" xfId="136" applyNumberFormat="1" applyFont="1" applyBorder="1" applyAlignment="1">
      <alignment horizontal="left" vertical="center"/>
    </xf>
    <xf numFmtId="0" fontId="102" fillId="52" borderId="39" xfId="135" applyFont="1" applyFill="1" applyBorder="1" applyAlignment="1" applyProtection="1">
      <alignment horizontal="center" vertical="center"/>
      <protection locked="0"/>
    </xf>
    <xf numFmtId="0" fontId="102" fillId="52" borderId="0" xfId="135" applyFont="1" applyFill="1" applyAlignment="1" applyProtection="1">
      <alignment horizontal="center" vertical="center"/>
      <protection locked="0"/>
    </xf>
    <xf numFmtId="0" fontId="107" fillId="53" borderId="40" xfId="136" applyFont="1" applyFill="1" applyBorder="1" applyAlignment="1" applyProtection="1">
      <alignment horizontal="center" vertical="center" wrapText="1"/>
      <protection locked="0"/>
    </xf>
    <xf numFmtId="0" fontId="108" fillId="53" borderId="40" xfId="136" applyFont="1" applyFill="1" applyBorder="1" applyAlignment="1" applyProtection="1">
      <alignment horizontal="center" vertical="center" wrapText="1"/>
      <protection locked="0"/>
    </xf>
    <xf numFmtId="9" fontId="3" fillId="0" borderId="30" xfId="0" applyNumberFormat="1" applyFont="1" applyBorder="1" applyAlignment="1" applyProtection="1">
      <alignment horizontal="center" vertical="center"/>
      <protection locked="0"/>
    </xf>
    <xf numFmtId="0" fontId="70" fillId="0" borderId="30" xfId="0" applyFont="1" applyBorder="1" applyAlignment="1">
      <alignment horizontal="center" vertical="center" wrapText="1"/>
    </xf>
    <xf numFmtId="9" fontId="3" fillId="48" borderId="30" xfId="0" applyNumberFormat="1" applyFont="1" applyFill="1" applyBorder="1" applyAlignment="1" applyProtection="1">
      <alignment horizontal="center" vertical="center"/>
      <protection locked="0"/>
    </xf>
    <xf numFmtId="0" fontId="72" fillId="46" borderId="30" xfId="0" applyFont="1" applyFill="1" applyBorder="1" applyAlignment="1">
      <alignment horizontal="left" vertical="center" wrapText="1"/>
    </xf>
    <xf numFmtId="15" fontId="3" fillId="0" borderId="0" xfId="0" applyNumberFormat="1" applyFont="1" applyAlignment="1">
      <alignment horizontal="center"/>
    </xf>
    <xf numFmtId="0" fontId="72" fillId="46" borderId="30" xfId="0" applyFont="1" applyFill="1" applyBorder="1" applyAlignment="1">
      <alignment horizontal="justify" vertical="center" wrapText="1"/>
    </xf>
    <xf numFmtId="0" fontId="52" fillId="47" borderId="30" xfId="0" applyFont="1" applyFill="1" applyBorder="1" applyAlignment="1">
      <alignment horizontal="left" vertical="center" wrapText="1"/>
    </xf>
    <xf numFmtId="0" fontId="49" fillId="43" borderId="0" xfId="0" applyFont="1" applyFill="1" applyAlignment="1" applyProtection="1">
      <alignment horizontal="center"/>
      <protection locked="0"/>
    </xf>
    <xf numFmtId="0" fontId="61" fillId="46" borderId="30" xfId="0" applyFont="1" applyFill="1" applyBorder="1" applyAlignment="1" applyProtection="1">
      <alignment horizontal="left" vertical="top" wrapText="1"/>
      <protection locked="0"/>
    </xf>
    <xf numFmtId="0" fontId="54" fillId="46" borderId="30" xfId="0" applyFont="1" applyFill="1" applyBorder="1" applyAlignment="1">
      <alignment horizontal="left" vertical="center" wrapText="1"/>
    </xf>
    <xf numFmtId="0" fontId="51" fillId="46" borderId="30" xfId="0" applyFont="1" applyFill="1" applyBorder="1" applyAlignment="1" applyProtection="1">
      <alignment horizontal="left" vertical="top" wrapText="1"/>
      <protection locked="0"/>
    </xf>
    <xf numFmtId="9" fontId="56" fillId="0" borderId="30" xfId="0" applyNumberFormat="1" applyFont="1" applyBorder="1" applyAlignment="1" applyProtection="1">
      <alignment horizontal="center" vertical="center"/>
      <protection locked="0"/>
    </xf>
    <xf numFmtId="0" fontId="51" fillId="46" borderId="30" xfId="0" applyFont="1" applyFill="1" applyBorder="1" applyAlignment="1" applyProtection="1">
      <alignment vertical="top" wrapText="1"/>
      <protection locked="0"/>
    </xf>
    <xf numFmtId="0" fontId="51" fillId="46" borderId="16" xfId="0" applyFont="1" applyFill="1" applyBorder="1" applyAlignment="1" applyProtection="1">
      <alignment horizontal="left" vertical="top" wrapText="1"/>
      <protection locked="0"/>
    </xf>
    <xf numFmtId="0" fontId="51" fillId="46" borderId="25" xfId="0" applyFont="1" applyFill="1" applyBorder="1" applyAlignment="1" applyProtection="1">
      <alignment horizontal="left" vertical="top" wrapText="1"/>
      <protection locked="0"/>
    </xf>
    <xf numFmtId="0" fontId="51" fillId="46" borderId="18" xfId="0" applyFont="1" applyFill="1" applyBorder="1" applyAlignment="1" applyProtection="1">
      <alignment horizontal="left" vertical="top" wrapText="1"/>
      <protection locked="0"/>
    </xf>
    <xf numFmtId="0" fontId="51" fillId="46" borderId="0" xfId="0" applyFont="1" applyFill="1" applyAlignment="1" applyProtection="1">
      <alignment horizontal="left" vertical="top" wrapText="1"/>
      <protection locked="0"/>
    </xf>
    <xf numFmtId="0" fontId="51" fillId="46" borderId="29" xfId="0" applyFont="1" applyFill="1" applyBorder="1" applyAlignment="1" applyProtection="1">
      <alignment horizontal="left" vertical="top" wrapText="1"/>
      <protection locked="0"/>
    </xf>
    <xf numFmtId="0" fontId="51" fillId="46" borderId="19" xfId="0" applyFont="1" applyFill="1" applyBorder="1" applyAlignment="1" applyProtection="1">
      <alignment horizontal="left" vertical="top" wrapText="1"/>
      <protection locked="0"/>
    </xf>
    <xf numFmtId="0" fontId="51" fillId="46" borderId="17" xfId="0" applyFont="1" applyFill="1" applyBorder="1" applyAlignment="1" applyProtection="1">
      <alignment horizontal="left" vertical="top" wrapText="1"/>
      <protection locked="0"/>
    </xf>
    <xf numFmtId="0" fontId="51" fillId="46" borderId="26" xfId="0" applyFont="1" applyFill="1" applyBorder="1" applyAlignment="1" applyProtection="1">
      <alignment horizontal="left" vertical="top" wrapText="1"/>
      <protection locked="0"/>
    </xf>
    <xf numFmtId="0" fontId="73" fillId="46" borderId="27" xfId="0" applyFont="1" applyFill="1" applyBorder="1" applyAlignment="1">
      <alignment horizontal="justify" vertical="center" wrapText="1"/>
    </xf>
    <xf numFmtId="0" fontId="73" fillId="46" borderId="24" xfId="0" applyFont="1" applyFill="1" applyBorder="1" applyAlignment="1">
      <alignment horizontal="justify" vertical="center" wrapText="1"/>
    </xf>
    <xf numFmtId="0" fontId="73" fillId="46" borderId="28" xfId="0" applyFont="1" applyFill="1" applyBorder="1" applyAlignment="1">
      <alignment horizontal="justify" vertical="center" wrapText="1"/>
    </xf>
    <xf numFmtId="0" fontId="72" fillId="46" borderId="24" xfId="0" applyFont="1" applyFill="1" applyBorder="1" applyAlignment="1">
      <alignment horizontal="left" vertical="center" wrapText="1"/>
    </xf>
    <xf numFmtId="0" fontId="72" fillId="46" borderId="28" xfId="0" applyFont="1" applyFill="1" applyBorder="1" applyAlignment="1">
      <alignment horizontal="left" vertical="center" wrapText="1"/>
    </xf>
    <xf numFmtId="0" fontId="70" fillId="0" borderId="24" xfId="0" applyFont="1" applyBorder="1" applyAlignment="1">
      <alignment horizontal="center" vertical="center" wrapText="1"/>
    </xf>
    <xf numFmtId="0" fontId="70" fillId="0" borderId="28" xfId="0" applyFont="1" applyBorder="1" applyAlignment="1">
      <alignment horizontal="center" vertical="center" wrapText="1"/>
    </xf>
    <xf numFmtId="9" fontId="3" fillId="0" borderId="28" xfId="0" applyNumberFormat="1" applyFont="1" applyBorder="1" applyAlignment="1" applyProtection="1">
      <alignment horizontal="center" vertical="center"/>
      <protection locked="0"/>
    </xf>
    <xf numFmtId="9" fontId="3" fillId="0" borderId="20" xfId="0" applyNumberFormat="1" applyFont="1" applyBorder="1" applyAlignment="1" applyProtection="1">
      <alignment horizontal="center" vertical="center"/>
      <protection locked="0"/>
    </xf>
    <xf numFmtId="0" fontId="6" fillId="0" borderId="30" xfId="75" applyBorder="1" applyAlignment="1">
      <alignment horizontal="left" vertical="top" wrapText="1"/>
    </xf>
    <xf numFmtId="0" fontId="74" fillId="49" borderId="30" xfId="75" applyFont="1" applyFill="1" applyBorder="1" applyAlignment="1">
      <alignment horizontal="center" vertical="center" wrapText="1"/>
    </xf>
    <xf numFmtId="0" fontId="51" fillId="50" borderId="30" xfId="75" applyFont="1" applyFill="1" applyBorder="1" applyAlignment="1">
      <alignment horizontal="left" vertical="center" wrapText="1"/>
    </xf>
    <xf numFmtId="0" fontId="52" fillId="49" borderId="18" xfId="75" applyFont="1" applyFill="1" applyBorder="1" applyAlignment="1">
      <alignment horizontal="left" vertical="center" wrapText="1"/>
    </xf>
    <xf numFmtId="0" fontId="52" fillId="49" borderId="0" xfId="75" applyFont="1" applyFill="1" applyAlignment="1">
      <alignment horizontal="left" vertical="center" wrapText="1"/>
    </xf>
    <xf numFmtId="2" fontId="6" fillId="0" borderId="30" xfId="75" applyNumberFormat="1" applyBorder="1" applyAlignment="1">
      <alignment horizontal="left" vertical="top" wrapText="1"/>
    </xf>
    <xf numFmtId="0" fontId="52" fillId="49" borderId="30" xfId="75" applyFont="1" applyFill="1" applyBorder="1" applyAlignment="1">
      <alignment horizontal="left" vertical="center" wrapText="1"/>
    </xf>
    <xf numFmtId="0" fontId="52" fillId="49" borderId="30" xfId="75" applyFont="1" applyFill="1" applyBorder="1" applyAlignment="1">
      <alignment horizontal="left" vertical="center"/>
    </xf>
    <xf numFmtId="0" fontId="71" fillId="46" borderId="30" xfId="0" applyFont="1" applyFill="1" applyBorder="1" applyAlignment="1">
      <alignment horizontal="center" vertical="center" wrapText="1"/>
    </xf>
    <xf numFmtId="0" fontId="52" fillId="47" borderId="30" xfId="0" applyFont="1" applyFill="1" applyBorder="1" applyAlignment="1">
      <alignment horizontal="left" vertical="center"/>
    </xf>
    <xf numFmtId="0" fontId="65" fillId="48" borderId="30" xfId="75" applyFont="1" applyFill="1" applyBorder="1" applyAlignment="1">
      <alignment horizontal="left" vertical="center"/>
    </xf>
    <xf numFmtId="0" fontId="65" fillId="0" borderId="30" xfId="75" applyFont="1" applyBorder="1" applyAlignment="1">
      <alignment horizontal="left" vertical="center"/>
    </xf>
    <xf numFmtId="0" fontId="51" fillId="46" borderId="30" xfId="75" applyFont="1" applyFill="1" applyBorder="1" applyAlignment="1">
      <alignment horizontal="center" vertical="center" wrapText="1"/>
    </xf>
    <xf numFmtId="0" fontId="52" fillId="47" borderId="30" xfId="75" applyFont="1" applyFill="1" applyBorder="1" applyAlignment="1">
      <alignment horizontal="left" vertical="center" wrapText="1"/>
    </xf>
    <xf numFmtId="0" fontId="65" fillId="48" borderId="30" xfId="75" applyFont="1" applyFill="1" applyBorder="1" applyAlignment="1">
      <alignment horizontal="left" vertical="center" wrapText="1"/>
    </xf>
    <xf numFmtId="0" fontId="71" fillId="46" borderId="30" xfId="75" applyFont="1" applyFill="1" applyBorder="1" applyAlignment="1">
      <alignment horizontal="center" vertical="center" wrapText="1"/>
    </xf>
    <xf numFmtId="0" fontId="3" fillId="46" borderId="30" xfId="75" applyFont="1" applyFill="1" applyBorder="1" applyAlignment="1">
      <alignment horizontal="center" vertical="center"/>
    </xf>
    <xf numFmtId="0" fontId="74" fillId="47" borderId="30" xfId="0" applyFont="1" applyFill="1" applyBorder="1" applyAlignment="1">
      <alignment horizontal="center" vertical="center" wrapText="1"/>
    </xf>
    <xf numFmtId="0" fontId="105" fillId="43" borderId="4" xfId="136" applyFont="1" applyFill="1" applyBorder="1" applyAlignment="1">
      <alignment horizontal="justify" vertical="center" wrapText="1"/>
    </xf>
  </cellXfs>
  <cellStyles count="137">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RERO" xfId="19" xr:uid="{00000000-0005-0000-0000-000012000000}"/>
    <cellStyle name="Bueno" xfId="20" builtinId="26" customBuiltin="1"/>
    <cellStyle name="Cabecera 1" xfId="21" xr:uid="{00000000-0005-0000-0000-000014000000}"/>
    <cellStyle name="Cabecera 2" xfId="22" xr:uid="{00000000-0005-0000-0000-000015000000}"/>
    <cellStyle name="Cálculo" xfId="23" builtinId="22" customBuiltin="1"/>
    <cellStyle name="Celda de comprobación" xfId="24" builtinId="23" customBuiltin="1"/>
    <cellStyle name="Celda vinculada" xfId="25" builtinId="24" customBuiltin="1"/>
    <cellStyle name="centsperlb" xfId="26" xr:uid="{00000000-0005-0000-0000-000019000000}"/>
    <cellStyle name="Comma [0]_RESUMEN 66 LIBRE" xfId="27" xr:uid="{00000000-0005-0000-0000-00001A000000}"/>
    <cellStyle name="Comma_Árboles CN " xfId="28" xr:uid="{00000000-0005-0000-0000-00001B000000}"/>
    <cellStyle name="Comma0" xfId="29" xr:uid="{00000000-0005-0000-0000-00001C000000}"/>
    <cellStyle name="Currency [3]" xfId="30" xr:uid="{00000000-0005-0000-0000-00001D000000}"/>
    <cellStyle name="Currency_Mine Equipment CAPX" xfId="31" xr:uid="{00000000-0005-0000-0000-00001E000000}"/>
    <cellStyle name="Currency0" xfId="32" xr:uid="{00000000-0005-0000-0000-00001F000000}"/>
    <cellStyle name="Date" xfId="33" xr:uid="{00000000-0005-0000-0000-000020000000}"/>
    <cellStyle name="DIA" xfId="34" xr:uid="{00000000-0005-0000-0000-000021000000}"/>
    <cellStyle name="dollarsPerKWh" xfId="35" xr:uid="{00000000-0005-0000-0000-000022000000}"/>
    <cellStyle name="dollarsPerLb" xfId="36" xr:uid="{00000000-0005-0000-0000-000023000000}"/>
    <cellStyle name="dollarsPerLb4" xfId="37" xr:uid="{00000000-0005-0000-0000-000024000000}"/>
    <cellStyle name="dollarsPerm3" xfId="38" xr:uid="{00000000-0005-0000-0000-000025000000}"/>
    <cellStyle name="dollarsPerMWh" xfId="39" xr:uid="{00000000-0005-0000-0000-000026000000}"/>
    <cellStyle name="dollarsPerTon" xfId="40" xr:uid="{00000000-0005-0000-0000-000027000000}"/>
    <cellStyle name="dollarsPerYear" xfId="41" xr:uid="{00000000-0005-0000-0000-000028000000}"/>
    <cellStyle name="ENCABE" xfId="42" xr:uid="{00000000-0005-0000-0000-000029000000}"/>
    <cellStyle name="ENCABEZ1" xfId="43" xr:uid="{00000000-0005-0000-0000-00002A000000}"/>
    <cellStyle name="ENCABEZ2" xfId="44" xr:uid="{00000000-0005-0000-0000-00002B000000}"/>
    <cellStyle name="Encabezado 1" xfId="126" xr:uid="{00000000-0005-0000-0000-00002C000000}"/>
    <cellStyle name="Encabezado 2" xfId="45" xr:uid="{00000000-0005-0000-0000-00002D000000}"/>
    <cellStyle name="Encabezado 4" xfId="46" builtinId="19" customBuiltin="1"/>
    <cellStyle name="Énfasis1" xfId="47" builtinId="29" customBuiltin="1"/>
    <cellStyle name="Énfasis2" xfId="48" builtinId="33" customBuiltin="1"/>
    <cellStyle name="Énfasis3" xfId="49" builtinId="37" customBuiltin="1"/>
    <cellStyle name="Énfasis4" xfId="50" builtinId="41" customBuiltin="1"/>
    <cellStyle name="Énfasis5" xfId="51" builtinId="45" customBuiltin="1"/>
    <cellStyle name="Énfasis6" xfId="52" builtinId="49" customBuiltin="1"/>
    <cellStyle name="Entrada" xfId="53" builtinId="20" customBuiltin="1"/>
    <cellStyle name="Euro" xfId="54" xr:uid="{00000000-0005-0000-0000-000036000000}"/>
    <cellStyle name="F2" xfId="55" xr:uid="{00000000-0005-0000-0000-000037000000}"/>
    <cellStyle name="F3" xfId="56" xr:uid="{00000000-0005-0000-0000-000038000000}"/>
    <cellStyle name="F4" xfId="57" xr:uid="{00000000-0005-0000-0000-000039000000}"/>
    <cellStyle name="F5" xfId="58" xr:uid="{00000000-0005-0000-0000-00003A000000}"/>
    <cellStyle name="F6" xfId="59" xr:uid="{00000000-0005-0000-0000-00003B000000}"/>
    <cellStyle name="F7" xfId="60" xr:uid="{00000000-0005-0000-0000-00003C000000}"/>
    <cellStyle name="F8" xfId="61" xr:uid="{00000000-0005-0000-0000-00003D000000}"/>
    <cellStyle name="Fecha" xfId="62" xr:uid="{00000000-0005-0000-0000-00003E000000}"/>
    <cellStyle name="Fijo" xfId="63" xr:uid="{00000000-0005-0000-0000-00003F000000}"/>
    <cellStyle name="FINANCIERO" xfId="64" xr:uid="{00000000-0005-0000-0000-000040000000}"/>
    <cellStyle name="Fixed" xfId="65" xr:uid="{00000000-0005-0000-0000-000041000000}"/>
    <cellStyle name="Heading 1" xfId="66" xr:uid="{00000000-0005-0000-0000-000042000000}"/>
    <cellStyle name="Heading 2" xfId="67" xr:uid="{00000000-0005-0000-0000-000043000000}"/>
    <cellStyle name="Hide" xfId="68" xr:uid="{00000000-0005-0000-0000-000044000000}"/>
    <cellStyle name="Incorrecto" xfId="69" builtinId="27" customBuiltin="1"/>
    <cellStyle name="MONETARIO" xfId="70" xr:uid="{00000000-0005-0000-0000-000046000000}"/>
    <cellStyle name="Monetario0" xfId="71" xr:uid="{00000000-0005-0000-0000-000047000000}"/>
    <cellStyle name="Monetario0 2" xfId="133" xr:uid="{F36C2773-8836-4AD2-BED0-D468795B8329}"/>
    <cellStyle name="Months" xfId="72" xr:uid="{00000000-0005-0000-0000-000048000000}"/>
    <cellStyle name="Neutral" xfId="73" builtinId="28" customBuiltin="1"/>
    <cellStyle name="No-definido" xfId="74" xr:uid="{00000000-0005-0000-0000-00004A000000}"/>
    <cellStyle name="Normal" xfId="0" builtinId="0"/>
    <cellStyle name="Normal 10" xfId="135" xr:uid="{D5D30BCB-28ED-489B-91A4-C5E278F3692B}"/>
    <cellStyle name="Normal 2" xfId="75" xr:uid="{00000000-0005-0000-0000-00004C000000}"/>
    <cellStyle name="Normal 3" xfId="136" xr:uid="{300B24BE-85AF-4AF4-9FFC-5D5C052ABB69}"/>
    <cellStyle name="Notas" xfId="76" builtinId="10" customBuiltin="1"/>
    <cellStyle name="Percent_Mine Equipment CAPX" xfId="77" xr:uid="{00000000-0005-0000-0000-00004E000000}"/>
    <cellStyle name="percentGradeA" xfId="78" xr:uid="{00000000-0005-0000-0000-00004F000000}"/>
    <cellStyle name="Porcentaje" xfId="79" builtinId="5"/>
    <cellStyle name="Punto" xfId="80" xr:uid="{00000000-0005-0000-0000-000051000000}"/>
    <cellStyle name="Punto0" xfId="81" xr:uid="{00000000-0005-0000-0000-000052000000}"/>
    <cellStyle name="Salida" xfId="82" builtinId="21" customBuiltin="1"/>
    <cellStyle name="SAPBEXaggData" xfId="83" xr:uid="{00000000-0005-0000-0000-000054000000}"/>
    <cellStyle name="SAPBEXaggDataEmph" xfId="84" xr:uid="{00000000-0005-0000-0000-000055000000}"/>
    <cellStyle name="SAPBEXaggItem" xfId="85" xr:uid="{00000000-0005-0000-0000-000056000000}"/>
    <cellStyle name="SAPBEXaggItemX" xfId="86" xr:uid="{00000000-0005-0000-0000-000057000000}"/>
    <cellStyle name="SAPBEXchaText" xfId="87" xr:uid="{00000000-0005-0000-0000-000058000000}"/>
    <cellStyle name="SAPBEXexcBad7" xfId="88" xr:uid="{00000000-0005-0000-0000-000059000000}"/>
    <cellStyle name="SAPBEXexcBad8" xfId="89" xr:uid="{00000000-0005-0000-0000-00005A000000}"/>
    <cellStyle name="SAPBEXexcBad9" xfId="90" xr:uid="{00000000-0005-0000-0000-00005B000000}"/>
    <cellStyle name="SAPBEXexcCritical4" xfId="91" xr:uid="{00000000-0005-0000-0000-00005C000000}"/>
    <cellStyle name="SAPBEXexcCritical5" xfId="92" xr:uid="{00000000-0005-0000-0000-00005D000000}"/>
    <cellStyle name="SAPBEXexcCritical6" xfId="93" xr:uid="{00000000-0005-0000-0000-00005E000000}"/>
    <cellStyle name="SAPBEXexcGood1" xfId="94" xr:uid="{00000000-0005-0000-0000-00005F000000}"/>
    <cellStyle name="SAPBEXexcGood2" xfId="95" xr:uid="{00000000-0005-0000-0000-000060000000}"/>
    <cellStyle name="SAPBEXexcGood3" xfId="96" xr:uid="{00000000-0005-0000-0000-000061000000}"/>
    <cellStyle name="SAPBEXfilterDrill" xfId="97" xr:uid="{00000000-0005-0000-0000-000062000000}"/>
    <cellStyle name="SAPBEXfilterItem" xfId="98" xr:uid="{00000000-0005-0000-0000-000063000000}"/>
    <cellStyle name="SAPBEXfilterText" xfId="99" xr:uid="{00000000-0005-0000-0000-000064000000}"/>
    <cellStyle name="SAPBEXformats" xfId="100" xr:uid="{00000000-0005-0000-0000-000065000000}"/>
    <cellStyle name="SAPBEXheaderItem" xfId="101" xr:uid="{00000000-0005-0000-0000-000066000000}"/>
    <cellStyle name="SAPBEXheaderText" xfId="102" xr:uid="{00000000-0005-0000-0000-000067000000}"/>
    <cellStyle name="SAPBEXHLevel0" xfId="103" xr:uid="{00000000-0005-0000-0000-000068000000}"/>
    <cellStyle name="SAPBEXHLevel0X" xfId="104" xr:uid="{00000000-0005-0000-0000-000069000000}"/>
    <cellStyle name="SAPBEXHLevel1" xfId="105" xr:uid="{00000000-0005-0000-0000-00006A000000}"/>
    <cellStyle name="SAPBEXHLevel1X" xfId="106" xr:uid="{00000000-0005-0000-0000-00006B000000}"/>
    <cellStyle name="SAPBEXHLevel2" xfId="107" xr:uid="{00000000-0005-0000-0000-00006C000000}"/>
    <cellStyle name="SAPBEXHLevel2X" xfId="108" xr:uid="{00000000-0005-0000-0000-00006D000000}"/>
    <cellStyle name="SAPBEXHLevel3" xfId="109" xr:uid="{00000000-0005-0000-0000-00006E000000}"/>
    <cellStyle name="SAPBEXHLevel3X" xfId="110" xr:uid="{00000000-0005-0000-0000-00006F000000}"/>
    <cellStyle name="SAPBEXresData" xfId="111" xr:uid="{00000000-0005-0000-0000-000070000000}"/>
    <cellStyle name="SAPBEXresDataEmph" xfId="112" xr:uid="{00000000-0005-0000-0000-000071000000}"/>
    <cellStyle name="SAPBEXresItem" xfId="113" xr:uid="{00000000-0005-0000-0000-000072000000}"/>
    <cellStyle name="SAPBEXresItemX" xfId="114" xr:uid="{00000000-0005-0000-0000-000073000000}"/>
    <cellStyle name="SAPBEXresItemX 2" xfId="134" xr:uid="{6BC520B9-A935-4372-AB7E-60812C0F011B}"/>
    <cellStyle name="SAPBEXstdData" xfId="115" xr:uid="{00000000-0005-0000-0000-000074000000}"/>
    <cellStyle name="SAPBEXstdDataEmph" xfId="116" xr:uid="{00000000-0005-0000-0000-000075000000}"/>
    <cellStyle name="SAPBEXstdItem" xfId="117" xr:uid="{00000000-0005-0000-0000-000076000000}"/>
    <cellStyle name="SAPBEXstdItemX" xfId="118" xr:uid="{00000000-0005-0000-0000-000077000000}"/>
    <cellStyle name="SAPBEXtitle" xfId="119" xr:uid="{00000000-0005-0000-0000-000078000000}"/>
    <cellStyle name="SAPBEXundefined" xfId="120" xr:uid="{00000000-0005-0000-0000-000079000000}"/>
    <cellStyle name="Table Top" xfId="121" xr:uid="{00000000-0005-0000-0000-00007A000000}"/>
    <cellStyle name="Texto de advertencia" xfId="122" builtinId="11" customBuiltin="1"/>
    <cellStyle name="Texto explicativo" xfId="123" builtinId="53" customBuiltin="1"/>
    <cellStyle name="titulo" xfId="124" xr:uid="{00000000-0005-0000-0000-00007D000000}"/>
    <cellStyle name="Título" xfId="125" builtinId="15" customBuiltin="1"/>
    <cellStyle name="Título 2" xfId="127" builtinId="17" customBuiltin="1"/>
    <cellStyle name="Título 3" xfId="128" builtinId="18" customBuiltin="1"/>
    <cellStyle name="Total" xfId="129" builtinId="25" customBuiltin="1"/>
    <cellStyle name="weeks" xfId="130" xr:uid="{00000000-0005-0000-0000-000082000000}"/>
    <cellStyle name="year" xfId="131" xr:uid="{00000000-0005-0000-0000-000083000000}"/>
    <cellStyle name="years" xfId="132" xr:uid="{00000000-0005-0000-0000-000084000000}"/>
  </cellStyles>
  <dxfs count="51">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gradientFill degree="90">
          <stop position="0">
            <color theme="0"/>
          </stop>
          <stop position="0.5">
            <color theme="4"/>
          </stop>
          <stop position="1">
            <color theme="0"/>
          </stop>
        </gradientFill>
      </fill>
    </dxf>
    <dxf>
      <fill>
        <patternFill>
          <bgColor rgb="FFFFFF66"/>
        </patternFill>
      </fill>
    </dxf>
    <dxf>
      <fill>
        <patternFill>
          <bgColor rgb="FFCCFF99"/>
        </patternFill>
      </fill>
    </dxf>
    <dxf>
      <fill>
        <patternFill>
          <bgColor rgb="FF00B050"/>
        </patternFill>
      </fill>
    </dxf>
    <dxf>
      <fill>
        <patternFill>
          <bgColor rgb="FFFF9393"/>
        </patternFill>
      </fill>
    </dxf>
    <dxf>
      <font>
        <b val="0"/>
        <i val="0"/>
        <strike val="0"/>
        <condense val="0"/>
        <extend val="0"/>
        <outline val="0"/>
        <shadow val="0"/>
        <u val="none"/>
        <vertAlign val="baseline"/>
        <sz val="10"/>
        <color theme="3" tint="-0.249977111117893"/>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top style="thin">
          <color rgb="FF4397A8"/>
        </top>
        <bottom style="thin">
          <color rgb="FF4397A8"/>
        </bottom>
        <vertical style="thin">
          <color rgb="FF4397A8"/>
        </vertical>
        <horizontal style="thin">
          <color rgb="FF4397A8"/>
        </horizontal>
      </border>
      <protection locked="0" hidden="0"/>
    </dxf>
    <dxf>
      <font>
        <b val="0"/>
        <i val="0"/>
        <strike val="0"/>
        <condense val="0"/>
        <extend val="0"/>
        <outline val="0"/>
        <shadow val="0"/>
        <u val="none"/>
        <vertAlign val="baseline"/>
        <sz val="10"/>
        <color theme="3" tint="-0.249977111117893"/>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style="thin">
          <color rgb="FF4397A8"/>
        </right>
        <top style="thin">
          <color rgb="FF4397A8"/>
        </top>
        <bottom style="thin">
          <color rgb="FF4397A8"/>
        </bottom>
        <vertical style="thin">
          <color rgb="FF4397A8"/>
        </vertical>
        <horizontal style="thin">
          <color rgb="FF4397A8"/>
        </horizontal>
      </border>
      <protection locked="0" hidden="0"/>
    </dxf>
    <dxf>
      <font>
        <b val="0"/>
        <i val="0"/>
        <strike val="0"/>
        <condense val="0"/>
        <extend val="0"/>
        <outline val="0"/>
        <shadow val="0"/>
        <u val="none"/>
        <vertAlign val="baseline"/>
        <sz val="10"/>
        <color theme="3" tint="-0.249977111117893"/>
        <name val="Calibri"/>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style="thin">
          <color rgb="FF4397A8"/>
        </right>
        <top style="thin">
          <color rgb="FF4397A8"/>
        </top>
        <bottom style="thin">
          <color rgb="FF4397A8"/>
        </bottom>
        <vertical style="thin">
          <color rgb="FF4397A8"/>
        </vertical>
        <horizontal style="thin">
          <color rgb="FF4397A8"/>
        </horizontal>
      </border>
      <protection locked="0" hidden="0"/>
    </dxf>
    <dxf>
      <font>
        <strike val="0"/>
        <outline val="0"/>
        <shadow val="0"/>
        <u val="none"/>
        <vertAlign val="baseline"/>
        <sz val="10"/>
        <color theme="3" tint="-0.249977111117893"/>
        <name val="Calibri"/>
        <scheme val="minor"/>
      </font>
      <alignment horizontal="center" vertical="center" textRotation="0" indent="0" justifyLastLine="0" shrinkToFit="0" readingOrder="0"/>
      <border diagonalUp="0" diagonalDown="0">
        <left/>
        <right style="thin">
          <color rgb="FF4397A8"/>
        </right>
        <top style="thin">
          <color rgb="FF4397A8"/>
        </top>
        <bottom style="thin">
          <color rgb="FF4397A8"/>
        </bottom>
        <vertical style="thin">
          <color rgb="FF4397A8"/>
        </vertical>
        <horizontal style="thin">
          <color rgb="FF4397A8"/>
        </horizontal>
      </border>
    </dxf>
    <dxf>
      <border>
        <top style="thin">
          <color rgb="FF4397A8"/>
        </top>
      </border>
    </dxf>
    <dxf>
      <font>
        <strike val="0"/>
        <outline val="0"/>
        <shadow val="0"/>
        <u val="none"/>
        <vertAlign val="baseline"/>
        <sz val="12"/>
      </font>
      <fill>
        <patternFill patternType="solid">
          <fgColor indexed="64"/>
          <bgColor theme="0" tint="-4.9989318521683403E-2"/>
        </patternFill>
      </fill>
      <alignment vertical="top" textRotation="0" wrapText="0" justifyLastLine="0" shrinkToFit="0" readingOrder="0"/>
      <border diagonalUp="0" diagonalDown="0">
        <left style="thin">
          <color rgb="FF990000"/>
        </left>
        <right style="thin">
          <color rgb="FF990000"/>
        </right>
        <top/>
        <bottom/>
      </border>
      <protection locked="0" hidden="0"/>
    </dxf>
    <dxf>
      <border diagonalUp="0" diagonalDown="0">
        <left style="thin">
          <color rgb="FF4397A8"/>
        </left>
        <right style="thin">
          <color rgb="FF4397A8"/>
        </right>
        <top style="thin">
          <color rgb="FF4397A8"/>
        </top>
        <bottom style="thin">
          <color rgb="FF4397A8"/>
        </bottom>
      </border>
    </dxf>
    <dxf>
      <font>
        <strike val="0"/>
        <outline val="0"/>
        <shadow val="0"/>
        <u val="none"/>
        <vertAlign val="baseline"/>
        <sz val="10"/>
        <name val="Calibri"/>
        <scheme val="minor"/>
      </font>
      <alignment horizontal="center" vertical="center" textRotation="0" indent="0" justifyLastLine="0" shrinkToFit="0" readingOrder="0"/>
    </dxf>
    <dxf>
      <border>
        <bottom style="thin">
          <color rgb="FF4397A8"/>
        </bottom>
      </border>
    </dxf>
    <dxf>
      <font>
        <b/>
        <i val="0"/>
        <strike val="0"/>
        <condense val="0"/>
        <extend val="0"/>
        <outline val="0"/>
        <shadow val="0"/>
        <u val="none"/>
        <vertAlign val="baseline"/>
        <sz val="11"/>
        <color rgb="FF4397A8"/>
        <name val="Calibri"/>
        <family val="2"/>
        <scheme val="minor"/>
      </font>
      <fill>
        <patternFill patternType="solid">
          <fgColor indexed="64"/>
          <bgColor rgb="FFE7F4F7"/>
        </patternFill>
      </fill>
      <alignment horizontal="center" vertical="center" textRotation="0" wrapText="0" indent="0" justifyLastLine="0" shrinkToFit="0" readingOrder="0"/>
      <border diagonalUp="0" diagonalDown="0" outline="0">
        <left style="thin">
          <color rgb="FF4397A8"/>
        </left>
        <right style="thin">
          <color rgb="FF4397A8"/>
        </right>
        <top/>
        <bottom/>
      </border>
      <protection locked="0" hidden="0"/>
    </dxf>
    <dxf>
      <font>
        <b val="0"/>
        <i val="0"/>
        <strike val="0"/>
        <condense val="0"/>
        <extend val="0"/>
        <outline val="0"/>
        <shadow val="0"/>
        <u val="none"/>
        <vertAlign val="baseline"/>
        <sz val="10"/>
        <color theme="3" tint="-0.249977111117893"/>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top style="thin">
          <color rgb="FF4397A8"/>
        </top>
        <bottom style="thin">
          <color rgb="FF4397A8"/>
        </bottom>
        <vertical style="thin">
          <color rgb="FF4397A8"/>
        </vertical>
        <horizontal style="thin">
          <color rgb="FF4397A8"/>
        </horizontal>
      </border>
      <protection locked="0" hidden="0"/>
    </dxf>
    <dxf>
      <font>
        <b val="0"/>
        <i val="0"/>
        <strike val="0"/>
        <condense val="0"/>
        <extend val="0"/>
        <outline val="0"/>
        <shadow val="0"/>
        <u val="none"/>
        <vertAlign val="baseline"/>
        <sz val="10"/>
        <color theme="3" tint="-0.249977111117893"/>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style="thin">
          <color rgb="FF4397A8"/>
        </right>
        <top style="thin">
          <color rgb="FF4397A8"/>
        </top>
        <bottom style="thin">
          <color rgb="FF4397A8"/>
        </bottom>
        <vertical style="thin">
          <color rgb="FF4397A8"/>
        </vertical>
        <horizontal style="thin">
          <color rgb="FF4397A8"/>
        </horizontal>
      </border>
      <protection locked="0" hidden="0"/>
    </dxf>
    <dxf>
      <font>
        <b val="0"/>
        <i val="0"/>
        <strike val="0"/>
        <condense val="0"/>
        <extend val="0"/>
        <outline val="0"/>
        <shadow val="0"/>
        <u val="none"/>
        <vertAlign val="baseline"/>
        <sz val="10"/>
        <color theme="3" tint="-0.249977111117893"/>
        <name val="Calibri"/>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style="thin">
          <color rgb="FF4397A8"/>
        </right>
        <top style="thin">
          <color rgb="FF4397A8"/>
        </top>
        <bottom style="thin">
          <color rgb="FF4397A8"/>
        </bottom>
        <vertical style="thin">
          <color rgb="FF4397A8"/>
        </vertical>
        <horizontal style="thin">
          <color rgb="FF4397A8"/>
        </horizontal>
      </border>
      <protection locked="0" hidden="0"/>
    </dxf>
    <dxf>
      <font>
        <strike val="0"/>
        <outline val="0"/>
        <shadow val="0"/>
        <u val="none"/>
        <vertAlign val="baseline"/>
        <sz val="10"/>
        <color theme="3" tint="-0.249977111117893"/>
        <name val="Calibri"/>
        <scheme val="minor"/>
      </font>
      <alignment horizontal="center" vertical="center" textRotation="0" indent="0" justifyLastLine="0" shrinkToFit="0" readingOrder="0"/>
      <border diagonalUp="0" diagonalDown="0">
        <left/>
        <right style="thin">
          <color rgb="FF4397A8"/>
        </right>
        <top style="thin">
          <color rgb="FF4397A8"/>
        </top>
        <bottom style="thin">
          <color rgb="FF4397A8"/>
        </bottom>
        <vertical style="thin">
          <color rgb="FF4397A8"/>
        </vertical>
        <horizontal style="thin">
          <color rgb="FF4397A8"/>
        </horizontal>
      </border>
    </dxf>
    <dxf>
      <border>
        <top style="thin">
          <color rgb="FF4397A8"/>
        </top>
      </border>
    </dxf>
    <dxf>
      <font>
        <strike val="0"/>
        <outline val="0"/>
        <shadow val="0"/>
        <u val="none"/>
        <vertAlign val="baseline"/>
        <sz val="12"/>
      </font>
      <fill>
        <patternFill patternType="solid">
          <fgColor indexed="64"/>
          <bgColor theme="0" tint="-4.9989318521683403E-2"/>
        </patternFill>
      </fill>
      <alignment vertical="top" textRotation="0" wrapText="0" justifyLastLine="0" shrinkToFit="0" readingOrder="0"/>
      <border diagonalUp="0" diagonalDown="0">
        <left style="thin">
          <color rgb="FF990000"/>
        </left>
        <right style="thin">
          <color rgb="FF990000"/>
        </right>
        <top/>
        <bottom/>
      </border>
      <protection locked="0" hidden="0"/>
    </dxf>
    <dxf>
      <border diagonalUp="0" diagonalDown="0">
        <left style="thin">
          <color rgb="FF4397A8"/>
        </left>
        <right style="thin">
          <color rgb="FF4397A8"/>
        </right>
        <top style="thin">
          <color rgb="FF4397A8"/>
        </top>
        <bottom style="thin">
          <color rgb="FF4397A8"/>
        </bottom>
      </border>
    </dxf>
    <dxf>
      <font>
        <strike val="0"/>
        <outline val="0"/>
        <shadow val="0"/>
        <u val="none"/>
        <vertAlign val="baseline"/>
        <sz val="10"/>
        <name val="Calibri"/>
        <scheme val="minor"/>
      </font>
      <alignment horizontal="center" vertical="center" textRotation="0" indent="0" justifyLastLine="0" shrinkToFit="0" readingOrder="0"/>
    </dxf>
    <dxf>
      <border>
        <bottom style="thin">
          <color rgb="FF4397A8"/>
        </bottom>
      </border>
    </dxf>
    <dxf>
      <font>
        <b/>
        <i val="0"/>
        <strike val="0"/>
        <condense val="0"/>
        <extend val="0"/>
        <outline val="0"/>
        <shadow val="0"/>
        <u val="none"/>
        <vertAlign val="baseline"/>
        <sz val="11"/>
        <color rgb="FF4397A8"/>
        <name val="Calibri"/>
        <family val="2"/>
        <scheme val="minor"/>
      </font>
      <fill>
        <patternFill patternType="solid">
          <fgColor indexed="64"/>
          <bgColor rgb="FFE7F4F7"/>
        </patternFill>
      </fill>
      <alignment horizontal="center" vertical="center" textRotation="0" wrapText="0" indent="0" justifyLastLine="0" shrinkToFit="0" readingOrder="0"/>
      <border diagonalUp="0" diagonalDown="0" outline="0">
        <left style="thin">
          <color rgb="FF4397A8"/>
        </left>
        <right style="thin">
          <color rgb="FF4397A8"/>
        </right>
        <top/>
        <bottom/>
      </border>
      <protection locked="0" hidden="0"/>
    </dxf>
    <dxf>
      <font>
        <b val="0"/>
        <i val="0"/>
        <strike val="0"/>
        <condense val="0"/>
        <extend val="0"/>
        <outline val="0"/>
        <shadow val="0"/>
        <u val="none"/>
        <vertAlign val="baseline"/>
        <sz val="10"/>
        <color theme="3" tint="-0.249977111117893"/>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top style="thin">
          <color rgb="FF4397A8"/>
        </top>
        <bottom style="thin">
          <color rgb="FF4397A8"/>
        </bottom>
        <vertical style="thin">
          <color rgb="FF4397A8"/>
        </vertical>
        <horizontal style="thin">
          <color rgb="FF4397A8"/>
        </horizontal>
      </border>
      <protection locked="0" hidden="0"/>
    </dxf>
    <dxf>
      <font>
        <b val="0"/>
        <i val="0"/>
        <strike val="0"/>
        <condense val="0"/>
        <extend val="0"/>
        <outline val="0"/>
        <shadow val="0"/>
        <u val="none"/>
        <vertAlign val="baseline"/>
        <sz val="10"/>
        <color theme="3" tint="-0.249977111117893"/>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style="thin">
          <color rgb="FF4397A8"/>
        </right>
        <top style="thin">
          <color rgb="FF4397A8"/>
        </top>
        <bottom style="thin">
          <color rgb="FF4397A8"/>
        </bottom>
        <vertical style="thin">
          <color rgb="FF4397A8"/>
        </vertical>
        <horizontal style="thin">
          <color rgb="FF4397A8"/>
        </horizontal>
      </border>
      <protection locked="0" hidden="0"/>
    </dxf>
    <dxf>
      <font>
        <b val="0"/>
        <i val="0"/>
        <strike val="0"/>
        <condense val="0"/>
        <extend val="0"/>
        <outline val="0"/>
        <shadow val="0"/>
        <u val="none"/>
        <vertAlign val="baseline"/>
        <sz val="10"/>
        <color theme="3" tint="-0.249977111117893"/>
        <name val="Calibri"/>
        <scheme val="minor"/>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rgb="FF4397A8"/>
        </left>
        <right style="thin">
          <color rgb="FF4397A8"/>
        </right>
        <top style="thin">
          <color rgb="FF4397A8"/>
        </top>
        <bottom style="thin">
          <color rgb="FF4397A8"/>
        </bottom>
        <vertical style="thin">
          <color rgb="FF4397A8"/>
        </vertical>
        <horizontal style="thin">
          <color rgb="FF4397A8"/>
        </horizontal>
      </border>
      <protection locked="0" hidden="0"/>
    </dxf>
    <dxf>
      <font>
        <strike val="0"/>
        <outline val="0"/>
        <shadow val="0"/>
        <u val="none"/>
        <vertAlign val="baseline"/>
        <sz val="10"/>
        <color theme="3" tint="-0.249977111117893"/>
        <name val="Calibri"/>
        <scheme val="minor"/>
      </font>
      <alignment horizontal="center" vertical="center" textRotation="0" indent="0" justifyLastLine="0" shrinkToFit="0" readingOrder="0"/>
      <border diagonalUp="0" diagonalDown="0">
        <left/>
        <right style="thin">
          <color rgb="FF4397A8"/>
        </right>
        <top style="thin">
          <color rgb="FF4397A8"/>
        </top>
        <bottom style="thin">
          <color rgb="FF4397A8"/>
        </bottom>
        <vertical style="thin">
          <color rgb="FF4397A8"/>
        </vertical>
        <horizontal style="thin">
          <color rgb="FF4397A8"/>
        </horizontal>
      </border>
    </dxf>
    <dxf>
      <border>
        <top style="thin">
          <color rgb="FF4397A8"/>
        </top>
      </border>
    </dxf>
    <dxf>
      <font>
        <strike val="0"/>
        <outline val="0"/>
        <shadow val="0"/>
        <u val="none"/>
        <vertAlign val="baseline"/>
        <sz val="12"/>
      </font>
      <fill>
        <patternFill patternType="solid">
          <fgColor indexed="64"/>
          <bgColor theme="0" tint="-4.9989318521683403E-2"/>
        </patternFill>
      </fill>
      <alignment vertical="top" textRotation="0" wrapText="0" justifyLastLine="0" shrinkToFit="0" readingOrder="0"/>
      <border diagonalUp="0" diagonalDown="0">
        <left style="thin">
          <color rgb="FF990000"/>
        </left>
        <right style="thin">
          <color rgb="FF990000"/>
        </right>
        <top/>
        <bottom/>
      </border>
      <protection locked="0" hidden="0"/>
    </dxf>
    <dxf>
      <border diagonalUp="0" diagonalDown="0">
        <left style="thin">
          <color rgb="FF4397A8"/>
        </left>
        <right style="thin">
          <color rgb="FF4397A8"/>
        </right>
        <top style="thin">
          <color rgb="FF4397A8"/>
        </top>
        <bottom style="thin">
          <color rgb="FF4397A8"/>
        </bottom>
      </border>
    </dxf>
    <dxf>
      <font>
        <strike val="0"/>
        <outline val="0"/>
        <shadow val="0"/>
        <u val="none"/>
        <vertAlign val="baseline"/>
        <sz val="10"/>
        <name val="Calibri"/>
        <scheme val="minor"/>
      </font>
      <alignment horizontal="center" vertical="center" textRotation="0" indent="0" justifyLastLine="0" shrinkToFit="0" readingOrder="0"/>
    </dxf>
    <dxf>
      <border>
        <bottom style="thin">
          <color rgb="FF4397A8"/>
        </bottom>
      </border>
    </dxf>
    <dxf>
      <font>
        <b/>
        <i val="0"/>
        <strike val="0"/>
        <condense val="0"/>
        <extend val="0"/>
        <outline val="0"/>
        <shadow val="0"/>
        <u val="none"/>
        <vertAlign val="baseline"/>
        <sz val="11"/>
        <color rgb="FF4397A8"/>
        <name val="Calibri"/>
        <family val="2"/>
        <scheme val="minor"/>
      </font>
      <fill>
        <patternFill patternType="solid">
          <fgColor indexed="64"/>
          <bgColor rgb="FFE7F4F7"/>
        </patternFill>
      </fill>
      <alignment horizontal="center" vertical="center" textRotation="0" wrapText="0" indent="0" justifyLastLine="0" shrinkToFit="0" readingOrder="0"/>
      <border diagonalUp="0" diagonalDown="0" outline="0">
        <left style="thin">
          <color rgb="FF4397A8"/>
        </left>
        <right style="thin">
          <color rgb="FF4397A8"/>
        </right>
        <top/>
        <bottom/>
      </border>
      <protection locked="0" hidden="0"/>
    </dxf>
  </dxfs>
  <tableStyles count="0" defaultTableStyle="TableStyleMedium9" defaultPivotStyle="PivotStyleLight16"/>
  <colors>
    <mruColors>
      <color rgb="FF2588B9"/>
      <color rgb="FF4397A8"/>
      <color rgb="FFF9FAFF"/>
      <color rgb="FFE7F4F7"/>
      <color rgb="FFEDFAFF"/>
      <color rgb="FFF6F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50" Type="http://schemas.openxmlformats.org/officeDocument/2006/relationships/externalLink" Target="externalLinks/externalLink4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2588B9"/>
              </a:solidFill>
              <a:latin typeface=""/>
              <a:ea typeface="+mj-ea"/>
              <a:cs typeface="+mj-cs"/>
            </a:defRPr>
          </a:pPr>
          <a:endParaRPr lang="es-CL"/>
        </a:p>
      </c:txPr>
    </c:title>
    <c:autoTitleDeleted val="0"/>
    <c:plotArea>
      <c:layout>
        <c:manualLayout>
          <c:layoutTarget val="inner"/>
          <c:xMode val="edge"/>
          <c:yMode val="edge"/>
          <c:x val="0.43681250954741802"/>
          <c:y val="0.15166954754512152"/>
          <c:w val="0.53471838242441938"/>
          <c:h val="0.7150979162765545"/>
        </c:manualLayout>
      </c:layout>
      <c:barChart>
        <c:barDir val="bar"/>
        <c:grouping val="clustered"/>
        <c:varyColors val="0"/>
        <c:ser>
          <c:idx val="1"/>
          <c:order val="0"/>
          <c:tx>
            <c:strRef>
              <c:f>'GRÁFICO '!$AK$3</c:f>
              <c:strCache>
                <c:ptCount val="1"/>
                <c:pt idx="0">
                  <c:v>I. REQUERIMIENTOS PARA IMPLEMENTAR UN SIGO PARA EMPRESAS CONTRATISTAS Y SUBCONTRATISTAS DE CODELCO</c:v>
                </c:pt>
              </c:strCache>
            </c:strRef>
          </c:tx>
          <c:spPr>
            <a:solidFill>
              <a:schemeClr val="accent6"/>
            </a:solidFill>
            <a:ln>
              <a:noFill/>
            </a:ln>
            <a:effectLst/>
          </c:spPr>
          <c:invertIfNegative val="0"/>
          <c:cat>
            <c:strRef>
              <c:f>('GRÁFICO '!$AK$25,'GRÁFICO '!$AK$23,'GRÁFICO '!$AK$20,'GRÁFICO '!$AK$12,'GRÁFICO '!$AK$5,'GRÁFICO '!$AK$4)</c:f>
              <c:strCache>
                <c:ptCount val="6"/>
                <c:pt idx="0">
                  <c:v>F. OBLIGACIONES DE LAS EMPRESASCONTRATISTAS Y SUBCONTRATISTAS (Título IX Y X RESSO)</c:v>
                </c:pt>
                <c:pt idx="1">
                  <c:v>E. PROCEDIMIENTOS EN CASO DE ACCIDENTES E INCIDENTES (TITULO VIII RESSO)</c:v>
                </c:pt>
                <c:pt idx="2">
                  <c:v>D. RESULTADOS DE FISCALIZACIONES INTERNAS Y EXTERNAS (TITULO VII RESSO)</c:v>
                </c:pt>
                <c:pt idx="3">
                  <c:v>C. IMPLEMENTACION Y OPERACIÓN (TITULO VI RESSO)</c:v>
                </c:pt>
                <c:pt idx="4">
                  <c:v>B. PROGRAMA DE SEGURIDAD Y SALUD EN EL TRABAJO (TITULO V RESSO)</c:v>
                </c:pt>
                <c:pt idx="5">
                  <c:v>A. SISTEMA DE GESTION DE SEGURIDAD Y SALUD EN EL TRABAJO (TITULO IV)</c:v>
                </c:pt>
              </c:strCache>
            </c:strRef>
          </c:cat>
          <c:val>
            <c:numRef>
              <c:f>('GRÁFICO '!$AL$25,'GRÁFICO '!$AL$23,'GRÁFICO '!$AL$20,'GRÁFICO '!$AL$12,'GRÁFICO '!$AL$5,'GRÁFICO '!$AL$4)</c:f>
              <c:numCache>
                <c:formatCode>0%</c:formatCode>
                <c:ptCount val="6"/>
                <c:pt idx="0">
                  <c:v>1</c:v>
                </c:pt>
                <c:pt idx="1">
                  <c:v>0</c:v>
                </c:pt>
                <c:pt idx="2">
                  <c:v>1</c:v>
                </c:pt>
                <c:pt idx="3">
                  <c:v>1</c:v>
                </c:pt>
                <c:pt idx="4">
                  <c:v>0.7416666666666667</c:v>
                </c:pt>
                <c:pt idx="5">
                  <c:v>1</c:v>
                </c:pt>
              </c:numCache>
            </c:numRef>
          </c:val>
          <c:extLst>
            <c:ext xmlns:c16="http://schemas.microsoft.com/office/drawing/2014/chart" uri="{C3380CC4-5D6E-409C-BE32-E72D297353CC}">
              <c16:uniqueId val="{00000000-8325-4B1D-BF7E-F5164E4308B5}"/>
            </c:ext>
          </c:extLst>
        </c:ser>
        <c:dLbls>
          <c:showLegendKey val="0"/>
          <c:showVal val="0"/>
          <c:showCatName val="0"/>
          <c:showSerName val="0"/>
          <c:showPercent val="0"/>
          <c:showBubbleSize val="0"/>
        </c:dLbls>
        <c:gapWidth val="247"/>
        <c:overlap val="-58"/>
        <c:axId val="269935744"/>
        <c:axId val="269937280"/>
      </c:barChart>
      <c:catAx>
        <c:axId val="26993574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Barlow" panose="00000500000000000000" pitchFamily="2" charset="0"/>
                <a:ea typeface="+mn-ea"/>
                <a:cs typeface="+mn-cs"/>
              </a:defRPr>
            </a:pPr>
            <a:endParaRPr lang="es-CL"/>
          </a:p>
        </c:txPr>
        <c:crossAx val="269937280"/>
        <c:crosses val="autoZero"/>
        <c:auto val="1"/>
        <c:lblAlgn val="ctr"/>
        <c:lblOffset val="100"/>
        <c:noMultiLvlLbl val="0"/>
      </c:catAx>
      <c:valAx>
        <c:axId val="26993728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Barlow" panose="00000500000000000000" pitchFamily="2" charset="0"/>
                    <a:ea typeface="+mn-ea"/>
                    <a:cs typeface="+mn-cs"/>
                  </a:defRPr>
                </a:pPr>
                <a:r>
                  <a:rPr lang="es-CL">
                    <a:latin typeface="Barlow" panose="00000500000000000000" pitchFamily="2" charset="0"/>
                  </a:rPr>
                  <a:t>PORCENTAJE DE CUMPLIMIENTO</a:t>
                </a:r>
              </a:p>
            </c:rich>
          </c:tx>
          <c:layout>
            <c:manualLayout>
              <c:xMode val="edge"/>
              <c:yMode val="edge"/>
              <c:x val="0.62604474440694913"/>
              <c:y val="0.943676474845479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Barlow" panose="00000500000000000000" pitchFamily="2" charset="0"/>
                  <a:ea typeface="+mn-ea"/>
                  <a:cs typeface="+mn-cs"/>
                </a:defRPr>
              </a:pPr>
              <a:endParaRPr lang="es-C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26993574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ysClr val="window" lastClr="FFFFFF"/>
        </a:solidFill>
        <a:ln>
          <a:noFill/>
        </a:ln>
        <a:effectLst/>
      </c:spPr>
      <c:txPr>
        <a:bodyPr rot="0" spcFirstLastPara="1" vertOverflow="ellipsis" vert="horz" wrap="square" anchor="ctr" anchorCtr="1"/>
        <a:lstStyle/>
        <a:p>
          <a:pPr>
            <a:defRPr sz="1600" b="1" i="0" u="none" strike="noStrike" kern="1200" cap="none" spc="0" normalizeH="0" baseline="0">
              <a:solidFill>
                <a:srgbClr val="2588B9"/>
              </a:solidFill>
              <a:latin typeface=""/>
              <a:ea typeface="+mj-ea"/>
              <a:cs typeface="+mj-cs"/>
            </a:defRPr>
          </a:pPr>
          <a:endParaRPr lang="es-CL"/>
        </a:p>
      </c:txPr>
    </c:title>
    <c:autoTitleDeleted val="0"/>
    <c:plotArea>
      <c:layout>
        <c:manualLayout>
          <c:layoutTarget val="inner"/>
          <c:xMode val="edge"/>
          <c:yMode val="edge"/>
          <c:x val="0.43681250954741829"/>
          <c:y val="0.15166954754512163"/>
          <c:w val="0.5347183824244196"/>
          <c:h val="0.71509791627655483"/>
        </c:manualLayout>
      </c:layout>
      <c:barChart>
        <c:barDir val="bar"/>
        <c:grouping val="clustered"/>
        <c:varyColors val="0"/>
        <c:ser>
          <c:idx val="1"/>
          <c:order val="0"/>
          <c:tx>
            <c:strRef>
              <c:f>'GRÁFICO '!$AK$27</c:f>
              <c:strCache>
                <c:ptCount val="1"/>
                <c:pt idx="0">
                  <c:v>II. REQUERIMIENTOS PARA LA IMPLEMENTACIÓN Y OPERACIÓN (OTROS REQUISITOS RELEVANTES DEL SIGO)</c:v>
                </c:pt>
              </c:strCache>
            </c:strRef>
          </c:tx>
          <c:spPr>
            <a:solidFill>
              <a:srgbClr val="4397A8"/>
            </a:solidFill>
            <a:ln>
              <a:noFill/>
            </a:ln>
            <a:effectLst/>
          </c:spPr>
          <c:invertIfNegative val="0"/>
          <c:cat>
            <c:strRef>
              <c:f>('GRÁFICO '!$AK$32,'GRÁFICO '!$AK$31,'GRÁFICO '!$AK$30,'GRÁFICO '!$AK$29,'GRÁFICO '!$AK$28)</c:f>
              <c:strCache>
                <c:ptCount val="5"/>
                <c:pt idx="0">
                  <c:v>K. Infracciones o Faltas de los Contratistas / Trabajadores al RIHS (TITULO XV y XVI)</c:v>
                </c:pt>
                <c:pt idx="1">
                  <c:v>J. Estadística e Información (Título XIV RESSO)</c:v>
                </c:pt>
                <c:pt idx="2">
                  <c:v>I. Comités Paritarios de Higiene y Seguridad (Título XIII RESSO)</c:v>
                </c:pt>
                <c:pt idx="3">
                  <c:v>H. Estándares Mínimos (Título XII RESSO)</c:v>
                </c:pt>
                <c:pt idx="4">
                  <c:v>G. Medidas de Prevención Especiales (Título XI RESSO)</c:v>
                </c:pt>
              </c:strCache>
            </c:strRef>
          </c:cat>
          <c:val>
            <c:numRef>
              <c:f>('GRÁFICO '!$AL$32,'GRÁFICO '!$AL$31,'GRÁFICO '!$AL$30,'GRÁFICO '!$AL$29,'GRÁFICO '!$AL$28)</c:f>
              <c:numCache>
                <c:formatCode>0%</c:formatCode>
                <c:ptCount val="5"/>
                <c:pt idx="0">
                  <c:v>1</c:v>
                </c:pt>
                <c:pt idx="1">
                  <c:v>1</c:v>
                </c:pt>
                <c:pt idx="2">
                  <c:v>0</c:v>
                </c:pt>
                <c:pt idx="3">
                  <c:v>1</c:v>
                </c:pt>
                <c:pt idx="4">
                  <c:v>1</c:v>
                </c:pt>
              </c:numCache>
            </c:numRef>
          </c:val>
          <c:extLst>
            <c:ext xmlns:c16="http://schemas.microsoft.com/office/drawing/2014/chart" uri="{C3380CC4-5D6E-409C-BE32-E72D297353CC}">
              <c16:uniqueId val="{00000000-E027-4BA6-859E-08B6325CAA36}"/>
            </c:ext>
          </c:extLst>
        </c:ser>
        <c:dLbls>
          <c:showLegendKey val="0"/>
          <c:showVal val="0"/>
          <c:showCatName val="0"/>
          <c:showSerName val="0"/>
          <c:showPercent val="0"/>
          <c:showBubbleSize val="0"/>
        </c:dLbls>
        <c:gapWidth val="247"/>
        <c:overlap val="-58"/>
        <c:axId val="270011008"/>
        <c:axId val="270016896"/>
      </c:barChart>
      <c:catAx>
        <c:axId val="2700110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Barlow" panose="00000500000000000000" pitchFamily="2" charset="0"/>
                <a:ea typeface="+mn-ea"/>
                <a:cs typeface="+mn-cs"/>
              </a:defRPr>
            </a:pPr>
            <a:endParaRPr lang="es-CL"/>
          </a:p>
        </c:txPr>
        <c:crossAx val="270016896"/>
        <c:crosses val="autoZero"/>
        <c:auto val="1"/>
        <c:lblAlgn val="ctr"/>
        <c:lblOffset val="100"/>
        <c:noMultiLvlLbl val="0"/>
      </c:catAx>
      <c:valAx>
        <c:axId val="27001689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Barlow" panose="00000500000000000000" pitchFamily="2" charset="0"/>
                    <a:ea typeface="+mn-ea"/>
                    <a:cs typeface="+mn-cs"/>
                  </a:defRPr>
                </a:pPr>
                <a:r>
                  <a:rPr lang="es-CL">
                    <a:latin typeface="Barlow" panose="00000500000000000000" pitchFamily="2" charset="0"/>
                  </a:rPr>
                  <a:t>PORCENTAJE DE CUMPLIMIENTO</a:t>
                </a:r>
              </a:p>
            </c:rich>
          </c:tx>
          <c:layout>
            <c:manualLayout>
              <c:xMode val="edge"/>
              <c:yMode val="edge"/>
              <c:x val="0.62604474440694913"/>
              <c:y val="0.943676474845479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Barlow" panose="00000500000000000000" pitchFamily="2" charset="0"/>
                  <a:ea typeface="+mn-ea"/>
                  <a:cs typeface="+mn-cs"/>
                </a:defRPr>
              </a:pPr>
              <a:endParaRPr lang="es-C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27001100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000000000000044" l="0.7000000000000004" r="0.7000000000000004" t="0.75000000000000044" header="0.30000000000000021" footer="0.30000000000000021"/>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15.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4</xdr:col>
      <xdr:colOff>85899</xdr:colOff>
      <xdr:row>19</xdr:row>
      <xdr:rowOff>196580</xdr:rowOff>
    </xdr:from>
    <xdr:to>
      <xdr:col>9</xdr:col>
      <xdr:colOff>68181</xdr:colOff>
      <xdr:row>49</xdr:row>
      <xdr:rowOff>46535</xdr:rowOff>
    </xdr:to>
    <xdr:pic>
      <xdr:nvPicPr>
        <xdr:cNvPr id="3" name="Picture 30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20000" contrast="-40000"/>
                  </a14:imgEffect>
                </a14:imgLayer>
              </a14:imgProps>
            </a:ext>
          </a:extLst>
        </a:blip>
        <a:srcRect/>
        <a:stretch>
          <a:fillRect/>
        </a:stretch>
      </xdr:blipFill>
      <xdr:spPr bwMode="auto">
        <a:xfrm>
          <a:off x="3994784" y="4727862"/>
          <a:ext cx="5351183" cy="2403528"/>
        </a:xfrm>
        <a:prstGeom prst="rect">
          <a:avLst/>
        </a:prstGeom>
        <a:noFill/>
        <a:ln w="9525">
          <a:noFill/>
          <a:miter lim="800000"/>
          <a:headEnd/>
          <a:tailEnd/>
        </a:ln>
      </xdr:spPr>
    </xdr:pic>
    <xdr:clientData/>
  </xdr:twoCellAnchor>
  <xdr:twoCellAnchor editAs="oneCell">
    <xdr:from>
      <xdr:col>0</xdr:col>
      <xdr:colOff>0</xdr:colOff>
      <xdr:row>0</xdr:row>
      <xdr:rowOff>124446</xdr:rowOff>
    </xdr:from>
    <xdr:to>
      <xdr:col>2</xdr:col>
      <xdr:colOff>1163359</xdr:colOff>
      <xdr:row>2</xdr:row>
      <xdr:rowOff>5816</xdr:rowOff>
    </xdr:to>
    <xdr:pic>
      <xdr:nvPicPr>
        <xdr:cNvPr id="5" name="Imagen 4">
          <a:extLst>
            <a:ext uri="{FF2B5EF4-FFF2-40B4-BE49-F238E27FC236}">
              <a16:creationId xmlns:a16="http://schemas.microsoft.com/office/drawing/2014/main" id="{1D56D0EF-7B56-55BE-8CDD-0F6DA2E15DF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0141" b="821"/>
        <a:stretch/>
      </xdr:blipFill>
      <xdr:spPr>
        <a:xfrm>
          <a:off x="0" y="124446"/>
          <a:ext cx="1483283" cy="486317"/>
        </a:xfrm>
        <a:prstGeom prst="rect">
          <a:avLst/>
        </a:prstGeom>
      </xdr:spPr>
    </xdr:pic>
    <xdr:clientData/>
  </xdr:twoCellAnchor>
  <xdr:twoCellAnchor editAs="oneCell">
    <xdr:from>
      <xdr:col>2</xdr:col>
      <xdr:colOff>1287368</xdr:colOff>
      <xdr:row>0</xdr:row>
      <xdr:rowOff>92499</xdr:rowOff>
    </xdr:from>
    <xdr:to>
      <xdr:col>2</xdr:col>
      <xdr:colOff>2006794</xdr:colOff>
      <xdr:row>1</xdr:row>
      <xdr:rowOff>273390</xdr:rowOff>
    </xdr:to>
    <xdr:pic>
      <xdr:nvPicPr>
        <xdr:cNvPr id="6" name="Imagen 5">
          <a:extLst>
            <a:ext uri="{FF2B5EF4-FFF2-40B4-BE49-F238E27FC236}">
              <a16:creationId xmlns:a16="http://schemas.microsoft.com/office/drawing/2014/main" id="{8CB16E68-550E-24B4-C361-A0123E174A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607292" y="92499"/>
          <a:ext cx="719426" cy="4833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4502243</xdr:colOff>
      <xdr:row>1</xdr:row>
      <xdr:rowOff>39502</xdr:rowOff>
    </xdr:from>
    <xdr:to>
      <xdr:col>4</xdr:col>
      <xdr:colOff>111885</xdr:colOff>
      <xdr:row>2</xdr:row>
      <xdr:rowOff>84744</xdr:rowOff>
    </xdr:to>
    <xdr:pic>
      <xdr:nvPicPr>
        <xdr:cNvPr id="87395" name="3 Imagen">
          <a:extLst>
            <a:ext uri="{FF2B5EF4-FFF2-40B4-BE49-F238E27FC236}">
              <a16:creationId xmlns:a16="http://schemas.microsoft.com/office/drawing/2014/main" id="{00000000-0008-0000-0200-00006355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967287" y="314046"/>
          <a:ext cx="853995" cy="218933"/>
        </a:xfrm>
        <a:prstGeom prst="rect">
          <a:avLst/>
        </a:prstGeom>
        <a:noFill/>
        <a:ln w="9525">
          <a:noFill/>
          <a:miter lim="800000"/>
          <a:headEnd/>
          <a:tailEnd/>
        </a:ln>
      </xdr:spPr>
    </xdr:pic>
    <xdr:clientData/>
  </xdr:twoCellAnchor>
  <xdr:twoCellAnchor editAs="oneCell">
    <xdr:from>
      <xdr:col>4</xdr:col>
      <xdr:colOff>178862</xdr:colOff>
      <xdr:row>0</xdr:row>
      <xdr:rowOff>224118</xdr:rowOff>
    </xdr:from>
    <xdr:to>
      <xdr:col>5</xdr:col>
      <xdr:colOff>478986</xdr:colOff>
      <xdr:row>3</xdr:row>
      <xdr:rowOff>17239</xdr:rowOff>
    </xdr:to>
    <xdr:pic>
      <xdr:nvPicPr>
        <xdr:cNvPr id="87396" name="Picture 333">
          <a:extLst>
            <a:ext uri="{FF2B5EF4-FFF2-40B4-BE49-F238E27FC236}">
              <a16:creationId xmlns:a16="http://schemas.microsoft.com/office/drawing/2014/main" id="{00000000-0008-0000-0200-0000645501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888259" y="224118"/>
          <a:ext cx="809992" cy="426253"/>
        </a:xfrm>
        <a:prstGeom prst="rect">
          <a:avLst/>
        </a:prstGeom>
        <a:noFill/>
        <a:ln w="9525">
          <a:noFill/>
          <a:miter lim="800000"/>
          <a:headEnd/>
          <a:tailEnd/>
        </a:ln>
      </xdr:spPr>
    </xdr:pic>
    <xdr:clientData/>
  </xdr:twoCellAnchor>
  <xdr:twoCellAnchor editAs="oneCell">
    <xdr:from>
      <xdr:col>1</xdr:col>
      <xdr:colOff>2645</xdr:colOff>
      <xdr:row>0</xdr:row>
      <xdr:rowOff>0</xdr:rowOff>
    </xdr:from>
    <xdr:to>
      <xdr:col>2</xdr:col>
      <xdr:colOff>381000</xdr:colOff>
      <xdr:row>3</xdr:row>
      <xdr:rowOff>145677</xdr:rowOff>
    </xdr:to>
    <xdr:pic>
      <xdr:nvPicPr>
        <xdr:cNvPr id="5" name="Imagen 4">
          <a:extLst>
            <a:ext uri="{FF2B5EF4-FFF2-40B4-BE49-F238E27FC236}">
              <a16:creationId xmlns:a16="http://schemas.microsoft.com/office/drawing/2014/main" id="{B0D59ACB-63AA-443A-9AFD-086B29F05A9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6021" b="-1737"/>
        <a:stretch/>
      </xdr:blipFill>
      <xdr:spPr>
        <a:xfrm>
          <a:off x="187542" y="0"/>
          <a:ext cx="658502" cy="778809"/>
        </a:xfrm>
        <a:prstGeom prst="rect">
          <a:avLst/>
        </a:prstGeom>
      </xdr:spPr>
    </xdr:pic>
    <xdr:clientData/>
  </xdr:twoCellAnchor>
  <xdr:twoCellAnchor editAs="oneCell">
    <xdr:from>
      <xdr:col>2</xdr:col>
      <xdr:colOff>488975</xdr:colOff>
      <xdr:row>0</xdr:row>
      <xdr:rowOff>101103</xdr:rowOff>
    </xdr:from>
    <xdr:to>
      <xdr:col>2</xdr:col>
      <xdr:colOff>1422599</xdr:colOff>
      <xdr:row>3</xdr:row>
      <xdr:rowOff>95249</xdr:rowOff>
    </xdr:to>
    <xdr:pic>
      <xdr:nvPicPr>
        <xdr:cNvPr id="2" name="Imagen 1">
          <a:extLst>
            <a:ext uri="{FF2B5EF4-FFF2-40B4-BE49-F238E27FC236}">
              <a16:creationId xmlns:a16="http://schemas.microsoft.com/office/drawing/2014/main" id="{53388FE5-6CBE-4271-8D10-2420BF5A9D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954019" y="101103"/>
          <a:ext cx="933624" cy="6272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4694655</xdr:colOff>
      <xdr:row>2</xdr:row>
      <xdr:rowOff>60326</xdr:rowOff>
    </xdr:from>
    <xdr:to>
      <xdr:col>4</xdr:col>
      <xdr:colOff>34954</xdr:colOff>
      <xdr:row>3</xdr:row>
      <xdr:rowOff>124506</xdr:rowOff>
    </xdr:to>
    <xdr:pic>
      <xdr:nvPicPr>
        <xdr:cNvPr id="9" name="3 Imagen">
          <a:extLst>
            <a:ext uri="{FF2B5EF4-FFF2-40B4-BE49-F238E27FC236}">
              <a16:creationId xmlns:a16="http://schemas.microsoft.com/office/drawing/2014/main" id="{1C59E4DD-B208-438F-A446-521EA835B3D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199981" y="397210"/>
          <a:ext cx="850762" cy="240643"/>
        </a:xfrm>
        <a:prstGeom prst="rect">
          <a:avLst/>
        </a:prstGeom>
        <a:noFill/>
        <a:ln w="9525">
          <a:noFill/>
          <a:miter lim="800000"/>
          <a:headEnd/>
          <a:tailEnd/>
        </a:ln>
      </xdr:spPr>
    </xdr:pic>
    <xdr:clientData/>
  </xdr:twoCellAnchor>
  <xdr:twoCellAnchor editAs="oneCell">
    <xdr:from>
      <xdr:col>4</xdr:col>
      <xdr:colOff>124362</xdr:colOff>
      <xdr:row>1</xdr:row>
      <xdr:rowOff>74612</xdr:rowOff>
    </xdr:from>
    <xdr:to>
      <xdr:col>5</xdr:col>
      <xdr:colOff>443677</xdr:colOff>
      <xdr:row>3</xdr:row>
      <xdr:rowOff>143286</xdr:rowOff>
    </xdr:to>
    <xdr:pic>
      <xdr:nvPicPr>
        <xdr:cNvPr id="10" name="Picture 333">
          <a:extLst>
            <a:ext uri="{FF2B5EF4-FFF2-40B4-BE49-F238E27FC236}">
              <a16:creationId xmlns:a16="http://schemas.microsoft.com/office/drawing/2014/main" id="{64877ED2-854A-4A8D-B280-72BA5D154B01}"/>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140151" y="243054"/>
          <a:ext cx="800579" cy="413579"/>
        </a:xfrm>
        <a:prstGeom prst="rect">
          <a:avLst/>
        </a:prstGeom>
        <a:noFill/>
        <a:ln w="9525">
          <a:noFill/>
          <a:miter lim="800000"/>
          <a:headEnd/>
          <a:tailEnd/>
        </a:ln>
      </xdr:spPr>
    </xdr:pic>
    <xdr:clientData/>
  </xdr:twoCellAnchor>
  <xdr:twoCellAnchor editAs="oneCell">
    <xdr:from>
      <xdr:col>1</xdr:col>
      <xdr:colOff>0</xdr:colOff>
      <xdr:row>0</xdr:row>
      <xdr:rowOff>16042</xdr:rowOff>
    </xdr:from>
    <xdr:to>
      <xdr:col>2</xdr:col>
      <xdr:colOff>296779</xdr:colOff>
      <xdr:row>4</xdr:row>
      <xdr:rowOff>41130</xdr:rowOff>
    </xdr:to>
    <xdr:pic>
      <xdr:nvPicPr>
        <xdr:cNvPr id="11" name="Imagen 10">
          <a:extLst>
            <a:ext uri="{FF2B5EF4-FFF2-40B4-BE49-F238E27FC236}">
              <a16:creationId xmlns:a16="http://schemas.microsoft.com/office/drawing/2014/main" id="{6DAE2B8C-2A0D-42FB-85A2-17DB43E558F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1012" b="-4479"/>
        <a:stretch/>
      </xdr:blipFill>
      <xdr:spPr>
        <a:xfrm>
          <a:off x="184484" y="16042"/>
          <a:ext cx="617621" cy="771046"/>
        </a:xfrm>
        <a:prstGeom prst="rect">
          <a:avLst/>
        </a:prstGeom>
      </xdr:spPr>
    </xdr:pic>
    <xdr:clientData/>
  </xdr:twoCellAnchor>
  <xdr:twoCellAnchor editAs="oneCell">
    <xdr:from>
      <xdr:col>2</xdr:col>
      <xdr:colOff>404675</xdr:colOff>
      <xdr:row>0</xdr:row>
      <xdr:rowOff>116569</xdr:rowOff>
    </xdr:from>
    <xdr:to>
      <xdr:col>2</xdr:col>
      <xdr:colOff>1235243</xdr:colOff>
      <xdr:row>3</xdr:row>
      <xdr:rowOff>161260</xdr:rowOff>
    </xdr:to>
    <xdr:pic>
      <xdr:nvPicPr>
        <xdr:cNvPr id="2" name="Imagen 1">
          <a:extLst>
            <a:ext uri="{FF2B5EF4-FFF2-40B4-BE49-F238E27FC236}">
              <a16:creationId xmlns:a16="http://schemas.microsoft.com/office/drawing/2014/main" id="{8D9CEF68-FA9E-4D5E-93E8-D816A519424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910001" y="116569"/>
          <a:ext cx="830568" cy="5580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1022875</xdr:colOff>
      <xdr:row>2</xdr:row>
      <xdr:rowOff>132704</xdr:rowOff>
    </xdr:from>
    <xdr:ext cx="1020178" cy="240588"/>
    <xdr:pic>
      <xdr:nvPicPr>
        <xdr:cNvPr id="2" name="3 Imagen">
          <a:extLst>
            <a:ext uri="{FF2B5EF4-FFF2-40B4-BE49-F238E27FC236}">
              <a16:creationId xmlns:a16="http://schemas.microsoft.com/office/drawing/2014/main" id="{FCF69D0D-DB32-8147-A7C1-B77A62BBBFB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548395" y="478144"/>
          <a:ext cx="1020178" cy="240588"/>
        </a:xfrm>
        <a:prstGeom prst="rect">
          <a:avLst/>
        </a:prstGeom>
        <a:noFill/>
        <a:ln w="9525">
          <a:noFill/>
          <a:miter lim="800000"/>
          <a:headEnd/>
          <a:tailEnd/>
        </a:ln>
      </xdr:spPr>
    </xdr:pic>
    <xdr:clientData/>
  </xdr:oneCellAnchor>
  <xdr:oneCellAnchor>
    <xdr:from>
      <xdr:col>4</xdr:col>
      <xdr:colOff>522619</xdr:colOff>
      <xdr:row>1</xdr:row>
      <xdr:rowOff>71326</xdr:rowOff>
    </xdr:from>
    <xdr:ext cx="883676" cy="487473"/>
    <xdr:pic>
      <xdr:nvPicPr>
        <xdr:cNvPr id="3" name="Picture 333">
          <a:extLst>
            <a:ext uri="{FF2B5EF4-FFF2-40B4-BE49-F238E27FC236}">
              <a16:creationId xmlns:a16="http://schemas.microsoft.com/office/drawing/2014/main" id="{C9B05D2D-A8A2-7C42-B6B6-46B2DC1921C9}"/>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694059" y="244046"/>
          <a:ext cx="883676" cy="487473"/>
        </a:xfrm>
        <a:prstGeom prst="rect">
          <a:avLst/>
        </a:prstGeom>
        <a:noFill/>
        <a:ln w="9525">
          <a:noFill/>
          <a:miter lim="800000"/>
          <a:headEnd/>
          <a:tailEnd/>
        </a:ln>
      </xdr:spPr>
    </xdr:pic>
    <xdr:clientData/>
  </xdr:oneCellAnchor>
  <xdr:twoCellAnchor editAs="oneCell">
    <xdr:from>
      <xdr:col>1</xdr:col>
      <xdr:colOff>45720</xdr:colOff>
      <xdr:row>0</xdr:row>
      <xdr:rowOff>0</xdr:rowOff>
    </xdr:from>
    <xdr:to>
      <xdr:col>1</xdr:col>
      <xdr:colOff>729403</xdr:colOff>
      <xdr:row>4</xdr:row>
      <xdr:rowOff>91440</xdr:rowOff>
    </xdr:to>
    <xdr:pic>
      <xdr:nvPicPr>
        <xdr:cNvPr id="8" name="Imagen 7">
          <a:extLst>
            <a:ext uri="{FF2B5EF4-FFF2-40B4-BE49-F238E27FC236}">
              <a16:creationId xmlns:a16="http://schemas.microsoft.com/office/drawing/2014/main" id="{26268030-A82D-B245-91CE-BEF52FB1FBA2}"/>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923" b="-3728"/>
        <a:stretch/>
      </xdr:blipFill>
      <xdr:spPr>
        <a:xfrm>
          <a:off x="228600" y="0"/>
          <a:ext cx="683683" cy="782320"/>
        </a:xfrm>
        <a:prstGeom prst="rect">
          <a:avLst/>
        </a:prstGeom>
      </xdr:spPr>
    </xdr:pic>
    <xdr:clientData/>
  </xdr:twoCellAnchor>
  <xdr:twoCellAnchor editAs="oneCell">
    <xdr:from>
      <xdr:col>2</xdr:col>
      <xdr:colOff>102024</xdr:colOff>
      <xdr:row>0</xdr:row>
      <xdr:rowOff>117150</xdr:rowOff>
    </xdr:from>
    <xdr:to>
      <xdr:col>2</xdr:col>
      <xdr:colOff>1031558</xdr:colOff>
      <xdr:row>4</xdr:row>
      <xdr:rowOff>50800</xdr:rowOff>
    </xdr:to>
    <xdr:pic>
      <xdr:nvPicPr>
        <xdr:cNvPr id="9" name="Imagen 8">
          <a:extLst>
            <a:ext uri="{FF2B5EF4-FFF2-40B4-BE49-F238E27FC236}">
              <a16:creationId xmlns:a16="http://schemas.microsoft.com/office/drawing/2014/main" id="{8E267431-1E65-5E48-AF16-DBAE176EC9C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016424" y="117150"/>
          <a:ext cx="929534" cy="6245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161637</xdr:colOff>
      <xdr:row>0</xdr:row>
      <xdr:rowOff>13565</xdr:rowOff>
    </xdr:from>
    <xdr:to>
      <xdr:col>1</xdr:col>
      <xdr:colOff>709084</xdr:colOff>
      <xdr:row>4</xdr:row>
      <xdr:rowOff>127000</xdr:rowOff>
    </xdr:to>
    <xdr:pic>
      <xdr:nvPicPr>
        <xdr:cNvPr id="3" name="Imagen 2">
          <a:extLst>
            <a:ext uri="{FF2B5EF4-FFF2-40B4-BE49-F238E27FC236}">
              <a16:creationId xmlns:a16="http://schemas.microsoft.com/office/drawing/2014/main" id="{758A065B-3B07-2E45-89C6-88C9EB954C0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092" t="10813" r="-1" b="-6447"/>
        <a:stretch/>
      </xdr:blipFill>
      <xdr:spPr>
        <a:xfrm>
          <a:off x="161637" y="13565"/>
          <a:ext cx="732174" cy="806162"/>
        </a:xfrm>
        <a:prstGeom prst="rect">
          <a:avLst/>
        </a:prstGeom>
      </xdr:spPr>
    </xdr:pic>
    <xdr:clientData/>
  </xdr:twoCellAnchor>
  <xdr:twoCellAnchor editAs="oneCell">
    <xdr:from>
      <xdr:col>2</xdr:col>
      <xdr:colOff>59075</xdr:colOff>
      <xdr:row>0</xdr:row>
      <xdr:rowOff>165651</xdr:rowOff>
    </xdr:from>
    <xdr:to>
      <xdr:col>2</xdr:col>
      <xdr:colOff>912297</xdr:colOff>
      <xdr:row>4</xdr:row>
      <xdr:rowOff>46182</xdr:rowOff>
    </xdr:to>
    <xdr:pic>
      <xdr:nvPicPr>
        <xdr:cNvPr id="4" name="Imagen 3">
          <a:extLst>
            <a:ext uri="{FF2B5EF4-FFF2-40B4-BE49-F238E27FC236}">
              <a16:creationId xmlns:a16="http://schemas.microsoft.com/office/drawing/2014/main" id="{AC88827B-E943-5748-933F-2EAFF92745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71166" y="165651"/>
          <a:ext cx="853222" cy="5732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5</xdr:col>
      <xdr:colOff>571500</xdr:colOff>
      <xdr:row>2</xdr:row>
      <xdr:rowOff>57468</xdr:rowOff>
    </xdr:from>
    <xdr:ext cx="824860" cy="259597"/>
    <xdr:pic>
      <xdr:nvPicPr>
        <xdr:cNvPr id="2" name="3 Imagen">
          <a:extLst>
            <a:ext uri="{FF2B5EF4-FFF2-40B4-BE49-F238E27FC236}">
              <a16:creationId xmlns:a16="http://schemas.microsoft.com/office/drawing/2014/main" id="{A8E68F82-0C77-1748-90D2-2945337C7BF7}"/>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809740" y="382588"/>
          <a:ext cx="824860" cy="259597"/>
        </a:xfrm>
        <a:prstGeom prst="rect">
          <a:avLst/>
        </a:prstGeom>
        <a:noFill/>
        <a:ln w="9525">
          <a:noFill/>
          <a:miter lim="800000"/>
          <a:headEnd/>
          <a:tailEnd/>
        </a:ln>
      </xdr:spPr>
    </xdr:pic>
    <xdr:clientData/>
  </xdr:oneCellAnchor>
  <xdr:oneCellAnchor>
    <xdr:from>
      <xdr:col>4</xdr:col>
      <xdr:colOff>1825026</xdr:colOff>
      <xdr:row>1</xdr:row>
      <xdr:rowOff>58737</xdr:rowOff>
    </xdr:from>
    <xdr:ext cx="965289" cy="418078"/>
    <xdr:pic>
      <xdr:nvPicPr>
        <xdr:cNvPr id="3" name="Picture 333">
          <a:extLst>
            <a:ext uri="{FF2B5EF4-FFF2-40B4-BE49-F238E27FC236}">
              <a16:creationId xmlns:a16="http://schemas.microsoft.com/office/drawing/2014/main" id="{17A22E7F-44F7-D841-B2F8-C5E2C68BCA7A}"/>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685826" y="221297"/>
          <a:ext cx="965289" cy="418078"/>
        </a:xfrm>
        <a:prstGeom prst="rect">
          <a:avLst/>
        </a:prstGeom>
        <a:noFill/>
        <a:ln w="9525">
          <a:noFill/>
          <a:miter lim="800000"/>
          <a:headEnd/>
          <a:tailEnd/>
        </a:ln>
      </xdr:spPr>
    </xdr:pic>
    <xdr:clientData/>
  </xdr:oneCellAnchor>
  <xdr:oneCellAnchor>
    <xdr:from>
      <xdr:col>1</xdr:col>
      <xdr:colOff>1</xdr:colOff>
      <xdr:row>0</xdr:row>
      <xdr:rowOff>76200</xdr:rowOff>
    </xdr:from>
    <xdr:ext cx="673880" cy="611284"/>
    <xdr:pic>
      <xdr:nvPicPr>
        <xdr:cNvPr id="4" name="Imagen 3">
          <a:extLst>
            <a:ext uri="{FF2B5EF4-FFF2-40B4-BE49-F238E27FC236}">
              <a16:creationId xmlns:a16="http://schemas.microsoft.com/office/drawing/2014/main" id="{BD5AABAC-8487-994D-BE5E-36983D09ABA9}"/>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r="64651"/>
        <a:stretch/>
      </xdr:blipFill>
      <xdr:spPr>
        <a:xfrm>
          <a:off x="876301" y="76200"/>
          <a:ext cx="673880" cy="611284"/>
        </a:xfrm>
        <a:prstGeom prst="rect">
          <a:avLst/>
        </a:prstGeom>
      </xdr:spPr>
    </xdr:pic>
    <xdr:clientData/>
  </xdr:oneCellAnchor>
  <xdr:oneCellAnchor>
    <xdr:from>
      <xdr:col>2</xdr:col>
      <xdr:colOff>365762</xdr:colOff>
      <xdr:row>0</xdr:row>
      <xdr:rowOff>128270</xdr:rowOff>
    </xdr:from>
    <xdr:ext cx="1073572" cy="606135"/>
    <xdr:pic>
      <xdr:nvPicPr>
        <xdr:cNvPr id="5" name="Imagen 4">
          <a:extLst>
            <a:ext uri="{FF2B5EF4-FFF2-40B4-BE49-F238E27FC236}">
              <a16:creationId xmlns:a16="http://schemas.microsoft.com/office/drawing/2014/main" id="{02480C6B-1FA0-4242-923A-AD89B2C4ED43}"/>
            </a:ext>
          </a:extLst>
        </xdr:cNvPr>
        <xdr:cNvPicPr>
          <a:picLocks noChangeAspect="1"/>
        </xdr:cNvPicPr>
      </xdr:nvPicPr>
      <xdr:blipFill>
        <a:blip xmlns:r="http://schemas.openxmlformats.org/officeDocument/2006/relationships" r:embed="rId4"/>
        <a:stretch>
          <a:fillRect/>
        </a:stretch>
      </xdr:blipFill>
      <xdr:spPr>
        <a:xfrm>
          <a:off x="806029" y="128270"/>
          <a:ext cx="1073572" cy="60613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4</xdr:col>
      <xdr:colOff>365125</xdr:colOff>
      <xdr:row>2</xdr:row>
      <xdr:rowOff>23813</xdr:rowOff>
    </xdr:from>
    <xdr:to>
      <xdr:col>4</xdr:col>
      <xdr:colOff>1189985</xdr:colOff>
      <xdr:row>3</xdr:row>
      <xdr:rowOff>101600</xdr:rowOff>
    </xdr:to>
    <xdr:pic>
      <xdr:nvPicPr>
        <xdr:cNvPr id="5" name="3 Imagen">
          <a:extLst>
            <a:ext uri="{FF2B5EF4-FFF2-40B4-BE49-F238E27FC236}">
              <a16:creationId xmlns:a16="http://schemas.microsoft.com/office/drawing/2014/main" id="{DBB077B6-1BE3-4DD5-AF63-3F737B7ED3A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70600" y="347663"/>
          <a:ext cx="824860" cy="239712"/>
        </a:xfrm>
        <a:prstGeom prst="rect">
          <a:avLst/>
        </a:prstGeom>
        <a:noFill/>
        <a:ln w="9525">
          <a:noFill/>
          <a:miter lim="800000"/>
          <a:headEnd/>
          <a:tailEnd/>
        </a:ln>
      </xdr:spPr>
    </xdr:pic>
    <xdr:clientData/>
  </xdr:twoCellAnchor>
  <xdr:twoCellAnchor editAs="oneCell">
    <xdr:from>
      <xdr:col>3</xdr:col>
      <xdr:colOff>1454186</xdr:colOff>
      <xdr:row>1</xdr:row>
      <xdr:rowOff>17462</xdr:rowOff>
    </xdr:from>
    <xdr:to>
      <xdr:col>4</xdr:col>
      <xdr:colOff>273565</xdr:colOff>
      <xdr:row>3</xdr:row>
      <xdr:rowOff>101330</xdr:rowOff>
    </xdr:to>
    <xdr:pic>
      <xdr:nvPicPr>
        <xdr:cNvPr id="7" name="Picture 333">
          <a:extLst>
            <a:ext uri="{FF2B5EF4-FFF2-40B4-BE49-F238E27FC236}">
              <a16:creationId xmlns:a16="http://schemas.microsoft.com/office/drawing/2014/main" id="{34BC17E4-6F59-4BB6-B90B-9839604311D1}"/>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21336" y="179387"/>
          <a:ext cx="657704" cy="407718"/>
        </a:xfrm>
        <a:prstGeom prst="rect">
          <a:avLst/>
        </a:prstGeom>
        <a:noFill/>
        <a:ln w="9525">
          <a:noFill/>
          <a:miter lim="800000"/>
          <a:headEnd/>
          <a:tailEnd/>
        </a:ln>
      </xdr:spPr>
    </xdr:pic>
    <xdr:clientData/>
  </xdr:twoCellAnchor>
  <xdr:twoCellAnchor editAs="oneCell">
    <xdr:from>
      <xdr:col>1</xdr:col>
      <xdr:colOff>19050</xdr:colOff>
      <xdr:row>0</xdr:row>
      <xdr:rowOff>104775</xdr:rowOff>
    </xdr:from>
    <xdr:to>
      <xdr:col>2</xdr:col>
      <xdr:colOff>76200</xdr:colOff>
      <xdr:row>4</xdr:row>
      <xdr:rowOff>69919</xdr:rowOff>
    </xdr:to>
    <xdr:pic>
      <xdr:nvPicPr>
        <xdr:cNvPr id="8" name="Imagen 7">
          <a:extLst>
            <a:ext uri="{FF2B5EF4-FFF2-40B4-BE49-F238E27FC236}">
              <a16:creationId xmlns:a16="http://schemas.microsoft.com/office/drawing/2014/main" id="{8FFB92FF-6D0B-4ACF-8DF4-6634556D5140}"/>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r="64116"/>
        <a:stretch/>
      </xdr:blipFill>
      <xdr:spPr>
        <a:xfrm>
          <a:off x="133350" y="104775"/>
          <a:ext cx="638175" cy="612844"/>
        </a:xfrm>
        <a:prstGeom prst="rect">
          <a:avLst/>
        </a:prstGeom>
      </xdr:spPr>
    </xdr:pic>
    <xdr:clientData/>
  </xdr:twoCellAnchor>
  <xdr:twoCellAnchor editAs="oneCell">
    <xdr:from>
      <xdr:col>2</xdr:col>
      <xdr:colOff>76201</xdr:colOff>
      <xdr:row>0</xdr:row>
      <xdr:rowOff>133351</xdr:rowOff>
    </xdr:from>
    <xdr:to>
      <xdr:col>2</xdr:col>
      <xdr:colOff>1305546</xdr:colOff>
      <xdr:row>4</xdr:row>
      <xdr:rowOff>114301</xdr:rowOff>
    </xdr:to>
    <xdr:pic>
      <xdr:nvPicPr>
        <xdr:cNvPr id="2" name="Imagen 1">
          <a:extLst>
            <a:ext uri="{FF2B5EF4-FFF2-40B4-BE49-F238E27FC236}">
              <a16:creationId xmlns:a16="http://schemas.microsoft.com/office/drawing/2014/main" id="{F3B3C6CB-B9E6-4B64-A637-E5DA8981C16B}"/>
            </a:ext>
          </a:extLst>
        </xdr:cNvPr>
        <xdr:cNvPicPr>
          <a:picLocks noChangeAspect="1"/>
        </xdr:cNvPicPr>
      </xdr:nvPicPr>
      <xdr:blipFill>
        <a:blip xmlns:r="http://schemas.openxmlformats.org/officeDocument/2006/relationships" r:embed="rId4"/>
        <a:stretch>
          <a:fillRect/>
        </a:stretch>
      </xdr:blipFill>
      <xdr:spPr>
        <a:xfrm>
          <a:off x="863601" y="133351"/>
          <a:ext cx="1229345" cy="6413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158750</xdr:colOff>
      <xdr:row>1</xdr:row>
      <xdr:rowOff>66674</xdr:rowOff>
    </xdr:from>
    <xdr:to>
      <xdr:col>10</xdr:col>
      <xdr:colOff>2333625</xdr:colOff>
      <xdr:row>35</xdr:row>
      <xdr:rowOff>19050</xdr:rowOff>
    </xdr:to>
    <xdr:graphicFrame macro="">
      <xdr:nvGraphicFramePr>
        <xdr:cNvPr id="5" name="4 Gráfico">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36</xdr:row>
      <xdr:rowOff>104775</xdr:rowOff>
    </xdr:from>
    <xdr:to>
      <xdr:col>10</xdr:col>
      <xdr:colOff>2314575</xdr:colOff>
      <xdr:row>70</xdr:row>
      <xdr:rowOff>57151</xdr:rowOff>
    </xdr:to>
    <xdr:graphicFrame macro="">
      <xdr:nvGraphicFramePr>
        <xdr:cNvPr id="6" name="5 Gráfico">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84666</xdr:rowOff>
    </xdr:from>
    <xdr:to>
      <xdr:col>3</xdr:col>
      <xdr:colOff>533400</xdr:colOff>
      <xdr:row>1</xdr:row>
      <xdr:rowOff>15240</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4475" r="698" b="-1661"/>
        <a:stretch/>
      </xdr:blipFill>
      <xdr:spPr>
        <a:xfrm>
          <a:off x="0" y="84666"/>
          <a:ext cx="2240280" cy="814494"/>
        </a:xfrm>
        <a:prstGeom prst="rect">
          <a:avLst/>
        </a:prstGeom>
      </xdr:spPr>
    </xdr:pic>
    <xdr:clientData/>
  </xdr:twoCellAnchor>
  <xdr:twoCellAnchor editAs="oneCell">
    <xdr:from>
      <xdr:col>10</xdr:col>
      <xdr:colOff>1057454</xdr:colOff>
      <xdr:row>0</xdr:row>
      <xdr:rowOff>66675</xdr:rowOff>
    </xdr:from>
    <xdr:to>
      <xdr:col>10</xdr:col>
      <xdr:colOff>2173544</xdr:colOff>
      <xdr:row>0</xdr:row>
      <xdr:rowOff>816548</xdr:rowOff>
    </xdr:to>
    <xdr:pic>
      <xdr:nvPicPr>
        <xdr:cNvPr id="2" name="Imagen 1">
          <a:extLst>
            <a:ext uri="{FF2B5EF4-FFF2-40B4-BE49-F238E27FC236}">
              <a16:creationId xmlns:a16="http://schemas.microsoft.com/office/drawing/2014/main" id="{5AE59B3E-28E9-4FA9-86B3-BFD5A6E2BC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311694" y="66675"/>
          <a:ext cx="1116090" cy="7498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Rtfile/mant_hidronorte-ing_mant-gestion%20smhn/VCO/SDC/DEP/Orientaciones%20Comerciales/2001/Param_Cu_2001.xls" TargetMode="External"/><Relationship Id="rId1" Type="http://schemas.openxmlformats.org/officeDocument/2006/relationships/externalLinkPath" Target="/Rtfile/mant_hidronorte-ing_mant-gestion%20smhn/VCO/SDC/DEP/Orientaciones%20Comerciales/2001/Param_Cu_20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tfile\mant_hidronorte-ing_mant-gestion%20smhn\VCO\SDC\DEP\Orientaciones%20Comerciales\2001\Param_Cu_20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tfile\mant_hidronorte-ing_mant-gestion%20smhn\2003\PROGRAMA%20DE%20PRODUCCION\DOCUMENTOS\P0%202004-A%201348.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Rtfile/mant_hidronorte-ing_mant-gestion%20smhn/2003/PROGRAMA%20DE%20PRODUCCION/DOCUMENTOS/P0%202004-A%201348.xls" TargetMode="External"/><Relationship Id="rId1" Type="http://schemas.openxmlformats.org/officeDocument/2006/relationships/externalLinkPath" Target="/Rtfile/mant_hidronorte-ing_mant-gestion%20smhn/2003/PROGRAMA%20DE%20PRODUCCION/DOCUMENTOS/P0%202004-A%201348.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reveco_movil/c/JOSE/R_TOMIC/ZIP2/RADO_EX3.XLS" TargetMode="External"/><Relationship Id="rId1" Type="http://schemas.openxmlformats.org/officeDocument/2006/relationships/externalLinkPath" Target="/Freveco_movil/c/JOSE/R_TOMIC/ZIP2/RADO_EX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reveco_movil\c\JOSE\R_TOMIC\ZIP2\RADO_EX3.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Rtfile/ges_cal-exelencia_operacional_gh/Gastos2001/Noviembre/ER%20_Nov.xls" TargetMode="External"/><Relationship Id="rId1" Type="http://schemas.openxmlformats.org/officeDocument/2006/relationships/externalLinkPath" Target="/Rtfile/ges_cal-exelencia_operacional_gh/Gastos2001/Noviembre/ER%20_Nov.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Rtfile\ges_cal-exelencia_operacional_gh\Gastos2001\Noviembre\ER%20_Nov.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Rtfile/ges_cal-exelencia_operacional_gh/Novedades%20Locomotoras%20T8/BALANCE%20METALURGICO_2004/PROG%20REV%202%2016%20Ene%202004.xls" TargetMode="External"/><Relationship Id="rId1" Type="http://schemas.openxmlformats.org/officeDocument/2006/relationships/externalLinkPath" Target="/Rtfile/ges_cal-exelencia_operacional_gh/Novedades%20Locomotoras%20T8/BALANCE%20METALURGICO_2004/PROG%20REV%202%2016%20Ene%20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Rtfile\ges_cal-exelencia_operacional_gh\Novedades%20Locomotoras%20T8\BALANCE%20METALURGICO_2004\PROG%20REV%202%2016%20Ene%2020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tfile\DocCBaseInv\CBV\Cbv2001\CASO%20BASE%20TRABAJO%202001.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Rtfile/DocCBaseInv/CBV/Cbv2001/CASO%20BASE%20TRABAJO%202001.xls" TargetMode="External"/><Relationship Id="rId1" Type="http://schemas.openxmlformats.org/officeDocument/2006/relationships/externalLinkPath" Target="/Rtfile/DocCBaseInv/CBV/Cbv2001/CASO%20BASE%20TRABAJO%2020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Rtfile\mant_hidronorte-ing_mant-gestion%20smhn\Datos\UCP2001\TRASPASO%20CONTROL\UCP\Files.xls\2001\08-Agosto-01\2D_Datos99.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Rtfile/mant_hidronorte-ing_mant-gestion%20smhn/Datos/UCP2001/TRASPASO%20CONTROL/UCP/Files.xls/2001/08-Agosto-01/2D_Datos99.xls" TargetMode="External"/><Relationship Id="rId1" Type="http://schemas.openxmlformats.org/officeDocument/2006/relationships/externalLinkPath" Target="/Rtfile/mant_hidronorte-ing_mant-gestion%20smhn/Datos/UCP2001/TRASPASO%20CONTROL/UCP/Files.xls/2001/08-Agosto-01/2D_Datos99.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chfile10/Control%20de%20Gesti&#243;n/DOCUME~1/arive001/CONFIG~1/Temp/Salvador/Arbol%20de%20Producci&#243;n/Arbol%20Mo.xls" TargetMode="External"/><Relationship Id="rId1" Type="http://schemas.openxmlformats.org/officeDocument/2006/relationships/externalLinkPath" Target="/chfile10/Control%20de%20Gesti&#243;n/DOCUME~1/arive001/CONFIG~1/Temp/Salvador/Arbol%20de%20Producci&#243;n/Arbol%20Mo.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hfile10\Control%20de%20Gesti&#243;n\DOCUME~1\arive001\CONFIG~1\Temp\Salvador\Arbol%20de%20Producci&#243;n\Arbol%20M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huq1413\Pgestion\Control%20y%20seguimiento%202004\Propuesta%20Informe%20Cartera%20PMG.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Chuq1413/Pgestion/Control%20y%20seguimiento%202004/Propuesta%20Informe%20Cartera%20PMG.xls" TargetMode="External"/><Relationship Id="rId1" Type="http://schemas.openxmlformats.org/officeDocument/2006/relationships/externalLinkPath" Target="/Chuq1413/Pgestion/Control%20y%20seguimiento%202004/Propuesta%20Informe%20Cartera%20PM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KSOTO\Applus%20Norcontrol%202014\PROGRAMA%20AUDITORIAS%20EECC%202013\Nueva%20Planillas%20Auditoria\Planilla%20de%20Verificaci&#243;n%20RESSO%202013%20(OK).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Andreita/Ultima%20Info/PESSO/RESSO/6%201%201%20Planilla%20corporativa%20de%20verificaci&#243;n%20del%20RESSO%20-%20130831.xlsm" TargetMode="External"/><Relationship Id="rId1" Type="http://schemas.openxmlformats.org/officeDocument/2006/relationships/externalLinkPath" Target="/Andreita/Ultima%20Info/PESSO/RESSO/6%201%201%20Planilla%20corporativa%20de%20verificaci&#243;n%20del%20RESSO%20-%20130831.xlsm"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file:///D:\Documents%20and%20Settings\cgonz023\Configuraci&#243;n%20local\Archivos%20temporales%20de%20Internet\Content.Outlook\0YFNTEWD\DOCUMENTOS\APPLUS\ESTADISTICA\DOCUMENTOS\APPLUS\ESTADISTICA\DOCUMENTOS\APPLUS\ESTADISTICA\Diaria_Andina_2009%20(version%201).xls?4C1894CF" TargetMode="External"/><Relationship Id="rId1" Type="http://schemas.openxmlformats.org/officeDocument/2006/relationships/externalLinkPath" Target="file:///\\4C1894CF\Diaria_Andina_2009%20(version%2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Rtfile\mant_hidronorte-ing_mant-gestion%20smhn\rafael\A2003\lplazo\00PND2004LP\evaeco\PNDREVISADO\PND_2004J1.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Rtfile/mant_hidronorte-ing_mant-gestion%20smhn/rafael/A2003/lplazo/00PND2004LP/evaeco/PNDREVISADO/PND_2004J1.xls" TargetMode="External"/><Relationship Id="rId1" Type="http://schemas.openxmlformats.org/officeDocument/2006/relationships/externalLinkPath" Target="/Rtfile/mant_hidronorte-ing_mant-gestion%20smhn/rafael/A2003/lplazo/00PND2004LP/evaeco/PNDREVISADO/PND_2004J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reveco_movil\c\ZIP2\RADO_EXT.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reveco_movil/c/ZIP2/RADO_EXT.XLS" TargetMode="External"/><Relationship Id="rId1" Type="http://schemas.openxmlformats.org/officeDocument/2006/relationships/externalLinkPath" Target="/Freveco_movil/c/ZIP2/RADO_EX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Rtfile\MSala012\DOCUME~1\mcarter\CONFIG~1\Temp\CASO%20BASE%202003%20RESUMEN%20TRABAJO.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Rtfile/MSala012/DOCUME~1/mcarter/CONFIG~1/Temp/CASO%20BASE%202003%20RESUMEN%20TRABAJO.xls" TargetMode="External"/><Relationship Id="rId1" Type="http://schemas.openxmlformats.org/officeDocument/2006/relationships/externalLinkPath" Target="/Rtfile/MSala012/DOCUME~1/mcarter/CONFIG~1/Temp/CASO%20BASE%202003%20RESUMEN%20TRABAJO.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MINE%20UNIT%20COSTS%20&amp;%20CONSUMPTION%20C"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odyane\c\DOCUMENTOS%20DE%20TRABAJO\SALA%20ACOPIO%20BASURA%20Y%20MUELLE\CARTILLAS%20DE%20P%20&amp;%20C\SAL_CTRO.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Rodyane/c/DOCUMENTOS%20DE%20TRABAJO/SALA%20ACOPIO%20BASURA%20Y%20MUELLE/CARTILLAS%20DE%20P%20&amp;%20C/SAL_CTRO.XLS" TargetMode="External"/><Relationship Id="rId1" Type="http://schemas.openxmlformats.org/officeDocument/2006/relationships/externalLinkPath" Target="/Rodyane/c/DOCUMENTOS%20DE%20TRABAJO/SALA%20ACOPIO%20BASURA%20Y%20MUELLE/CARTILLAS%20DE%20P%20&amp;%20C/SAL_CTRO.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Rtfile/mant_hidronorte-ing_mant-gestion%20smhn/DOCUME~1/jbarture/CONFIG~1/Temp/TONDIA2004.xls" TargetMode="External"/><Relationship Id="rId1" Type="http://schemas.openxmlformats.org/officeDocument/2006/relationships/externalLinkPath" Target="/Rtfile/mant_hidronorte-ing_mant-gestion%20smhn/DOCUME~1/jbarture/CONFIG~1/Temp/TONDIA20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Rtfile\mant_hidronorte-ing_mant-gestion%20smhn\DOCUME~1\jbarture\CONFIG~1\Temp\TONDIA20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huq1413\Pgestion\Personales\EFoix\Eduardo\SGP\Cartera%20Proyectos%20Refiner&#237;a%20V1102%20(2412).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chuq1413/Pgestion/Personales/EFoix/Eduardo/SGP/Cartera%20Proyectos%20Refiner&#237;a%20V1102%20(2412).xls" TargetMode="External"/><Relationship Id="rId1" Type="http://schemas.openxmlformats.org/officeDocument/2006/relationships/externalLinkPath" Target="/chuq1413/Pgestion/Personales/EFoix/Eduardo/SGP/Cartera%20Proyectos%20Refiner&#237;a%20V1102%20(241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Andreita\Ultima%20Info\PESSO\RESSO\6%201%201%20Planilla%20corporativa%20de%20verificaci&#243;n%20del%20RESSO%20-%20130831.xlsm"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Rtfile\ges_cal-exelencia_operacional_gh\Mis%20documentos\Jaime%20Smith\SMITH\GESTION\Produccion\Programas\Rev%202%202003-lunes%2016%20DIC-%20real%20cap_1.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Rtfile/ges_cal-exelencia_operacional_gh/Mis%20documentos/Jaime%20Smith/SMITH/GESTION/Produccion/Programas/Rev%202%202003-lunes%2016%20DIC-%20real%20cap_1.xls" TargetMode="External"/><Relationship Id="rId1" Type="http://schemas.openxmlformats.org/officeDocument/2006/relationships/externalLinkPath" Target="/Rtfile/ges_cal-exelencia_operacional_gh/Mis%20documentos/Jaime%20Smith/SMITH/GESTION/Produccion/Programas/Rev%202%202003-lunes%2016%20DIC-%20real%20cap_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Mis%20documentos\MCN\Proy.%20Op\Proy.%20Op\API\JULIO01\UC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Rtfile\mant_hidronorte-ing_mant-gestion%20smhn\Respaldo%20CFUNES\CASO%20BASE%202002%20VERSION%20182%20ktsdC\MINA%202002B\PRECIOS%20CONCENTRADO%20CU%20%20MO%202002-B%20Mo%20correg.xls"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Rtfile/mant_hidronorte-ing_mant-gestion%20smhn/Respaldo%20CFUNES/CASO%20BASE%202002%20VERSION%20182%20ktsdC/MINA%202002B/PRECIOS%20CONCENTRADO%20CU%20%20MO%202002-B%20Mo%20correg.xls" TargetMode="External"/><Relationship Id="rId1" Type="http://schemas.openxmlformats.org/officeDocument/2006/relationships/externalLinkPath" Target="/Rtfile/mant_hidronorte-ing_mant-gestion%20smhn/Respaldo%20CFUNES/CASO%20BASE%202002%20VERSION%20182%20ktsdC/MINA%202002B/PRECIOS%20CONCENTRADO%20CU%20%20MO%202002-B%20Mo%20correg.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F\SERVING%20CONSULTORES%20REINALDO%20VALENZUELA%20D\AUDITORIAS\AUDITORIA%20EECC%202016\ASCENSORES%20HIDALGO\Copia%20de%20Check%20list%20Elemento%20N%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U REF (Cát's y Raf)"/>
      <sheetName val="CU NO REF (Blister y Cucons)"/>
      <sheetName val="FLETES CU"/>
      <sheetName val="Diario "/>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MODIFICACIONES"/>
      <sheetName val="Balances"/>
    </sheetNames>
    <sheetDataSet>
      <sheetData sheetId="0"/>
      <sheetData sheetId="1" refreshError="1">
        <row r="2">
          <cell r="Q2" t="str">
            <v>{GOTO}D11~</v>
          </cell>
        </row>
      </sheetData>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 Operating Expenses"/>
      <sheetName val="Total Op Costs"/>
      <sheetName val="Cash Flows"/>
      <sheetName val="Timing &amp; Assumptions"/>
      <sheetName val="Plant Unit Consumption"/>
      <sheetName val="Deferred CAPX"/>
      <sheetName val="Mine Plan"/>
      <sheetName val="Mine Op Costs"/>
      <sheetName val="Plant &amp; Mine CAPX"/>
      <sheetName val="Reven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ing &amp; Assumptions"/>
      <sheetName val="Mine Plan"/>
      <sheetName val="Mine Unit Consumption"/>
      <sheetName val="Mine Labor"/>
      <sheetName val="Plant Unit Consumption"/>
      <sheetName val="Detailed Const. Cpx"/>
      <sheetName val="Plant &amp; Mine CAPX"/>
      <sheetName val="Deferred CAPX"/>
      <sheetName val="Key Data &amp; Results"/>
      <sheetName val="Cash Flows"/>
      <sheetName val="Cash Flows Ext."/>
      <sheetName val="Inv Mina Exter."/>
      <sheetName val="M_Op Costs_Ext"/>
      <sheetName val="Análisis de Riesgo"/>
      <sheetName val="RESULT_EXTERN"/>
      <sheetName val="Eval_Econ_Ext"/>
      <sheetName val="Table of Contents"/>
      <sheetName val="Total Op Costs"/>
      <sheetName val="Plant Operating Expenses"/>
      <sheetName val="Mine Op Costs"/>
      <sheetName val="DELTA Mine Op Costs"/>
      <sheetName val="Labor Summary by Operation"/>
      <sheetName val="Labor by Function"/>
      <sheetName val="Cost Table"/>
      <sheetName val="Book Depreciation"/>
      <sheetName val="Revenues"/>
      <sheetName val="Hoja1"/>
      <sheetName val="Hoja2"/>
      <sheetName val="Hoja3"/>
      <sheetName val="EFPC"/>
      <sheetName val="PDI"/>
      <sheetName val="PAI"/>
      <sheetName val="HITOS"/>
      <sheetName val="13"/>
      <sheetName val="10 e"/>
      <sheetName val="9.c"/>
      <sheetName val="8."/>
      <sheetName val="MAF"/>
      <sheetName val="6."/>
      <sheetName val="Flujo Caja SIC"/>
      <sheetName val="Resumen Mensual"/>
      <sheetName val="Resumen Alt 2"/>
      <sheetName val="Resumen Alt 1"/>
      <sheetName val="AAA"/>
      <sheetName val="Contingencias"/>
      <sheetName val="Indirectos"/>
      <sheetName val="Ingeniería Básica"/>
      <sheetName val="ING. anterior"/>
      <sheetName val="WBS Alt 2"/>
      <sheetName val="Gantt"/>
      <sheetName val="Listado Partidas"/>
      <sheetName val="Mecánica"/>
      <sheetName val="Civil"/>
      <sheetName val="Electrica"/>
      <sheetName val="Instrumentación"/>
      <sheetName val="Ajustes Mensual"/>
      <sheetName val="UF-US$"/>
      <sheetName val="Timing_&amp;_Assumptions"/>
      <sheetName val="Mine_Plan"/>
      <sheetName val="Mine_Unit_Consumption"/>
      <sheetName val="Mine_Labor"/>
      <sheetName val="Plant_Unit_Consumption"/>
      <sheetName val="Detailed_Const__Cpx"/>
      <sheetName val="Plant_&amp;_Mine_CAPX"/>
      <sheetName val="Deferred_CAPX"/>
      <sheetName val="Key_Data_&amp;_Results"/>
      <sheetName val="Cash_Flows"/>
      <sheetName val="Cash_Flows_Ext_"/>
      <sheetName val="Inv_Mina_Exter_"/>
      <sheetName val="M_Op_Costs_Ext"/>
      <sheetName val="Análisis_de_Riesgo"/>
      <sheetName val="Table_of_Contents"/>
      <sheetName val="Total_Op_Costs"/>
      <sheetName val="Plant_Operating_Expenses"/>
      <sheetName val="Mine_Op_Costs"/>
      <sheetName val="DELTA_Mine_Op_Costs"/>
      <sheetName val="Labor_Summary_by_Operation"/>
      <sheetName val="Labor_by_Function"/>
      <sheetName val="Cost_Table"/>
      <sheetName val="Book_Depreciation"/>
      <sheetName val="10_e"/>
      <sheetName val="9_c"/>
      <sheetName val="8_"/>
      <sheetName val="6_"/>
      <sheetName val="Flujo_Caja_SIC"/>
      <sheetName val="Resumen_Mensual"/>
      <sheetName val="Resumen_Alt_2"/>
      <sheetName val="Resumen_Alt_1"/>
      <sheetName val="Ingeniería_Básica"/>
      <sheetName val="ING__anterior"/>
      <sheetName val="WBS_Alt_2"/>
      <sheetName val="Listado_Partidas"/>
      <sheetName val="Ajustes_Mensual"/>
      <sheetName val="Presentación"/>
      <sheetName val="Sched Month"/>
      <sheetName val="Milestone &amp; Weigth"/>
      <sheetName val="Mechanical"/>
      <sheetName val="RADO_EX3"/>
      <sheetName val="Fl. de Caja e Indices"/>
      <sheetName val="Evaluación"/>
      <sheetName val="Resumen"/>
      <sheetName val="Timing_&amp;_Assumptions4"/>
      <sheetName val="Mine_Plan4"/>
      <sheetName val="Mine_Unit_Consumption4"/>
      <sheetName val="Mine_Labor4"/>
      <sheetName val="Plant_Unit_Consumption4"/>
      <sheetName val="Detailed_Const__Cpx4"/>
      <sheetName val="Plant_&amp;_Mine_CAPX4"/>
      <sheetName val="Deferred_CAPX4"/>
      <sheetName val="Key_Data_&amp;_Results4"/>
      <sheetName val="Cash_Flows4"/>
      <sheetName val="Cash_Flows_Ext_4"/>
      <sheetName val="Inv_Mina_Exter_4"/>
      <sheetName val="M_Op_Costs_Ext4"/>
      <sheetName val="Análisis_de_Riesgo4"/>
      <sheetName val="Table_of_Contents4"/>
      <sheetName val="Total_Op_Costs4"/>
      <sheetName val="Plant_Operating_Expenses4"/>
      <sheetName val="Mine_Op_Costs4"/>
      <sheetName val="DELTA_Mine_Op_Costs4"/>
      <sheetName val="Labor_Summary_by_Operation4"/>
      <sheetName val="Labor_by_Function4"/>
      <sheetName val="Cost_Table4"/>
      <sheetName val="Book_Depreciation4"/>
      <sheetName val="10_e4"/>
      <sheetName val="9_c4"/>
      <sheetName val="8_4"/>
      <sheetName val="6_4"/>
      <sheetName val="Flujo_Caja_SIC4"/>
      <sheetName val="Resumen_Mensual4"/>
      <sheetName val="Resumen_Alt_24"/>
      <sheetName val="Resumen_Alt_14"/>
      <sheetName val="Ingeniería_Básica4"/>
      <sheetName val="ING__anterior4"/>
      <sheetName val="WBS_Alt_24"/>
      <sheetName val="Listado_Partidas4"/>
      <sheetName val="Ajustes_Mensual4"/>
      <sheetName val="Sched_Month3"/>
      <sheetName val="Milestone_&amp;_Weigth3"/>
      <sheetName val="Timing_&amp;_Assumptions1"/>
      <sheetName val="Mine_Plan1"/>
      <sheetName val="Mine_Unit_Consumption1"/>
      <sheetName val="Mine_Labor1"/>
      <sheetName val="Plant_Unit_Consumption1"/>
      <sheetName val="Detailed_Const__Cpx1"/>
      <sheetName val="Plant_&amp;_Mine_CAPX1"/>
      <sheetName val="Deferred_CAPX1"/>
      <sheetName val="Key_Data_&amp;_Results1"/>
      <sheetName val="Cash_Flows1"/>
      <sheetName val="Cash_Flows_Ext_1"/>
      <sheetName val="Inv_Mina_Exter_1"/>
      <sheetName val="M_Op_Costs_Ext1"/>
      <sheetName val="Análisis_de_Riesgo1"/>
      <sheetName val="Table_of_Contents1"/>
      <sheetName val="Total_Op_Costs1"/>
      <sheetName val="Plant_Operating_Expenses1"/>
      <sheetName val="Mine_Op_Costs1"/>
      <sheetName val="DELTA_Mine_Op_Costs1"/>
      <sheetName val="Labor_Summary_by_Operation1"/>
      <sheetName val="Labor_by_Function1"/>
      <sheetName val="Cost_Table1"/>
      <sheetName val="Book_Depreciation1"/>
      <sheetName val="10_e1"/>
      <sheetName val="9_c1"/>
      <sheetName val="8_1"/>
      <sheetName val="6_1"/>
      <sheetName val="Flujo_Caja_SIC1"/>
      <sheetName val="Resumen_Mensual1"/>
      <sheetName val="Resumen_Alt_21"/>
      <sheetName val="Resumen_Alt_11"/>
      <sheetName val="Ingeniería_Básica1"/>
      <sheetName val="ING__anterior1"/>
      <sheetName val="WBS_Alt_21"/>
      <sheetName val="Listado_Partidas1"/>
      <sheetName val="Ajustes_Mensual1"/>
      <sheetName val="Sched_Month"/>
      <sheetName val="Milestone_&amp;_Weigth"/>
      <sheetName val="Timing_&amp;_Assumptions2"/>
      <sheetName val="Mine_Plan2"/>
      <sheetName val="Mine_Unit_Consumption2"/>
      <sheetName val="Mine_Labor2"/>
      <sheetName val="Plant_Unit_Consumption2"/>
      <sheetName val="Detailed_Const__Cpx2"/>
      <sheetName val="Plant_&amp;_Mine_CAPX2"/>
      <sheetName val="Deferred_CAPX2"/>
      <sheetName val="Key_Data_&amp;_Results2"/>
      <sheetName val="Cash_Flows2"/>
      <sheetName val="Cash_Flows_Ext_2"/>
      <sheetName val="Inv_Mina_Exter_2"/>
      <sheetName val="M_Op_Costs_Ext2"/>
      <sheetName val="Análisis_de_Riesgo2"/>
      <sheetName val="Table_of_Contents2"/>
      <sheetName val="Total_Op_Costs2"/>
      <sheetName val="Plant_Operating_Expenses2"/>
      <sheetName val="Mine_Op_Costs2"/>
      <sheetName val="DELTA_Mine_Op_Costs2"/>
      <sheetName val="Labor_Summary_by_Operation2"/>
      <sheetName val="Labor_by_Function2"/>
      <sheetName val="Cost_Table2"/>
      <sheetName val="Book_Depreciation2"/>
      <sheetName val="10_e2"/>
      <sheetName val="9_c2"/>
      <sheetName val="8_2"/>
      <sheetName val="6_2"/>
      <sheetName val="Flujo_Caja_SIC2"/>
      <sheetName val="Resumen_Mensual2"/>
      <sheetName val="Resumen_Alt_22"/>
      <sheetName val="Resumen_Alt_12"/>
      <sheetName val="Ingeniería_Básica2"/>
      <sheetName val="ING__anterior2"/>
      <sheetName val="WBS_Alt_22"/>
      <sheetName val="Listado_Partidas2"/>
      <sheetName val="Ajustes_Mensual2"/>
      <sheetName val="Sched_Month1"/>
      <sheetName val="Milestone_&amp;_Weigth1"/>
      <sheetName val="Timing_&amp;_Assumptions3"/>
      <sheetName val="Mine_Plan3"/>
      <sheetName val="Mine_Unit_Consumption3"/>
      <sheetName val="Mine_Labor3"/>
      <sheetName val="Plant_Unit_Consumption3"/>
      <sheetName val="Detailed_Const__Cpx3"/>
      <sheetName val="Plant_&amp;_Mine_CAPX3"/>
      <sheetName val="Deferred_CAPX3"/>
      <sheetName val="Key_Data_&amp;_Results3"/>
      <sheetName val="Cash_Flows3"/>
      <sheetName val="Cash_Flows_Ext_3"/>
      <sheetName val="Inv_Mina_Exter_3"/>
      <sheetName val="M_Op_Costs_Ext3"/>
      <sheetName val="Análisis_de_Riesgo3"/>
      <sheetName val="Table_of_Contents3"/>
      <sheetName val="Total_Op_Costs3"/>
      <sheetName val="Plant_Operating_Expenses3"/>
      <sheetName val="Mine_Op_Costs3"/>
      <sheetName val="DELTA_Mine_Op_Costs3"/>
      <sheetName val="Labor_Summary_by_Operation3"/>
      <sheetName val="Labor_by_Function3"/>
      <sheetName val="Cost_Table3"/>
      <sheetName val="Book_Depreciation3"/>
      <sheetName val="10_e3"/>
      <sheetName val="9_c3"/>
      <sheetName val="8_3"/>
      <sheetName val="6_3"/>
      <sheetName val="Flujo_Caja_SIC3"/>
      <sheetName val="Resumen_Mensual3"/>
      <sheetName val="Resumen_Alt_23"/>
      <sheetName val="Resumen_Alt_13"/>
      <sheetName val="Ingeniería_Básica3"/>
      <sheetName val="ING__anterior3"/>
      <sheetName val="WBS_Alt_23"/>
      <sheetName val="Listado_Partidas3"/>
      <sheetName val="Ajustes_Mensual3"/>
      <sheetName val="Sched_Month2"/>
      <sheetName val="Milestone_&amp;_Weigth2"/>
      <sheetName val="Chancador"/>
      <sheetName val="Carátula"/>
      <sheetName val="Indice"/>
      <sheetName val="3a) DOT DIA"/>
      <sheetName val="3b) RES HH"/>
      <sheetName val="ISYS"/>
      <sheetName val="REAL-PROG"/>
      <sheetName val="FOTOS"/>
      <sheetName val="1d) ALERTAS"/>
      <sheetName val="1e) TEND"/>
      <sheetName val="1c) NOVS"/>
      <sheetName val="1f) DESV"/>
      <sheetName val="FINANCIERO"/>
      <sheetName val="AV.FISICO"/>
      <sheetName val="MAQUINARIA"/>
      <sheetName val="Resumen Ejec"/>
      <sheetName val="Depreciacion"/>
      <sheetName val="Flujo"/>
      <sheetName val="Tabla Comparativa"/>
      <sheetName val="FICHA"/>
      <sheetName val="RESPALDO FLUJO"/>
      <sheetName val="GGRLES"/>
      <sheetName val="Condicion"/>
      <sheetName val="Fl__de_Caja_e_Indices"/>
      <sheetName val="A1100 (2)"/>
      <sheetName val="Resumen Commodity"/>
      <sheetName val="Resumen Bulk"/>
      <sheetName val="diferidas tranque"/>
      <sheetName val="Flujo Obras Diferidas"/>
      <sheetName val="inv (MON oocc07 REV2)"/>
      <sheetName val="inv MON FEB 06"/>
      <sheetName val="inv flujos"/>
      <sheetName val="inv flujos (NAC EXT)"/>
      <sheetName val="Resumen Contratos"/>
      <sheetName val="Resumen Areas"/>
      <sheetName val="Facility Summary"/>
      <sheetName val="PLANTA &amp; MINA"/>
      <sheetName val="Summary"/>
      <sheetName val="Costo Llenado 1º carga"/>
      <sheetName val="Sumario EPCM-B"/>
      <sheetName val="C.Directo EPCM-B"/>
      <sheetName val="CIndirectos EPCM-B"/>
      <sheetName val="Servicios Generales"/>
      <sheetName val="Tarifa EPCM Codelco"/>
      <sheetName val="STAFF CONST EPCM "/>
      <sheetName val="STAFF HOME EPCM"/>
      <sheetName val="Repuestos EPCM-B"/>
      <sheetName val="A1100"/>
      <sheetName val="A1500 (2)"/>
      <sheetName val="A3100 (2)"/>
      <sheetName val="A3100"/>
      <sheetName val="A3400 (2)"/>
      <sheetName val="A3400"/>
      <sheetName val="A4000 (2)"/>
      <sheetName val="A5000 (2)"/>
      <sheetName val="A6200  (2)"/>
      <sheetName val="A6600 (2)"/>
      <sheetName val="PU "/>
      <sheetName val="GRES-pxa (2)"/>
      <sheetName val="Transporte"/>
      <sheetName val="Alimentación"/>
      <sheetName val="Codigos Bechtel (2)"/>
      <sheetName val="July Forecast Costs"/>
      <sheetName val="Base"/>
      <sheetName val="Sheet2"/>
      <sheetName val="Sheet3"/>
      <sheetName val="CNC"/>
      <sheetName val="PPC"/>
      <sheetName val="FASE 01 -2013"/>
      <sheetName val="FASE 01 -2014"/>
      <sheetName val="DMH 2013  FASE 02"/>
      <sheetName val="DMH 2014  FASE 02"/>
      <sheetName val="A"/>
      <sheetName val="AÑO 2014"/>
      <sheetName val="año 2010 - 2011"/>
      <sheetName val="VALORIZACIÓN"/>
      <sheetName val="DATOS"/>
      <sheetName val="ejercicios ahorro"/>
      <sheetName val="GRAFICOS"/>
      <sheetName val="Instructivo"/>
      <sheetName val="A14M109"/>
      <sheetName val="A12M448"/>
      <sheetName val="A14M212"/>
      <sheetName val="A14M467"/>
      <sheetName val="A14M463"/>
      <sheetName val="A14M435"/>
      <sheetName val="A14M468"/>
      <sheetName val="A14M304"/>
      <sheetName val="A14M450"/>
      <sheetName val="A14M305"/>
      <sheetName val="A12M491"/>
      <sheetName val="A13M311"/>
      <sheetName val="A13M314"/>
      <sheetName val="A13M318"/>
      <sheetName val="A13M319"/>
      <sheetName val="A13M467"/>
      <sheetName val="A13M481"/>
      <sheetName val="A13M470"/>
      <sheetName val="A13M210"/>
      <sheetName val="A13M215"/>
      <sheetName val="A13M438"/>
      <sheetName val="A13M476"/>
      <sheetName val="A13M479"/>
      <sheetName val="A13M482"/>
      <sheetName val="Eco-01 AD"/>
      <sheetName val="ECO-01"/>
      <sheetName val="ECO-02"/>
      <sheetName val="ECO-03"/>
      <sheetName val="ECO-04"/>
      <sheetName val="ECO-05"/>
      <sheetName val="ECO 02 Item 1.1 Ivac"/>
      <sheetName val="ECO 02 Item 1.1 supavac"/>
      <sheetName val="ECO 02 Item 1.1 Ivac (mod)"/>
      <sheetName val="Bonos y seguros"/>
      <sheetName val="Bonos y seguros AD"/>
      <sheetName val="GG"/>
      <sheetName val="GG (2)"/>
      <sheetName val="GG (3)"/>
      <sheetName val="Combustibles"/>
      <sheetName val="Equipos"/>
      <sheetName val="Equipos (AD)"/>
      <sheetName val="ECO-04 (2)"/>
      <sheetName val="eco4 mod"/>
      <sheetName val="Hoja1 (2)"/>
      <sheetName val="Hoja5"/>
      <sheetName val="logistica ecm"/>
      <sheetName val="logistica dch"/>
      <sheetName val="logistica EMT (2)"/>
      <sheetName val="Eco-01 AD (2)"/>
      <sheetName val="Timing_&amp;_Assumptions5"/>
      <sheetName val="Mine_Plan5"/>
      <sheetName val="Mine_Unit_Consumption5"/>
      <sheetName val="Mine_Labor5"/>
      <sheetName val="Plant_Unit_Consumption5"/>
      <sheetName val="Detailed_Const__Cpx5"/>
      <sheetName val="Plant_&amp;_Mine_CAPX5"/>
      <sheetName val="Deferred_CAPX5"/>
      <sheetName val="Key_Data_&amp;_Results5"/>
      <sheetName val="Cash_Flows5"/>
      <sheetName val="Cash_Flows_Ext_5"/>
      <sheetName val="Inv_Mina_Exter_5"/>
      <sheetName val="M_Op_Costs_Ext5"/>
      <sheetName val="Análisis_de_Riesgo5"/>
      <sheetName val="Table_of_Contents5"/>
      <sheetName val="Total_Op_Costs5"/>
      <sheetName val="Plant_Operating_Expenses5"/>
      <sheetName val="Mine_Op_Costs5"/>
      <sheetName val="DELTA_Mine_Op_Costs5"/>
      <sheetName val="Labor_Summary_by_Operation5"/>
      <sheetName val="Labor_by_Function5"/>
      <sheetName val="Cost_Table5"/>
      <sheetName val="Book_Depreciation5"/>
      <sheetName val="10_e5"/>
      <sheetName val="9_c5"/>
      <sheetName val="8_5"/>
      <sheetName val="6_5"/>
      <sheetName val="Flujo_Caja_SIC5"/>
      <sheetName val="Resumen_Mensual5"/>
      <sheetName val="Resumen_Alt_25"/>
      <sheetName val="Resumen_Alt_15"/>
      <sheetName val="Ingeniería_Básica5"/>
      <sheetName val="ING__anterior5"/>
      <sheetName val="WBS_Alt_25"/>
      <sheetName val="Listado_Partidas5"/>
      <sheetName val="Ajustes_Mensual5"/>
      <sheetName val="Sched_Month4"/>
      <sheetName val="Milestone_&amp;_Weigth4"/>
      <sheetName val="Fl__de_Caja_e_Indices1"/>
      <sheetName val="3a)_DOT_DIA"/>
      <sheetName val="3b)_RES_HH"/>
      <sheetName val="1d)_ALERTAS"/>
      <sheetName val="1e)_TEND"/>
      <sheetName val="1c)_NOVS"/>
      <sheetName val="1f)_DESV"/>
      <sheetName val="AV_FISICO"/>
      <sheetName val="Resumen_Ejec"/>
      <sheetName val="Tabla_Comparativa"/>
      <sheetName val="RESPALDO_FLUJO"/>
      <sheetName val="A1100_(2)"/>
      <sheetName val="Resumen_Commodity"/>
      <sheetName val="Resumen_Bulk"/>
      <sheetName val="diferidas_tranque"/>
      <sheetName val="Flujo_Obras_Diferidas"/>
      <sheetName val="inv_(MON_oocc07_REV2)"/>
      <sheetName val="inv_MON_FEB_06"/>
      <sheetName val="inv_flujos"/>
      <sheetName val="inv_flujos_(NAC_EXT)"/>
      <sheetName val="Resumen_Contratos"/>
      <sheetName val="Resumen_Areas"/>
      <sheetName val="Facility_Summary"/>
      <sheetName val="PLANTA_&amp;_MINA"/>
      <sheetName val="Costo_Llenado_1º_carga"/>
      <sheetName val="Sumario_EPCM-B"/>
      <sheetName val="C_Directo_EPCM-B"/>
      <sheetName val="CIndirectos_EPCM-B"/>
      <sheetName val="Servicios_Generales"/>
      <sheetName val="Tarifa_EPCM_Codelco"/>
      <sheetName val="STAFF_CONST_EPCM_"/>
      <sheetName val="STAFF_HOME_EPCM"/>
      <sheetName val="Repuestos_EPCM-B"/>
      <sheetName val="A1500_(2)"/>
      <sheetName val="A3100_(2)"/>
      <sheetName val="A3400_(2)"/>
      <sheetName val="A4000_(2)"/>
      <sheetName val="A5000_(2)"/>
      <sheetName val="A6200__(2)"/>
      <sheetName val="A6600_(2)"/>
      <sheetName val="PU_"/>
      <sheetName val="GRES-pxa_(2)"/>
      <sheetName val="Codigos_Bechtel_(2)"/>
      <sheetName val="July_Forecast_Costs"/>
      <sheetName val="FASE_01_-2013"/>
      <sheetName val="FASE_01_-2014"/>
      <sheetName val="DMH_2013__FASE_02"/>
      <sheetName val="DMH_2014__FASE_02"/>
      <sheetName val="AÑO_2014"/>
      <sheetName val="año_2010_-_2011"/>
      <sheetName val="ejercicios_ahorro"/>
      <sheetName val="Eco-01_AD"/>
      <sheetName val="ECO_02_Item_1_1_Ivac"/>
      <sheetName val="ECO_02_Item_1_1_supavac"/>
      <sheetName val="ECO_02_Item_1_1_Ivac_(mod)"/>
      <sheetName val="Bonos_y_seguros"/>
      <sheetName val="Bonos_y_seguros_AD"/>
      <sheetName val="GG_(2)"/>
      <sheetName val="GG_(3)"/>
      <sheetName val="Equipos_(AD)"/>
      <sheetName val="ECO-04_(2)"/>
      <sheetName val="eco4_mod"/>
      <sheetName val="Hoja1_(2)"/>
      <sheetName val="logistica_ecm"/>
      <sheetName val="logistica_dch"/>
      <sheetName val="logistica_EMT_(2)"/>
      <sheetName val="Eco-01_AD_(2)"/>
      <sheetName val="MATRIZ"/>
      <sheetName val="Prog ESAPN RevB"/>
      <sheetName val="Proyeccion"/>
      <sheetName val="Real Mes"/>
      <sheetName val="Real P6"/>
      <sheetName val="Real Disp"/>
      <sheetName val="Disparos 2015"/>
      <sheetName val="Ptto RevA"/>
      <sheetName val="Peso"/>
      <sheetName val="Avance fisico"/>
      <sheetName val="RGRMD"/>
      <sheetName val="GrmdDH"/>
      <sheetName val="GrmdDV"/>
      <sheetName val="Grmdoocc"/>
      <sheetName val="3.2.1 Informe Mensual"/>
      <sheetName val="PPT Gestión"/>
      <sheetName val="PR UCL"/>
      <sheetName val="ADQ.-CONS-MONT."/>
      <sheetName val="Timing_&amp;_Assumptions6"/>
      <sheetName val="Mine_Plan6"/>
      <sheetName val="Mine_Unit_Consumption6"/>
      <sheetName val="Mine_Labor6"/>
      <sheetName val="Plant_Unit_Consumption6"/>
      <sheetName val="Detailed_Const__Cpx6"/>
      <sheetName val="Plant_&amp;_Mine_CAPX6"/>
      <sheetName val="Deferred_CAPX6"/>
      <sheetName val="Key_Data_&amp;_Results6"/>
      <sheetName val="Cash_Flows6"/>
      <sheetName val="Cash_Flows_Ext_6"/>
      <sheetName val="Inv_Mina_Exter_6"/>
      <sheetName val="M_Op_Costs_Ext6"/>
      <sheetName val="Análisis_de_Riesgo6"/>
      <sheetName val="Table_of_Contents6"/>
      <sheetName val="Total_Op_Costs6"/>
      <sheetName val="Plant_Operating_Expenses6"/>
      <sheetName val="Mine_Op_Costs6"/>
      <sheetName val="DELTA_Mine_Op_Costs6"/>
      <sheetName val="Labor_Summary_by_Operation6"/>
      <sheetName val="Labor_by_Function6"/>
      <sheetName val="Cost_Table6"/>
      <sheetName val="Book_Depreciation6"/>
      <sheetName val="10_e6"/>
      <sheetName val="9_c6"/>
      <sheetName val="8_6"/>
      <sheetName val="6_6"/>
      <sheetName val="Flujo_Caja_SIC6"/>
      <sheetName val="Resumen_Mensual6"/>
      <sheetName val="Resumen_Alt_26"/>
      <sheetName val="Resumen_Alt_16"/>
      <sheetName val="Ingeniería_Básica6"/>
      <sheetName val="ING__anterior6"/>
      <sheetName val="WBS_Alt_26"/>
      <sheetName val="Listado_Partidas6"/>
      <sheetName val="Ajustes_Mensual6"/>
      <sheetName val="Sched_Month5"/>
      <sheetName val="Milestone_&amp;_Weigth5"/>
      <sheetName val="Fl__de_Caja_e_Indices2"/>
      <sheetName val="3a)_DOT_DIA1"/>
      <sheetName val="3b)_RES_HH1"/>
      <sheetName val="1d)_ALERTAS1"/>
      <sheetName val="1e)_TEND1"/>
      <sheetName val="1c)_NOVS1"/>
      <sheetName val="1f)_DESV1"/>
      <sheetName val="AV_FISICO1"/>
      <sheetName val="Resumen_Ejec1"/>
      <sheetName val="Tabla_Comparativa1"/>
      <sheetName val="RESPALDO_FLUJO1"/>
      <sheetName val="A1100_(2)1"/>
      <sheetName val="Resumen_Commodity1"/>
      <sheetName val="Resumen_Bulk1"/>
      <sheetName val="diferidas_tranque1"/>
      <sheetName val="Flujo_Obras_Diferidas1"/>
      <sheetName val="inv_(MON_oocc07_REV2)1"/>
      <sheetName val="inv_MON_FEB_061"/>
      <sheetName val="inv_flujos1"/>
      <sheetName val="inv_flujos_(NAC_EXT)1"/>
      <sheetName val="Resumen_Contratos1"/>
      <sheetName val="Resumen_Areas1"/>
      <sheetName val="Facility_Summary1"/>
      <sheetName val="PLANTA_&amp;_MINA1"/>
      <sheetName val="Costo_Llenado_1º_carga1"/>
      <sheetName val="Sumario_EPCM-B1"/>
      <sheetName val="C_Directo_EPCM-B1"/>
      <sheetName val="CIndirectos_EPCM-B1"/>
      <sheetName val="Servicios_Generales1"/>
      <sheetName val="Tarifa_EPCM_Codelco1"/>
      <sheetName val="STAFF_CONST_EPCM_1"/>
      <sheetName val="STAFF_HOME_EPCM1"/>
      <sheetName val="Repuestos_EPCM-B1"/>
      <sheetName val="A1500_(2)1"/>
      <sheetName val="A3100_(2)1"/>
      <sheetName val="A3400_(2)1"/>
      <sheetName val="A4000_(2)1"/>
      <sheetName val="A5000_(2)1"/>
      <sheetName val="A6200__(2)1"/>
      <sheetName val="A6600_(2)1"/>
      <sheetName val="PU_1"/>
      <sheetName val="GRES-pxa_(2)1"/>
      <sheetName val="Codigos_Bechtel_(2)1"/>
      <sheetName val="July_Forecast_Costs1"/>
      <sheetName val="FASE_01_-20131"/>
      <sheetName val="FASE_01_-20141"/>
      <sheetName val="DMH_2013__FASE_021"/>
      <sheetName val="DMH_2014__FASE_021"/>
      <sheetName val="AÑO_20141"/>
      <sheetName val="año_2010_-_20111"/>
      <sheetName val="ejercicios_ahorro1"/>
      <sheetName val="Eco-01_AD1"/>
      <sheetName val="ECO_02_Item_1_1_Ivac1"/>
      <sheetName val="ECO_02_Item_1_1_supavac1"/>
      <sheetName val="ECO_02_Item_1_1_Ivac_(mod)1"/>
      <sheetName val="Bonos_y_seguros1"/>
      <sheetName val="Bonos_y_seguros_AD1"/>
      <sheetName val="GG_(2)1"/>
      <sheetName val="GG_(3)1"/>
      <sheetName val="Equipos_(AD)1"/>
      <sheetName val="ECO-04_(2)1"/>
      <sheetName val="eco4_mod1"/>
      <sheetName val="Hoja1_(2)1"/>
      <sheetName val="logistica_ecm1"/>
      <sheetName val="logistica_dch1"/>
      <sheetName val="logistica_EMT_(2)1"/>
      <sheetName val="Eco-01_AD_(2)1"/>
      <sheetName val="Prog_ESAPN_RevB"/>
      <sheetName val="Real_Mes"/>
      <sheetName val="Real_P6"/>
      <sheetName val="Real_Disp"/>
      <sheetName val="Disparos_2015"/>
      <sheetName val="Ptto_RevA"/>
      <sheetName val="Avance_fisico"/>
      <sheetName val="3_2_1_Informe_Mensual"/>
      <sheetName val="PPT_Gestión"/>
      <sheetName val="PR_UCL"/>
      <sheetName val="Unit prices"/>
      <sheetName val="Timing_&amp;_Assumptions7"/>
      <sheetName val="Mine_Plan7"/>
      <sheetName val="Mine_Unit_Consumption7"/>
      <sheetName val="Mine_Labor7"/>
      <sheetName val="Plant_Unit_Consumption7"/>
      <sheetName val="Detailed_Const__Cpx7"/>
      <sheetName val="Plant_&amp;_Mine_CAPX7"/>
      <sheetName val="Deferred_CAPX7"/>
      <sheetName val="Key_Data_&amp;_Results7"/>
      <sheetName val="Cash_Flows7"/>
      <sheetName val="Cash_Flows_Ext_7"/>
      <sheetName val="Inv_Mina_Exter_7"/>
      <sheetName val="M_Op_Costs_Ext7"/>
      <sheetName val="Análisis_de_Riesgo7"/>
      <sheetName val="Table_of_Contents7"/>
      <sheetName val="Total_Op_Costs7"/>
      <sheetName val="Plant_Operating_Expenses7"/>
      <sheetName val="Mine_Op_Costs7"/>
      <sheetName val="DELTA_Mine_Op_Costs7"/>
      <sheetName val="Labor_Summary_by_Operation7"/>
      <sheetName val="Labor_by_Function7"/>
      <sheetName val="Cost_Table7"/>
      <sheetName val="Book_Depreciation7"/>
      <sheetName val="10_e7"/>
      <sheetName val="9_c7"/>
      <sheetName val="8_7"/>
      <sheetName val="6_7"/>
      <sheetName val="Flujo_Caja_SIC7"/>
      <sheetName val="Resumen_Mensual7"/>
      <sheetName val="Resumen_Alt_27"/>
      <sheetName val="Resumen_Alt_17"/>
      <sheetName val="Ingeniería_Básica7"/>
      <sheetName val="ING__anterior7"/>
      <sheetName val="WBS_Alt_27"/>
      <sheetName val="Listado_Partidas7"/>
      <sheetName val="Ajustes_Mensual7"/>
      <sheetName val="Sched_Month6"/>
      <sheetName val="Milestone_&amp;_Weigth6"/>
      <sheetName val="Tablero PPT"/>
      <sheetName val="Des Hz UCL"/>
      <sheetName val="Des Hz NP"/>
      <sheetName val="Des_Hz_NA"/>
      <sheetName val="Des Hz SNV"/>
      <sheetName val="Des Vr NP"/>
      <sheetName val="Des Vr UCL"/>
      <sheetName val="Des_Vr_NA"/>
      <sheetName val="PE"/>
      <sheetName val="Muros"/>
      <sheetName val="Carpeta"/>
      <sheetName val="Brocal_PV"/>
      <sheetName val="Desq_PV"/>
      <sheetName val="Desq_PQ"/>
      <sheetName val="Blindaje_PQ"/>
      <sheetName val="Viseras"/>
      <sheetName val="Intersecciones"/>
      <sheetName val="Carpeta_NA"/>
      <sheetName val="Desq_BZ"/>
      <sheetName val="Const_BZ"/>
      <sheetName val="Mont._BZ"/>
      <sheetName val="Fort. Cedente_NA"/>
      <sheetName val="Salas Vent_SNV"/>
      <sheetName val="Sala Vent."/>
      <sheetName val="Fort. Cedente NP"/>
      <sheetName val="ECO-1 Operac"/>
      <sheetName val="ECO-1 API"/>
      <sheetName val="ECO 02"/>
      <sheetName val="ECO 03"/>
      <sheetName val="ECO 04"/>
      <sheetName val=""/>
      <sheetName val="Timing_&amp;_Assumptions8"/>
      <sheetName val="Mine_Plan8"/>
      <sheetName val="Mine_Unit_Consumption8"/>
      <sheetName val="Mine_Labor8"/>
      <sheetName val="Plant_Unit_Consumption8"/>
      <sheetName val="Detailed_Const__Cpx8"/>
      <sheetName val="Plant_&amp;_Mine_CAPX8"/>
      <sheetName val="Deferred_CAPX8"/>
      <sheetName val="Key_Data_&amp;_Results8"/>
      <sheetName val="Cash_Flows8"/>
      <sheetName val="Cash_Flows_Ext_8"/>
      <sheetName val="Inv_Mina_Exter_8"/>
      <sheetName val="M_Op_Costs_Ext8"/>
      <sheetName val="Análisis_de_Riesgo8"/>
      <sheetName val="Table_of_Contents8"/>
      <sheetName val="Total_Op_Costs8"/>
      <sheetName val="Plant_Operating_Expenses8"/>
      <sheetName val="Mine_Op_Costs8"/>
      <sheetName val="DELTA_Mine_Op_Costs8"/>
      <sheetName val="Labor_Summary_by_Operation8"/>
      <sheetName val="Labor_by_Function8"/>
      <sheetName val="Cost_Table8"/>
      <sheetName val="Book_Depreciation8"/>
      <sheetName val="10_e8"/>
      <sheetName val="9_c8"/>
      <sheetName val="8_8"/>
      <sheetName val="6_8"/>
      <sheetName val="Flujo_Caja_SIC8"/>
      <sheetName val="Resumen_Mensual8"/>
      <sheetName val="Resumen_Alt_28"/>
      <sheetName val="Resumen_Alt_18"/>
      <sheetName val="Ingeniería_Básica8"/>
      <sheetName val="ING__anterior8"/>
      <sheetName val="WBS_Alt_28"/>
      <sheetName val="Listado_Partidas8"/>
      <sheetName val="Ajustes_Mensual8"/>
      <sheetName val="Sched_Month7"/>
      <sheetName val="Milestone_&amp;_Weigth7"/>
      <sheetName val="Fl__de_Caja_e_Indices3"/>
      <sheetName val="Timing_&amp;_Assumptions9"/>
      <sheetName val="Mine_Plan9"/>
      <sheetName val="Mine_Unit_Consumption9"/>
      <sheetName val="Mine_Labor9"/>
      <sheetName val="Plant_Unit_Consumption9"/>
      <sheetName val="Detailed_Const__Cpx9"/>
      <sheetName val="Plant_&amp;_Mine_CAPX9"/>
      <sheetName val="Deferred_CAPX9"/>
      <sheetName val="Key_Data_&amp;_Results9"/>
      <sheetName val="Cash_Flows9"/>
      <sheetName val="Cash_Flows_Ext_9"/>
      <sheetName val="Inv_Mina_Exter_9"/>
      <sheetName val="M_Op_Costs_Ext9"/>
      <sheetName val="Análisis_de_Riesgo9"/>
      <sheetName val="Table_of_Contents9"/>
      <sheetName val="Total_Op_Costs9"/>
      <sheetName val="Plant_Operating_Expenses9"/>
      <sheetName val="Mine_Op_Costs9"/>
      <sheetName val="DELTA_Mine_Op_Costs9"/>
      <sheetName val="Labor_Summary_by_Operation9"/>
      <sheetName val="Labor_by_Function9"/>
      <sheetName val="Cost_Table9"/>
      <sheetName val="Book_Depreciation9"/>
      <sheetName val="10_e9"/>
      <sheetName val="9_c9"/>
      <sheetName val="8_9"/>
      <sheetName val="6_9"/>
      <sheetName val="Flujo_Caja_SIC9"/>
      <sheetName val="Resumen_Mensual9"/>
      <sheetName val="Resumen_Alt_29"/>
      <sheetName val="Resumen_Alt_19"/>
      <sheetName val="Ingeniería_Básica9"/>
      <sheetName val="ING__anterior9"/>
      <sheetName val="WBS_Alt_29"/>
      <sheetName val="Listado_Partidas9"/>
      <sheetName val="Ajustes_Mensual9"/>
      <sheetName val="Sched_Month8"/>
      <sheetName val="Milestone_&amp;_Weigth8"/>
      <sheetName val="Fl__de_Caja_e_Indices4"/>
      <sheetName val="3a)_DOT_DIA2"/>
      <sheetName val="3b)_RES_HH2"/>
      <sheetName val="1d)_ALERTAS2"/>
      <sheetName val="1e)_TEND2"/>
      <sheetName val="1c)_NOVS2"/>
      <sheetName val="1f)_DESV2"/>
      <sheetName val="AV_FISICO2"/>
      <sheetName val="Resumen_Ejec2"/>
      <sheetName val="Tabla_Comparativa2"/>
      <sheetName val="RESPALDO_FLUJO2"/>
      <sheetName val="A1100_(2)2"/>
      <sheetName val="Resumen_Commodity2"/>
      <sheetName val="Resumen_Bulk2"/>
      <sheetName val="diferidas_tranque2"/>
      <sheetName val="Flujo_Obras_Diferidas2"/>
      <sheetName val="inv_(MON_oocc07_REV2)2"/>
      <sheetName val="inv_MON_FEB_062"/>
      <sheetName val="inv_flujos2"/>
      <sheetName val="inv_flujos_(NAC_EXT)2"/>
      <sheetName val="Resumen_Contratos2"/>
      <sheetName val="Resumen_Areas2"/>
      <sheetName val="Facility_Summary2"/>
      <sheetName val="PLANTA_&amp;_MINA2"/>
      <sheetName val="Costo_Llenado_1º_carga2"/>
      <sheetName val="Sumario_EPCM-B2"/>
      <sheetName val="C_Directo_EPCM-B2"/>
      <sheetName val="CIndirectos_EPCM-B2"/>
      <sheetName val="Servicios_Generales2"/>
      <sheetName val="Tarifa_EPCM_Codelco2"/>
      <sheetName val="STAFF_CONST_EPCM_2"/>
      <sheetName val="STAFF_HOME_EPCM2"/>
      <sheetName val="Repuestos_EPCM-B2"/>
      <sheetName val="A1500_(2)2"/>
      <sheetName val="A3100_(2)2"/>
      <sheetName val="A3400_(2)2"/>
      <sheetName val="A4000_(2)2"/>
      <sheetName val="A5000_(2)2"/>
      <sheetName val="A6200__(2)2"/>
      <sheetName val="A6600_(2)2"/>
      <sheetName val="PU_2"/>
      <sheetName val="GRES-pxa_(2)2"/>
      <sheetName val="Codigos_Bechtel_(2)2"/>
      <sheetName val="July_Forecast_Costs2"/>
      <sheetName val="FASE_01_-20132"/>
      <sheetName val="FASE_01_-20142"/>
      <sheetName val="DMH_2013__FASE_022"/>
      <sheetName val="DMH_2014__FASE_022"/>
      <sheetName val="Eco-01_AD2"/>
      <sheetName val="ECO_02_Item_1_1_Ivac2"/>
      <sheetName val="ECO_02_Item_1_1_supavac2"/>
      <sheetName val="ECO_02_Item_1_1_Ivac_(mod)2"/>
      <sheetName val="Bonos_y_seguros2"/>
      <sheetName val="Bonos_y_seguros_AD2"/>
      <sheetName val="GG_(2)2"/>
      <sheetName val="GG_(3)2"/>
      <sheetName val="Equipos_(AD)2"/>
      <sheetName val="ECO-04_(2)2"/>
      <sheetName val="eco4_mod2"/>
      <sheetName val="Hoja1_(2)2"/>
      <sheetName val="logistica_ecm2"/>
      <sheetName val="logistica_dch2"/>
      <sheetName val="logistica_EMT_(2)2"/>
      <sheetName val="Eco-01_AD_(2)2"/>
      <sheetName val="AÑO_20142"/>
      <sheetName val="año_2010_-_20112"/>
      <sheetName val="ejercicios_ahorro2"/>
      <sheetName val="Prog_ESAPN_RevB1"/>
      <sheetName val="Real_Mes1"/>
      <sheetName val="Real_P61"/>
      <sheetName val="Real_Disp1"/>
      <sheetName val="Disparos_20151"/>
      <sheetName val="Ptto_RevA1"/>
      <sheetName val="Avance_fisico1"/>
      <sheetName val="3_2_1_Informe_Mensual1"/>
      <sheetName val="PPT_Gestión1"/>
      <sheetName val="PR_UCL1"/>
      <sheetName val="ADQ_-CONS-MONT_"/>
      <sheetName val="Unit_prices"/>
      <sheetName val="Tablero_PPT"/>
      <sheetName val="Des_Hz_UCL"/>
      <sheetName val="Des_Hz_NP"/>
      <sheetName val="Des_Hz_SNV"/>
      <sheetName val="Des_Vr_NP"/>
      <sheetName val="Des_Vr_UCL"/>
      <sheetName val="Mont__BZ"/>
      <sheetName val="Fort__Cedente_NA"/>
      <sheetName val="Salas_Vent_SNV"/>
      <sheetName val="Sala_Vent_"/>
      <sheetName val="Fort__Cedente_NP"/>
      <sheetName val="ECO-1_Operac"/>
      <sheetName val="ECO-1_API"/>
      <sheetName val="ECO_02"/>
      <sheetName val="ECO_03"/>
      <sheetName val="ECO_04"/>
      <sheetName val="2.2.4. Ind. Gestión FU"/>
      <sheetName val="Sobretiempo-Ausentismo"/>
      <sheetName val="Dotación"/>
      <sheetName val="OC Nº1"/>
      <sheetName val="OC Nº1.."/>
      <sheetName val="respaldo"/>
      <sheetName val="antes"/>
      <sheetName val="después"/>
      <sheetName val="6WLA vs PyC"/>
      <sheetName val="EP 3+ARRIENDO"/>
      <sheetName val="Distribución R&amp;Q."/>
      <sheetName val="SOL HMES "/>
      <sheetName val="Hojas de Tiempo ep 17"/>
      <sheetName val="Resumen Costos"/>
      <sheetName val="Hoja Dist KUS$"/>
      <sheetName val="Hoja Dist HM"/>
      <sheetName val="NOC 1"/>
      <sheetName val="Asist. EP17"/>
      <sheetName val="DIST x API-Grafo"/>
      <sheetName val="CONTADOR HM-KUS"/>
      <sheetName val="GRAFOS"/>
      <sheetName val="Tabla Dist"/>
      <sheetName val="SOL HMES"/>
      <sheetName val="Distribución R&amp;Q"/>
      <sheetName val="G REEMB "/>
      <sheetName val="CATEGORIAS DE SUELDOS"/>
      <sheetName val="Tarifas SAP"/>
      <sheetName val="sap"/>
      <sheetName val="CLASIFICACION"/>
      <sheetName val="Hoja4"/>
      <sheetName val="Compras CPS 4"/>
      <sheetName val="Data"/>
      <sheetName val="Carta Excusa"/>
      <sheetName val="ANT-01"/>
      <sheetName val="ANT-02"/>
      <sheetName val="ANT-03A"/>
      <sheetName val="ANT-03B"/>
      <sheetName val="ANT-04"/>
      <sheetName val="ANT-05"/>
      <sheetName val="Compras CPS 3-6-7"/>
      <sheetName val="Plan de Contratos"/>
      <sheetName val="Cri Lx"/>
      <sheetName val="Cri Sx"/>
      <sheetName val="Cri Ew"/>
      <sheetName val="Min"/>
      <sheetName val="Pil"/>
      <sheetName val="Pro"/>
      <sheetName val="Cic"/>
      <sheetName val="Pta"/>
      <sheetName val="Sta"/>
      <sheetName val="Bal"/>
      <sheetName val="Dren"/>
      <sheetName val="Dw Lx"/>
      <sheetName val="Hid Sx"/>
      <sheetName val="CurSx"/>
      <sheetName val="Ter Ew"/>
      <sheetName val="Prec"/>
      <sheetName val="Cost"/>
      <sheetName val="Dota"/>
      <sheetName val="Sheet1"/>
      <sheetName val="DGA"/>
      <sheetName val="RECT_SALIDA"/>
      <sheetName val="Recuento de Entregables"/>
      <sheetName val="1. Ficha EWP (2)"/>
      <sheetName val=" Ficha EWP-313"/>
    </sheetNames>
    <sheetDataSet>
      <sheetData sheetId="0" refreshError="1">
        <row r="10">
          <cell r="B10">
            <v>0</v>
          </cell>
        </row>
        <row r="12">
          <cell r="B12">
            <v>35916</v>
          </cell>
        </row>
        <row r="13">
          <cell r="B13">
            <v>22.166666666666668</v>
          </cell>
        </row>
        <row r="14">
          <cell r="C14">
            <v>44013</v>
          </cell>
        </row>
        <row r="32">
          <cell r="B32">
            <v>33970</v>
          </cell>
        </row>
        <row r="34">
          <cell r="B34">
            <v>150000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B10">
            <v>0</v>
          </cell>
        </row>
        <row r="126">
          <cell r="B126">
            <v>32</v>
          </cell>
        </row>
        <row r="130">
          <cell r="B130">
            <v>1</v>
          </cell>
          <cell r="C130">
            <v>0.4</v>
          </cell>
        </row>
        <row r="132">
          <cell r="B132">
            <v>1</v>
          </cell>
          <cell r="C132">
            <v>0</v>
          </cell>
        </row>
        <row r="147">
          <cell r="B147" t="str">
            <v>no</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10">
          <cell r="B10">
            <v>0</v>
          </cell>
        </row>
      </sheetData>
      <sheetData sheetId="26" refreshError="1"/>
      <sheetData sheetId="27" refreshError="1"/>
      <sheetData sheetId="28" refreshError="1"/>
      <sheetData sheetId="29">
        <row r="10">
          <cell r="B10" t="str">
            <v>PAQUETE TECNICO</v>
          </cell>
        </row>
      </sheetData>
      <sheetData sheetId="30">
        <row r="10">
          <cell r="B10" t="str">
            <v>PAQUETE TECNICO</v>
          </cell>
        </row>
      </sheetData>
      <sheetData sheetId="31">
        <row r="10">
          <cell r="B10" t="str">
            <v>PAQUETE TECNICO</v>
          </cell>
        </row>
      </sheetData>
      <sheetData sheetId="32">
        <row r="10">
          <cell r="B10" t="str">
            <v>PAQUETE TECNICO</v>
          </cell>
        </row>
      </sheetData>
      <sheetData sheetId="33">
        <row r="10">
          <cell r="B10" t="str">
            <v>PAQUETE TECNICO</v>
          </cell>
        </row>
      </sheetData>
      <sheetData sheetId="34">
        <row r="10">
          <cell r="B10">
            <v>0</v>
          </cell>
        </row>
      </sheetData>
      <sheetData sheetId="35">
        <row r="10">
          <cell r="B10" t="str">
            <v>PAQUETE TECNICO</v>
          </cell>
        </row>
      </sheetData>
      <sheetData sheetId="36">
        <row r="10">
          <cell r="B10">
            <v>0</v>
          </cell>
        </row>
      </sheetData>
      <sheetData sheetId="37">
        <row r="10">
          <cell r="B10">
            <v>0</v>
          </cell>
        </row>
      </sheetData>
      <sheetData sheetId="38">
        <row r="10">
          <cell r="B10">
            <v>0</v>
          </cell>
        </row>
      </sheetData>
      <sheetData sheetId="39">
        <row r="10">
          <cell r="B10">
            <v>0</v>
          </cell>
        </row>
      </sheetData>
      <sheetData sheetId="40">
        <row r="10">
          <cell r="B10" t="str">
            <v>PAQUETE TECNICO</v>
          </cell>
        </row>
      </sheetData>
      <sheetData sheetId="41">
        <row r="10">
          <cell r="B10">
            <v>0</v>
          </cell>
        </row>
      </sheetData>
      <sheetData sheetId="42">
        <row r="10">
          <cell r="B10" t="str">
            <v>PAQUETE TECNICO</v>
          </cell>
        </row>
      </sheetData>
      <sheetData sheetId="43">
        <row r="10">
          <cell r="B10" t="str">
            <v>PAQUETE TECNICO</v>
          </cell>
        </row>
      </sheetData>
      <sheetData sheetId="44">
        <row r="10">
          <cell r="B10" t="str">
            <v>PAQUETE TECNICO</v>
          </cell>
        </row>
      </sheetData>
      <sheetData sheetId="45">
        <row r="10">
          <cell r="B10" t="str">
            <v>PAQUETE TECNICO</v>
          </cell>
        </row>
      </sheetData>
      <sheetData sheetId="46">
        <row r="10">
          <cell r="B10" t="str">
            <v>PAQUETE TECNICO</v>
          </cell>
        </row>
      </sheetData>
      <sheetData sheetId="47">
        <row r="10">
          <cell r="B10" t="str">
            <v>PAQUETE TECNICO</v>
          </cell>
        </row>
      </sheetData>
      <sheetData sheetId="48">
        <row r="10">
          <cell r="B10" t="str">
            <v>PAQUETE TECNICO</v>
          </cell>
        </row>
      </sheetData>
      <sheetData sheetId="49">
        <row r="10">
          <cell r="B10" t="str">
            <v>PAQUETE TECNICO</v>
          </cell>
        </row>
      </sheetData>
      <sheetData sheetId="50">
        <row r="10">
          <cell r="B10" t="str">
            <v>PAQUETE TECNICO</v>
          </cell>
        </row>
      </sheetData>
      <sheetData sheetId="51">
        <row r="10">
          <cell r="B10" t="str">
            <v>PAQUETE TECNICO</v>
          </cell>
        </row>
      </sheetData>
      <sheetData sheetId="52">
        <row r="10">
          <cell r="B10" t="str">
            <v>PAQUETE TECNICO</v>
          </cell>
        </row>
      </sheetData>
      <sheetData sheetId="53">
        <row r="10">
          <cell r="B10" t="str">
            <v>PAQUETE TECNICO</v>
          </cell>
        </row>
      </sheetData>
      <sheetData sheetId="54">
        <row r="10">
          <cell r="B10" t="str">
            <v>PAQUETE TECNICO</v>
          </cell>
        </row>
      </sheetData>
      <sheetData sheetId="55">
        <row r="10">
          <cell r="B10" t="str">
            <v>PAQUETE TECNICO</v>
          </cell>
        </row>
      </sheetData>
      <sheetData sheetId="56">
        <row r="10">
          <cell r="B10" t="str">
            <v>PAQUETE TECNICO</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ow r="10">
          <cell r="B10" t="str">
            <v>Atomizer Device</v>
          </cell>
        </row>
      </sheetData>
      <sheetData sheetId="102">
        <row r="12">
          <cell r="B12">
            <v>35916</v>
          </cell>
        </row>
      </sheetData>
      <sheetData sheetId="103">
        <row r="10">
          <cell r="B10" t="str">
            <v>Atomizer Device</v>
          </cell>
        </row>
      </sheetData>
      <sheetData sheetId="104">
        <row r="12">
          <cell r="B12">
            <v>35916</v>
          </cell>
        </row>
      </sheetData>
      <sheetData sheetId="105">
        <row r="10">
          <cell r="B10" t="str">
            <v>Atomizer Device</v>
          </cell>
        </row>
      </sheetData>
      <sheetData sheetId="106">
        <row r="10">
          <cell r="B10" t="str">
            <v>Atomizer Device</v>
          </cell>
        </row>
      </sheetData>
      <sheetData sheetId="107">
        <row r="10">
          <cell r="B10" t="str">
            <v>Atomizer Device</v>
          </cell>
        </row>
      </sheetData>
      <sheetData sheetId="108">
        <row r="10">
          <cell r="B10" t="str">
            <v>Atomizer Device</v>
          </cell>
        </row>
      </sheetData>
      <sheetData sheetId="109">
        <row r="10">
          <cell r="B10" t="str">
            <v>Atomizer Device</v>
          </cell>
        </row>
      </sheetData>
      <sheetData sheetId="110">
        <row r="10">
          <cell r="B10" t="str">
            <v>Atomizer Device</v>
          </cell>
        </row>
      </sheetData>
      <sheetData sheetId="111">
        <row r="10">
          <cell r="B10" t="str">
            <v>Atomizer Device</v>
          </cell>
        </row>
      </sheetData>
      <sheetData sheetId="112">
        <row r="10">
          <cell r="B10" t="str">
            <v>Atomizer Device</v>
          </cell>
        </row>
      </sheetData>
      <sheetData sheetId="113">
        <row r="12">
          <cell r="B12">
            <v>35916</v>
          </cell>
        </row>
      </sheetData>
      <sheetData sheetId="114">
        <row r="12">
          <cell r="B12">
            <v>35916</v>
          </cell>
        </row>
      </sheetData>
      <sheetData sheetId="115">
        <row r="12">
          <cell r="B12">
            <v>35916</v>
          </cell>
        </row>
      </sheetData>
      <sheetData sheetId="116">
        <row r="12">
          <cell r="B12">
            <v>35916</v>
          </cell>
        </row>
      </sheetData>
      <sheetData sheetId="117">
        <row r="12">
          <cell r="B12">
            <v>35916</v>
          </cell>
        </row>
      </sheetData>
      <sheetData sheetId="118">
        <row r="12">
          <cell r="B12">
            <v>35916</v>
          </cell>
        </row>
      </sheetData>
      <sheetData sheetId="119">
        <row r="12">
          <cell r="B12">
            <v>35916</v>
          </cell>
        </row>
      </sheetData>
      <sheetData sheetId="120">
        <row r="12">
          <cell r="B12">
            <v>35916</v>
          </cell>
        </row>
      </sheetData>
      <sheetData sheetId="121">
        <row r="12">
          <cell r="B12">
            <v>35916</v>
          </cell>
        </row>
      </sheetData>
      <sheetData sheetId="122">
        <row r="12">
          <cell r="B12">
            <v>35916</v>
          </cell>
        </row>
      </sheetData>
      <sheetData sheetId="123">
        <row r="12">
          <cell r="B12">
            <v>35916</v>
          </cell>
        </row>
      </sheetData>
      <sheetData sheetId="124">
        <row r="12">
          <cell r="B12">
            <v>35916</v>
          </cell>
        </row>
      </sheetData>
      <sheetData sheetId="125">
        <row r="12">
          <cell r="B12">
            <v>35916</v>
          </cell>
        </row>
      </sheetData>
      <sheetData sheetId="126">
        <row r="12">
          <cell r="B12">
            <v>35916</v>
          </cell>
        </row>
      </sheetData>
      <sheetData sheetId="127">
        <row r="12">
          <cell r="B12">
            <v>35916</v>
          </cell>
        </row>
      </sheetData>
      <sheetData sheetId="128">
        <row r="10">
          <cell r="B10" t="str">
            <v>PAQUETE TECNICO</v>
          </cell>
        </row>
      </sheetData>
      <sheetData sheetId="129">
        <row r="10">
          <cell r="B10" t="str">
            <v>PAQUETE TECNICO</v>
          </cell>
        </row>
      </sheetData>
      <sheetData sheetId="130">
        <row r="10">
          <cell r="B10" t="str">
            <v>PAQUETE TECNICO</v>
          </cell>
        </row>
      </sheetData>
      <sheetData sheetId="131">
        <row r="10">
          <cell r="B10" t="str">
            <v>PAQUETE TECNICO</v>
          </cell>
        </row>
      </sheetData>
      <sheetData sheetId="132">
        <row r="10">
          <cell r="B10" t="str">
            <v>PAQUETE TECNICO</v>
          </cell>
        </row>
      </sheetData>
      <sheetData sheetId="133">
        <row r="10">
          <cell r="B10" t="str">
            <v>Atomizer Device</v>
          </cell>
        </row>
      </sheetData>
      <sheetData sheetId="134">
        <row r="10">
          <cell r="B10" t="str">
            <v>PAQUETE TECNICO</v>
          </cell>
        </row>
      </sheetData>
      <sheetData sheetId="135">
        <row r="10">
          <cell r="B10" t="str">
            <v>Atomizer Device</v>
          </cell>
        </row>
      </sheetData>
      <sheetData sheetId="136">
        <row r="10">
          <cell r="B10" t="str">
            <v>Atomizer Device</v>
          </cell>
        </row>
      </sheetData>
      <sheetData sheetId="137">
        <row r="10">
          <cell r="B10" t="str">
            <v>Atomizer Device</v>
          </cell>
        </row>
      </sheetData>
      <sheetData sheetId="138">
        <row r="10">
          <cell r="B10" t="str">
            <v>Atomizer Device</v>
          </cell>
        </row>
      </sheetData>
      <sheetData sheetId="139">
        <row r="10">
          <cell r="B10" t="str">
            <v>Atomizer Device</v>
          </cell>
        </row>
      </sheetData>
      <sheetData sheetId="140">
        <row r="10">
          <cell r="B10" t="str">
            <v>Atomizer Device</v>
          </cell>
        </row>
      </sheetData>
      <sheetData sheetId="141">
        <row r="10">
          <cell r="B10" t="str">
            <v>Atomizer Device</v>
          </cell>
        </row>
      </sheetData>
      <sheetData sheetId="142">
        <row r="12">
          <cell r="B12">
            <v>35916</v>
          </cell>
        </row>
      </sheetData>
      <sheetData sheetId="143">
        <row r="12">
          <cell r="B12">
            <v>35916</v>
          </cell>
        </row>
      </sheetData>
      <sheetData sheetId="144">
        <row r="12">
          <cell r="B12">
            <v>35916</v>
          </cell>
        </row>
      </sheetData>
      <sheetData sheetId="145">
        <row r="12">
          <cell r="B12">
            <v>35916</v>
          </cell>
        </row>
      </sheetData>
      <sheetData sheetId="146">
        <row r="12">
          <cell r="B12">
            <v>35916</v>
          </cell>
        </row>
      </sheetData>
      <sheetData sheetId="147">
        <row r="12">
          <cell r="B12">
            <v>35916</v>
          </cell>
        </row>
      </sheetData>
      <sheetData sheetId="148">
        <row r="12">
          <cell r="B12">
            <v>35916</v>
          </cell>
        </row>
      </sheetData>
      <sheetData sheetId="149">
        <row r="12">
          <cell r="B12">
            <v>35916</v>
          </cell>
        </row>
      </sheetData>
      <sheetData sheetId="150">
        <row r="12">
          <cell r="B12">
            <v>35916</v>
          </cell>
        </row>
      </sheetData>
      <sheetData sheetId="151">
        <row r="12">
          <cell r="B12">
            <v>35916</v>
          </cell>
        </row>
      </sheetData>
      <sheetData sheetId="152">
        <row r="12">
          <cell r="B12">
            <v>35916</v>
          </cell>
        </row>
      </sheetData>
      <sheetData sheetId="153">
        <row r="12">
          <cell r="B12">
            <v>35916</v>
          </cell>
        </row>
      </sheetData>
      <sheetData sheetId="154">
        <row r="12">
          <cell r="B12">
            <v>35916</v>
          </cell>
        </row>
      </sheetData>
      <sheetData sheetId="155">
        <row r="12">
          <cell r="B12">
            <v>35916</v>
          </cell>
        </row>
      </sheetData>
      <sheetData sheetId="156">
        <row r="12">
          <cell r="B12">
            <v>35916</v>
          </cell>
        </row>
      </sheetData>
      <sheetData sheetId="157">
        <row r="12">
          <cell r="B12">
            <v>35916</v>
          </cell>
        </row>
      </sheetData>
      <sheetData sheetId="158">
        <row r="12">
          <cell r="B12">
            <v>35916</v>
          </cell>
        </row>
      </sheetData>
      <sheetData sheetId="159">
        <row r="12">
          <cell r="B12">
            <v>35916</v>
          </cell>
        </row>
      </sheetData>
      <sheetData sheetId="160">
        <row r="12">
          <cell r="B12">
            <v>35916</v>
          </cell>
        </row>
      </sheetData>
      <sheetData sheetId="161">
        <row r="12">
          <cell r="B12">
            <v>35916</v>
          </cell>
        </row>
      </sheetData>
      <sheetData sheetId="162">
        <row r="12">
          <cell r="B12">
            <v>35916</v>
          </cell>
        </row>
      </sheetData>
      <sheetData sheetId="163">
        <row r="12">
          <cell r="B12">
            <v>35916</v>
          </cell>
        </row>
      </sheetData>
      <sheetData sheetId="164">
        <row r="12">
          <cell r="B12">
            <v>35916</v>
          </cell>
        </row>
      </sheetData>
      <sheetData sheetId="165">
        <row r="12">
          <cell r="B12">
            <v>35916</v>
          </cell>
        </row>
      </sheetData>
      <sheetData sheetId="166">
        <row r="12">
          <cell r="B12">
            <v>35916</v>
          </cell>
        </row>
      </sheetData>
      <sheetData sheetId="167">
        <row r="12">
          <cell r="B12">
            <v>35916</v>
          </cell>
        </row>
      </sheetData>
      <sheetData sheetId="168">
        <row r="12">
          <cell r="B12">
            <v>35916</v>
          </cell>
        </row>
      </sheetData>
      <sheetData sheetId="169">
        <row r="12">
          <cell r="B12">
            <v>35916</v>
          </cell>
        </row>
      </sheetData>
      <sheetData sheetId="170">
        <row r="12">
          <cell r="B12">
            <v>35916</v>
          </cell>
        </row>
      </sheetData>
      <sheetData sheetId="171">
        <row r="12">
          <cell r="B12">
            <v>35916</v>
          </cell>
        </row>
      </sheetData>
      <sheetData sheetId="172">
        <row r="12">
          <cell r="B12">
            <v>35916</v>
          </cell>
        </row>
      </sheetData>
      <sheetData sheetId="173">
        <row r="12">
          <cell r="B12">
            <v>35916</v>
          </cell>
        </row>
      </sheetData>
      <sheetData sheetId="174">
        <row r="12">
          <cell r="B12">
            <v>35916</v>
          </cell>
        </row>
      </sheetData>
      <sheetData sheetId="175">
        <row r="12">
          <cell r="B12">
            <v>35916</v>
          </cell>
        </row>
      </sheetData>
      <sheetData sheetId="176">
        <row r="12">
          <cell r="B12">
            <v>35916</v>
          </cell>
        </row>
      </sheetData>
      <sheetData sheetId="177">
        <row r="12">
          <cell r="B12">
            <v>35916</v>
          </cell>
        </row>
      </sheetData>
      <sheetData sheetId="178">
        <row r="12">
          <cell r="B12">
            <v>35916</v>
          </cell>
        </row>
      </sheetData>
      <sheetData sheetId="179">
        <row r="12">
          <cell r="B12">
            <v>35916</v>
          </cell>
        </row>
      </sheetData>
      <sheetData sheetId="180">
        <row r="12">
          <cell r="B12">
            <v>35916</v>
          </cell>
        </row>
      </sheetData>
      <sheetData sheetId="181">
        <row r="12">
          <cell r="B12">
            <v>35916</v>
          </cell>
        </row>
      </sheetData>
      <sheetData sheetId="182">
        <row r="12">
          <cell r="B12">
            <v>35916</v>
          </cell>
        </row>
      </sheetData>
      <sheetData sheetId="183">
        <row r="12">
          <cell r="B12">
            <v>35916</v>
          </cell>
        </row>
      </sheetData>
      <sheetData sheetId="184">
        <row r="12">
          <cell r="B12">
            <v>35916</v>
          </cell>
        </row>
      </sheetData>
      <sheetData sheetId="185">
        <row r="12">
          <cell r="B12">
            <v>35916</v>
          </cell>
        </row>
      </sheetData>
      <sheetData sheetId="186">
        <row r="12">
          <cell r="B12">
            <v>35916</v>
          </cell>
        </row>
      </sheetData>
      <sheetData sheetId="187">
        <row r="12">
          <cell r="B12">
            <v>35916</v>
          </cell>
        </row>
      </sheetData>
      <sheetData sheetId="188">
        <row r="12">
          <cell r="B12">
            <v>35916</v>
          </cell>
        </row>
      </sheetData>
      <sheetData sheetId="189">
        <row r="12">
          <cell r="B12">
            <v>35916</v>
          </cell>
        </row>
      </sheetData>
      <sheetData sheetId="190">
        <row r="12">
          <cell r="B12">
            <v>35916</v>
          </cell>
        </row>
      </sheetData>
      <sheetData sheetId="191">
        <row r="12">
          <cell r="B12">
            <v>35916</v>
          </cell>
        </row>
      </sheetData>
      <sheetData sheetId="192">
        <row r="12">
          <cell r="B12">
            <v>35916</v>
          </cell>
        </row>
      </sheetData>
      <sheetData sheetId="193">
        <row r="12">
          <cell r="B12">
            <v>35916</v>
          </cell>
        </row>
      </sheetData>
      <sheetData sheetId="194">
        <row r="12">
          <cell r="B12">
            <v>35916</v>
          </cell>
        </row>
      </sheetData>
      <sheetData sheetId="195">
        <row r="12">
          <cell r="B12">
            <v>35916</v>
          </cell>
        </row>
      </sheetData>
      <sheetData sheetId="196">
        <row r="12">
          <cell r="B12">
            <v>35916</v>
          </cell>
        </row>
      </sheetData>
      <sheetData sheetId="197">
        <row r="12">
          <cell r="B12">
            <v>35916</v>
          </cell>
        </row>
      </sheetData>
      <sheetData sheetId="198">
        <row r="12">
          <cell r="B12">
            <v>35916</v>
          </cell>
        </row>
      </sheetData>
      <sheetData sheetId="199">
        <row r="12">
          <cell r="B12">
            <v>35916</v>
          </cell>
        </row>
      </sheetData>
      <sheetData sheetId="200">
        <row r="12">
          <cell r="B12">
            <v>35916</v>
          </cell>
        </row>
      </sheetData>
      <sheetData sheetId="201">
        <row r="12">
          <cell r="B12">
            <v>35916</v>
          </cell>
        </row>
      </sheetData>
      <sheetData sheetId="202">
        <row r="12">
          <cell r="B12">
            <v>35916</v>
          </cell>
        </row>
      </sheetData>
      <sheetData sheetId="203">
        <row r="12">
          <cell r="B12">
            <v>35916</v>
          </cell>
        </row>
      </sheetData>
      <sheetData sheetId="204">
        <row r="12">
          <cell r="B12">
            <v>35916</v>
          </cell>
        </row>
      </sheetData>
      <sheetData sheetId="205">
        <row r="12">
          <cell r="B12">
            <v>35916</v>
          </cell>
        </row>
      </sheetData>
      <sheetData sheetId="206">
        <row r="12">
          <cell r="B12">
            <v>35916</v>
          </cell>
        </row>
      </sheetData>
      <sheetData sheetId="207">
        <row r="12">
          <cell r="B12">
            <v>35916</v>
          </cell>
        </row>
      </sheetData>
      <sheetData sheetId="208">
        <row r="12">
          <cell r="B12">
            <v>35916</v>
          </cell>
        </row>
      </sheetData>
      <sheetData sheetId="209">
        <row r="12">
          <cell r="B12">
            <v>35916</v>
          </cell>
        </row>
      </sheetData>
      <sheetData sheetId="210">
        <row r="12">
          <cell r="B12">
            <v>35916</v>
          </cell>
        </row>
      </sheetData>
      <sheetData sheetId="211">
        <row r="12">
          <cell r="B12">
            <v>35916</v>
          </cell>
        </row>
      </sheetData>
      <sheetData sheetId="212">
        <row r="12">
          <cell r="B12">
            <v>35916</v>
          </cell>
        </row>
      </sheetData>
      <sheetData sheetId="213">
        <row r="12">
          <cell r="B12">
            <v>35916</v>
          </cell>
        </row>
      </sheetData>
      <sheetData sheetId="214">
        <row r="12">
          <cell r="B12">
            <v>35916</v>
          </cell>
        </row>
      </sheetData>
      <sheetData sheetId="215">
        <row r="12">
          <cell r="B12">
            <v>35916</v>
          </cell>
        </row>
      </sheetData>
      <sheetData sheetId="216">
        <row r="12">
          <cell r="B12">
            <v>35916</v>
          </cell>
        </row>
      </sheetData>
      <sheetData sheetId="217">
        <row r="12">
          <cell r="B12">
            <v>35916</v>
          </cell>
        </row>
      </sheetData>
      <sheetData sheetId="218">
        <row r="12">
          <cell r="B12">
            <v>35916</v>
          </cell>
        </row>
      </sheetData>
      <sheetData sheetId="219">
        <row r="12">
          <cell r="B12">
            <v>35916</v>
          </cell>
        </row>
      </sheetData>
      <sheetData sheetId="220">
        <row r="12">
          <cell r="B12">
            <v>35916</v>
          </cell>
        </row>
      </sheetData>
      <sheetData sheetId="221">
        <row r="12">
          <cell r="B12">
            <v>35916</v>
          </cell>
        </row>
      </sheetData>
      <sheetData sheetId="222">
        <row r="12">
          <cell r="B12">
            <v>35916</v>
          </cell>
        </row>
      </sheetData>
      <sheetData sheetId="223">
        <row r="12">
          <cell r="B12">
            <v>35916</v>
          </cell>
        </row>
      </sheetData>
      <sheetData sheetId="224">
        <row r="12">
          <cell r="B12">
            <v>35916</v>
          </cell>
        </row>
      </sheetData>
      <sheetData sheetId="225">
        <row r="12">
          <cell r="B12">
            <v>35916</v>
          </cell>
        </row>
      </sheetData>
      <sheetData sheetId="226">
        <row r="12">
          <cell r="B12">
            <v>35916</v>
          </cell>
        </row>
      </sheetData>
      <sheetData sheetId="227">
        <row r="12">
          <cell r="B12">
            <v>35916</v>
          </cell>
        </row>
      </sheetData>
      <sheetData sheetId="228">
        <row r="12">
          <cell r="B12">
            <v>35916</v>
          </cell>
        </row>
      </sheetData>
      <sheetData sheetId="229">
        <row r="12">
          <cell r="B12">
            <v>35916</v>
          </cell>
        </row>
      </sheetData>
      <sheetData sheetId="230">
        <row r="12">
          <cell r="B12">
            <v>35916</v>
          </cell>
        </row>
      </sheetData>
      <sheetData sheetId="231">
        <row r="12">
          <cell r="B12">
            <v>35916</v>
          </cell>
        </row>
      </sheetData>
      <sheetData sheetId="232">
        <row r="12">
          <cell r="B12">
            <v>35916</v>
          </cell>
        </row>
      </sheetData>
      <sheetData sheetId="233">
        <row r="12">
          <cell r="B12">
            <v>35916</v>
          </cell>
        </row>
      </sheetData>
      <sheetData sheetId="234">
        <row r="12">
          <cell r="B12">
            <v>35916</v>
          </cell>
        </row>
      </sheetData>
      <sheetData sheetId="235">
        <row r="12">
          <cell r="B12">
            <v>35916</v>
          </cell>
        </row>
      </sheetData>
      <sheetData sheetId="236">
        <row r="12">
          <cell r="B12">
            <v>35916</v>
          </cell>
        </row>
      </sheetData>
      <sheetData sheetId="237">
        <row r="12">
          <cell r="B12">
            <v>35916</v>
          </cell>
        </row>
      </sheetData>
      <sheetData sheetId="238">
        <row r="12">
          <cell r="B12">
            <v>35916</v>
          </cell>
        </row>
      </sheetData>
      <sheetData sheetId="239">
        <row r="12">
          <cell r="B12">
            <v>35916</v>
          </cell>
        </row>
      </sheetData>
      <sheetData sheetId="240">
        <row r="12">
          <cell r="B12">
            <v>35916</v>
          </cell>
        </row>
      </sheetData>
      <sheetData sheetId="241">
        <row r="12">
          <cell r="B12">
            <v>35916</v>
          </cell>
        </row>
      </sheetData>
      <sheetData sheetId="242">
        <row r="12">
          <cell r="B12">
            <v>35916</v>
          </cell>
        </row>
      </sheetData>
      <sheetData sheetId="243">
        <row r="12">
          <cell r="B12">
            <v>35916</v>
          </cell>
        </row>
      </sheetData>
      <sheetData sheetId="244">
        <row r="12">
          <cell r="B12">
            <v>35916</v>
          </cell>
        </row>
      </sheetData>
      <sheetData sheetId="245">
        <row r="12">
          <cell r="B12">
            <v>35916</v>
          </cell>
        </row>
      </sheetData>
      <sheetData sheetId="246">
        <row r="12">
          <cell r="B12">
            <v>35916</v>
          </cell>
        </row>
      </sheetData>
      <sheetData sheetId="247"/>
      <sheetData sheetId="248">
        <row r="12">
          <cell r="B12">
            <v>35916</v>
          </cell>
        </row>
      </sheetData>
      <sheetData sheetId="249"/>
      <sheetData sheetId="250"/>
      <sheetData sheetId="251">
        <row r="12">
          <cell r="B12">
            <v>35916</v>
          </cell>
        </row>
      </sheetData>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sheetData sheetId="359"/>
      <sheetData sheetId="360" refreshError="1"/>
      <sheetData sheetId="361" refreshError="1"/>
      <sheetData sheetId="362" refreshError="1"/>
      <sheetData sheetId="363" refreshError="1"/>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ow r="10">
          <cell r="B10">
            <v>0</v>
          </cell>
        </row>
      </sheetData>
      <sheetData sheetId="506">
        <row r="10">
          <cell r="B10">
            <v>0</v>
          </cell>
        </row>
      </sheetData>
      <sheetData sheetId="507">
        <row r="10">
          <cell r="B10">
            <v>0</v>
          </cell>
        </row>
      </sheetData>
      <sheetData sheetId="508">
        <row r="10">
          <cell r="B10">
            <v>0</v>
          </cell>
        </row>
      </sheetData>
      <sheetData sheetId="509">
        <row r="10">
          <cell r="B10">
            <v>0</v>
          </cell>
        </row>
      </sheetData>
      <sheetData sheetId="510">
        <row r="10">
          <cell r="B10">
            <v>0</v>
          </cell>
        </row>
      </sheetData>
      <sheetData sheetId="511">
        <row r="10">
          <cell r="B10">
            <v>0</v>
          </cell>
        </row>
      </sheetData>
      <sheetData sheetId="512">
        <row r="10">
          <cell r="B10">
            <v>0</v>
          </cell>
        </row>
      </sheetData>
      <sheetData sheetId="513">
        <row r="10">
          <cell r="B10">
            <v>0</v>
          </cell>
        </row>
      </sheetData>
      <sheetData sheetId="514">
        <row r="10">
          <cell r="B10">
            <v>0</v>
          </cell>
        </row>
      </sheetData>
      <sheetData sheetId="515">
        <row r="10">
          <cell r="B10">
            <v>0</v>
          </cell>
        </row>
      </sheetData>
      <sheetData sheetId="516">
        <row r="10">
          <cell r="B10">
            <v>0</v>
          </cell>
        </row>
      </sheetData>
      <sheetData sheetId="517">
        <row r="10">
          <cell r="B10">
            <v>0</v>
          </cell>
        </row>
      </sheetData>
      <sheetData sheetId="518">
        <row r="10">
          <cell r="B10">
            <v>0</v>
          </cell>
        </row>
      </sheetData>
      <sheetData sheetId="519">
        <row r="10">
          <cell r="B10">
            <v>0</v>
          </cell>
        </row>
      </sheetData>
      <sheetData sheetId="520">
        <row r="10">
          <cell r="B10">
            <v>0</v>
          </cell>
        </row>
      </sheetData>
      <sheetData sheetId="521">
        <row r="10">
          <cell r="B10">
            <v>0</v>
          </cell>
        </row>
      </sheetData>
      <sheetData sheetId="522">
        <row r="10">
          <cell r="B10">
            <v>0</v>
          </cell>
        </row>
      </sheetData>
      <sheetData sheetId="523">
        <row r="10">
          <cell r="B10">
            <v>0</v>
          </cell>
        </row>
      </sheetData>
      <sheetData sheetId="524">
        <row r="10">
          <cell r="B10">
            <v>0</v>
          </cell>
        </row>
      </sheetData>
      <sheetData sheetId="525">
        <row r="10">
          <cell r="B10">
            <v>0</v>
          </cell>
        </row>
      </sheetData>
      <sheetData sheetId="526">
        <row r="10">
          <cell r="B10">
            <v>0</v>
          </cell>
        </row>
      </sheetData>
      <sheetData sheetId="527">
        <row r="10">
          <cell r="B10">
            <v>0</v>
          </cell>
        </row>
      </sheetData>
      <sheetData sheetId="528">
        <row r="10">
          <cell r="B10">
            <v>0</v>
          </cell>
        </row>
      </sheetData>
      <sheetData sheetId="529">
        <row r="10">
          <cell r="B10">
            <v>0</v>
          </cell>
        </row>
      </sheetData>
      <sheetData sheetId="530">
        <row r="12">
          <cell r="B12">
            <v>35916</v>
          </cell>
        </row>
      </sheetData>
      <sheetData sheetId="531">
        <row r="12">
          <cell r="B12">
            <v>35916</v>
          </cell>
        </row>
      </sheetData>
      <sheetData sheetId="532">
        <row r="12">
          <cell r="B12">
            <v>35916</v>
          </cell>
        </row>
      </sheetData>
      <sheetData sheetId="533">
        <row r="12">
          <cell r="B12">
            <v>35916</v>
          </cell>
        </row>
      </sheetData>
      <sheetData sheetId="534">
        <row r="12">
          <cell r="B12">
            <v>35916</v>
          </cell>
        </row>
      </sheetData>
      <sheetData sheetId="535">
        <row r="12">
          <cell r="B12">
            <v>35916</v>
          </cell>
        </row>
      </sheetData>
      <sheetData sheetId="536">
        <row r="12">
          <cell r="B12">
            <v>35916</v>
          </cell>
        </row>
      </sheetData>
      <sheetData sheetId="537">
        <row r="12">
          <cell r="B12">
            <v>35916</v>
          </cell>
        </row>
      </sheetData>
      <sheetData sheetId="538">
        <row r="12">
          <cell r="B12">
            <v>35916</v>
          </cell>
        </row>
      </sheetData>
      <sheetData sheetId="539">
        <row r="10">
          <cell r="B10">
            <v>0</v>
          </cell>
        </row>
      </sheetData>
      <sheetData sheetId="540">
        <row r="10">
          <cell r="B10">
            <v>0</v>
          </cell>
        </row>
      </sheetData>
      <sheetData sheetId="541">
        <row r="10">
          <cell r="B10">
            <v>0</v>
          </cell>
        </row>
      </sheetData>
      <sheetData sheetId="542">
        <row r="12">
          <cell r="B12">
            <v>35916</v>
          </cell>
        </row>
      </sheetData>
      <sheetData sheetId="543">
        <row r="12">
          <cell r="B12">
            <v>35916</v>
          </cell>
        </row>
      </sheetData>
      <sheetData sheetId="544">
        <row r="12">
          <cell r="B12">
            <v>35916</v>
          </cell>
        </row>
      </sheetData>
      <sheetData sheetId="545">
        <row r="10">
          <cell r="B10">
            <v>0</v>
          </cell>
        </row>
      </sheetData>
      <sheetData sheetId="546">
        <row r="12">
          <cell r="B12">
            <v>35916</v>
          </cell>
        </row>
      </sheetData>
      <sheetData sheetId="547">
        <row r="12">
          <cell r="B12">
            <v>35916</v>
          </cell>
        </row>
      </sheetData>
      <sheetData sheetId="548">
        <row r="10">
          <cell r="B10">
            <v>0</v>
          </cell>
        </row>
      </sheetData>
      <sheetData sheetId="549">
        <row r="12">
          <cell r="B12">
            <v>35916</v>
          </cell>
        </row>
      </sheetData>
      <sheetData sheetId="550">
        <row r="10">
          <cell r="B10">
            <v>0</v>
          </cell>
        </row>
      </sheetData>
      <sheetData sheetId="551">
        <row r="12">
          <cell r="B12" t="str">
            <v>A14M471</v>
          </cell>
        </row>
      </sheetData>
      <sheetData sheetId="552">
        <row r="12">
          <cell r="B12" t="str">
            <v>A14M471</v>
          </cell>
        </row>
      </sheetData>
      <sheetData sheetId="553">
        <row r="10">
          <cell r="B10">
            <v>0</v>
          </cell>
        </row>
      </sheetData>
      <sheetData sheetId="554">
        <row r="12">
          <cell r="B12" t="str">
            <v>A14M471</v>
          </cell>
        </row>
      </sheetData>
      <sheetData sheetId="555">
        <row r="12">
          <cell r="B12" t="str">
            <v>A14M471</v>
          </cell>
        </row>
      </sheetData>
      <sheetData sheetId="556">
        <row r="12">
          <cell r="B12" t="str">
            <v>A14M471</v>
          </cell>
        </row>
      </sheetData>
      <sheetData sheetId="557">
        <row r="12">
          <cell r="B12" t="str">
            <v>A14M471</v>
          </cell>
        </row>
      </sheetData>
      <sheetData sheetId="558">
        <row r="12">
          <cell r="B12" t="str">
            <v>A14M471</v>
          </cell>
        </row>
      </sheetData>
      <sheetData sheetId="559">
        <row r="12">
          <cell r="B12">
            <v>35916</v>
          </cell>
        </row>
      </sheetData>
      <sheetData sheetId="560">
        <row r="12">
          <cell r="B12">
            <v>35916</v>
          </cell>
        </row>
      </sheetData>
      <sheetData sheetId="561">
        <row r="12">
          <cell r="B12">
            <v>35916</v>
          </cell>
        </row>
      </sheetData>
      <sheetData sheetId="562">
        <row r="12">
          <cell r="B12">
            <v>35916</v>
          </cell>
        </row>
      </sheetData>
      <sheetData sheetId="563">
        <row r="12">
          <cell r="B12" t="str">
            <v>A14M471</v>
          </cell>
        </row>
      </sheetData>
      <sheetData sheetId="564">
        <row r="12">
          <cell r="B12" t="str">
            <v>A14M471</v>
          </cell>
        </row>
      </sheetData>
      <sheetData sheetId="565">
        <row r="12">
          <cell r="B12" t="str">
            <v>A14M471</v>
          </cell>
        </row>
      </sheetData>
      <sheetData sheetId="566">
        <row r="12">
          <cell r="B12" t="str">
            <v>A14M471</v>
          </cell>
        </row>
      </sheetData>
      <sheetData sheetId="567">
        <row r="12">
          <cell r="B12" t="str">
            <v>A14M471</v>
          </cell>
        </row>
      </sheetData>
      <sheetData sheetId="568">
        <row r="12">
          <cell r="B12">
            <v>35916</v>
          </cell>
        </row>
      </sheetData>
      <sheetData sheetId="569">
        <row r="12">
          <cell r="B12" t="str">
            <v>A14M471</v>
          </cell>
        </row>
      </sheetData>
      <sheetData sheetId="570">
        <row r="12">
          <cell r="B12" t="str">
            <v>A14M471</v>
          </cell>
        </row>
      </sheetData>
      <sheetData sheetId="571">
        <row r="12">
          <cell r="B12" t="str">
            <v>A14M471</v>
          </cell>
        </row>
      </sheetData>
      <sheetData sheetId="572">
        <row r="12">
          <cell r="B12" t="str">
            <v>A14M471</v>
          </cell>
        </row>
      </sheetData>
      <sheetData sheetId="573">
        <row r="12">
          <cell r="B12" t="str">
            <v>A14M471</v>
          </cell>
        </row>
      </sheetData>
      <sheetData sheetId="574">
        <row r="12">
          <cell r="B12" t="str">
            <v>A14M471</v>
          </cell>
        </row>
      </sheetData>
      <sheetData sheetId="575">
        <row r="12">
          <cell r="B12" t="str">
            <v>A14M471</v>
          </cell>
        </row>
      </sheetData>
      <sheetData sheetId="576">
        <row r="12">
          <cell r="B12">
            <v>35916</v>
          </cell>
        </row>
      </sheetData>
      <sheetData sheetId="577">
        <row r="12">
          <cell r="B12">
            <v>35916</v>
          </cell>
        </row>
      </sheetData>
      <sheetData sheetId="578">
        <row r="12">
          <cell r="B12">
            <v>35916</v>
          </cell>
        </row>
      </sheetData>
      <sheetData sheetId="579">
        <row r="12">
          <cell r="B12">
            <v>35916</v>
          </cell>
        </row>
      </sheetData>
      <sheetData sheetId="580">
        <row r="12">
          <cell r="B12">
            <v>35916</v>
          </cell>
        </row>
      </sheetData>
      <sheetData sheetId="581">
        <row r="12">
          <cell r="B12">
            <v>35916</v>
          </cell>
        </row>
      </sheetData>
      <sheetData sheetId="582">
        <row r="12">
          <cell r="B12">
            <v>35916</v>
          </cell>
        </row>
      </sheetData>
      <sheetData sheetId="583">
        <row r="12">
          <cell r="B12">
            <v>35916</v>
          </cell>
        </row>
      </sheetData>
      <sheetData sheetId="584">
        <row r="12">
          <cell r="B12">
            <v>35916</v>
          </cell>
        </row>
      </sheetData>
      <sheetData sheetId="585">
        <row r="12">
          <cell r="B12">
            <v>35916</v>
          </cell>
        </row>
      </sheetData>
      <sheetData sheetId="586">
        <row r="12">
          <cell r="B12">
            <v>35916</v>
          </cell>
        </row>
      </sheetData>
      <sheetData sheetId="587">
        <row r="12">
          <cell r="B12">
            <v>35916</v>
          </cell>
        </row>
      </sheetData>
      <sheetData sheetId="588">
        <row r="12">
          <cell r="B12">
            <v>35916</v>
          </cell>
        </row>
      </sheetData>
      <sheetData sheetId="589">
        <row r="12">
          <cell r="B12" t="str">
            <v>A14M471</v>
          </cell>
        </row>
      </sheetData>
      <sheetData sheetId="590">
        <row r="12">
          <cell r="B12" t="str">
            <v>A14M471</v>
          </cell>
        </row>
      </sheetData>
      <sheetData sheetId="591">
        <row r="12">
          <cell r="B12" t="str">
            <v>A14M471</v>
          </cell>
        </row>
      </sheetData>
      <sheetData sheetId="592">
        <row r="12">
          <cell r="B12" t="str">
            <v>A14M471</v>
          </cell>
        </row>
      </sheetData>
      <sheetData sheetId="593">
        <row r="12">
          <cell r="B12" t="str">
            <v>A14M471</v>
          </cell>
        </row>
      </sheetData>
      <sheetData sheetId="594">
        <row r="12">
          <cell r="B12" t="str">
            <v>A14M471</v>
          </cell>
        </row>
      </sheetData>
      <sheetData sheetId="595">
        <row r="12">
          <cell r="B12" t="str">
            <v>A14M471</v>
          </cell>
        </row>
      </sheetData>
      <sheetData sheetId="596">
        <row r="10">
          <cell r="B10" t="str">
            <v>PAQUETE TECNICO</v>
          </cell>
        </row>
      </sheetData>
      <sheetData sheetId="597">
        <row r="10">
          <cell r="B10" t="str">
            <v>PAQUETE TECNICO</v>
          </cell>
        </row>
      </sheetData>
      <sheetData sheetId="598">
        <row r="10">
          <cell r="B10" t="str">
            <v>PAQUETE TECNICO</v>
          </cell>
        </row>
      </sheetData>
      <sheetData sheetId="599">
        <row r="10">
          <cell r="B10" t="str">
            <v>PAQUETE TECNICO</v>
          </cell>
        </row>
      </sheetData>
      <sheetData sheetId="600">
        <row r="10">
          <cell r="B10" t="str">
            <v>PAQUETE TECNICO</v>
          </cell>
        </row>
      </sheetData>
      <sheetData sheetId="601">
        <row r="10">
          <cell r="B10" t="str">
            <v>PAQUETE TECNICO</v>
          </cell>
        </row>
      </sheetData>
      <sheetData sheetId="602">
        <row r="10">
          <cell r="B10" t="str">
            <v>PAQUETE TECNICO</v>
          </cell>
        </row>
      </sheetData>
      <sheetData sheetId="603">
        <row r="10">
          <cell r="B10" t="str">
            <v>PAQUETE TECNICO</v>
          </cell>
        </row>
      </sheetData>
      <sheetData sheetId="604">
        <row r="10">
          <cell r="B10">
            <v>0</v>
          </cell>
        </row>
      </sheetData>
      <sheetData sheetId="605">
        <row r="10">
          <cell r="B10">
            <v>0</v>
          </cell>
        </row>
      </sheetData>
      <sheetData sheetId="606">
        <row r="10">
          <cell r="B10">
            <v>0</v>
          </cell>
        </row>
      </sheetData>
      <sheetData sheetId="607">
        <row r="10">
          <cell r="B10">
            <v>0</v>
          </cell>
        </row>
      </sheetData>
      <sheetData sheetId="608">
        <row r="10">
          <cell r="B10">
            <v>0</v>
          </cell>
        </row>
      </sheetData>
      <sheetData sheetId="609">
        <row r="10">
          <cell r="B10" t="str">
            <v>PAQUETE TECNICO</v>
          </cell>
        </row>
      </sheetData>
      <sheetData sheetId="610">
        <row r="10">
          <cell r="B10">
            <v>0</v>
          </cell>
        </row>
      </sheetData>
      <sheetData sheetId="611">
        <row r="10">
          <cell r="B10" t="str">
            <v>PAQUETE TECNICO</v>
          </cell>
        </row>
      </sheetData>
      <sheetData sheetId="612">
        <row r="10">
          <cell r="B10">
            <v>0</v>
          </cell>
        </row>
      </sheetData>
      <sheetData sheetId="613">
        <row r="10">
          <cell r="B10" t="str">
            <v>PAQUETE TECNICO</v>
          </cell>
        </row>
      </sheetData>
      <sheetData sheetId="614">
        <row r="10">
          <cell r="B10">
            <v>0</v>
          </cell>
        </row>
      </sheetData>
      <sheetData sheetId="615">
        <row r="10">
          <cell r="B10" t="str">
            <v>PAQUETE TECNICO</v>
          </cell>
        </row>
      </sheetData>
      <sheetData sheetId="616">
        <row r="10">
          <cell r="B10">
            <v>0</v>
          </cell>
        </row>
      </sheetData>
      <sheetData sheetId="617">
        <row r="10">
          <cell r="B10" t="str">
            <v>PAQUETE TECNICO</v>
          </cell>
        </row>
      </sheetData>
      <sheetData sheetId="618">
        <row r="10">
          <cell r="B10">
            <v>0</v>
          </cell>
        </row>
      </sheetData>
      <sheetData sheetId="619" refreshError="1"/>
      <sheetData sheetId="620" refreshError="1"/>
      <sheetData sheetId="621">
        <row r="10">
          <cell r="B10">
            <v>0</v>
          </cell>
        </row>
      </sheetData>
      <sheetData sheetId="622">
        <row r="10">
          <cell r="B10">
            <v>0</v>
          </cell>
        </row>
      </sheetData>
      <sheetData sheetId="623">
        <row r="10">
          <cell r="B10">
            <v>0</v>
          </cell>
        </row>
      </sheetData>
      <sheetData sheetId="624">
        <row r="12">
          <cell r="B12">
            <v>35916</v>
          </cell>
        </row>
      </sheetData>
      <sheetData sheetId="625">
        <row r="12">
          <cell r="B12">
            <v>35916</v>
          </cell>
        </row>
      </sheetData>
      <sheetData sheetId="626">
        <row r="12">
          <cell r="B12">
            <v>35916</v>
          </cell>
        </row>
      </sheetData>
      <sheetData sheetId="627">
        <row r="10">
          <cell r="B10">
            <v>0</v>
          </cell>
        </row>
      </sheetData>
      <sheetData sheetId="628">
        <row r="10">
          <cell r="B10">
            <v>0</v>
          </cell>
        </row>
      </sheetData>
      <sheetData sheetId="629">
        <row r="10">
          <cell r="B10">
            <v>0</v>
          </cell>
        </row>
      </sheetData>
      <sheetData sheetId="630">
        <row r="12">
          <cell r="B12" t="str">
            <v>A14M471</v>
          </cell>
        </row>
      </sheetData>
      <sheetData sheetId="631">
        <row r="12">
          <cell r="B12" t="str">
            <v>A14M471</v>
          </cell>
        </row>
      </sheetData>
      <sheetData sheetId="632">
        <row r="12">
          <cell r="B12" t="str">
            <v>A14M471</v>
          </cell>
        </row>
      </sheetData>
      <sheetData sheetId="633">
        <row r="12">
          <cell r="B12" t="str">
            <v>A14M471</v>
          </cell>
        </row>
      </sheetData>
      <sheetData sheetId="634">
        <row r="12">
          <cell r="B12" t="str">
            <v>A14M471</v>
          </cell>
        </row>
      </sheetData>
      <sheetData sheetId="635">
        <row r="12">
          <cell r="B12" t="str">
            <v>A14M471</v>
          </cell>
        </row>
      </sheetData>
      <sheetData sheetId="636">
        <row r="12">
          <cell r="B12" t="str">
            <v>A14M471</v>
          </cell>
        </row>
      </sheetData>
      <sheetData sheetId="637">
        <row r="12">
          <cell r="B12" t="str">
            <v>A14M471</v>
          </cell>
        </row>
      </sheetData>
      <sheetData sheetId="638">
        <row r="12">
          <cell r="B12" t="str">
            <v>A14M471</v>
          </cell>
        </row>
      </sheetData>
      <sheetData sheetId="639">
        <row r="12">
          <cell r="B12" t="str">
            <v>A14M471</v>
          </cell>
        </row>
      </sheetData>
      <sheetData sheetId="640">
        <row r="12">
          <cell r="B12" t="str">
            <v>A14M471</v>
          </cell>
        </row>
      </sheetData>
      <sheetData sheetId="641">
        <row r="12">
          <cell r="B12" t="str">
            <v>A14M471</v>
          </cell>
        </row>
      </sheetData>
      <sheetData sheetId="642">
        <row r="12">
          <cell r="B12" t="str">
            <v>A14M471</v>
          </cell>
        </row>
      </sheetData>
      <sheetData sheetId="643">
        <row r="12">
          <cell r="B12" t="str">
            <v>A14M471</v>
          </cell>
        </row>
      </sheetData>
      <sheetData sheetId="644">
        <row r="12">
          <cell r="B12" t="str">
            <v>A14M471</v>
          </cell>
        </row>
      </sheetData>
      <sheetData sheetId="645">
        <row r="12">
          <cell r="B12" t="str">
            <v>A14M471</v>
          </cell>
        </row>
      </sheetData>
      <sheetData sheetId="646">
        <row r="12">
          <cell r="B12" t="str">
            <v>A14M471</v>
          </cell>
        </row>
      </sheetData>
      <sheetData sheetId="647">
        <row r="10">
          <cell r="B10">
            <v>0</v>
          </cell>
        </row>
      </sheetData>
      <sheetData sheetId="648">
        <row r="12">
          <cell r="B12" t="str">
            <v>A14M471</v>
          </cell>
        </row>
      </sheetData>
      <sheetData sheetId="649">
        <row r="10">
          <cell r="B10">
            <v>0</v>
          </cell>
        </row>
      </sheetData>
      <sheetData sheetId="650">
        <row r="12">
          <cell r="B12" t="str">
            <v>A14M471</v>
          </cell>
        </row>
      </sheetData>
      <sheetData sheetId="651">
        <row r="12">
          <cell r="B12" t="str">
            <v>A14M471</v>
          </cell>
        </row>
      </sheetData>
      <sheetData sheetId="652">
        <row r="12">
          <cell r="B12" t="str">
            <v>A14M471</v>
          </cell>
        </row>
      </sheetData>
      <sheetData sheetId="653">
        <row r="12">
          <cell r="B12">
            <v>35916</v>
          </cell>
        </row>
      </sheetData>
      <sheetData sheetId="654">
        <row r="10">
          <cell r="B10">
            <v>0</v>
          </cell>
        </row>
      </sheetData>
      <sheetData sheetId="655">
        <row r="10">
          <cell r="B10">
            <v>0</v>
          </cell>
        </row>
      </sheetData>
      <sheetData sheetId="656">
        <row r="12">
          <cell r="B12">
            <v>35916</v>
          </cell>
        </row>
      </sheetData>
      <sheetData sheetId="657">
        <row r="12">
          <cell r="B12" t="str">
            <v>A14M471</v>
          </cell>
        </row>
      </sheetData>
      <sheetData sheetId="658">
        <row r="12">
          <cell r="B12" t="str">
            <v>A14M471</v>
          </cell>
        </row>
      </sheetData>
      <sheetData sheetId="659">
        <row r="10">
          <cell r="B10">
            <v>0</v>
          </cell>
        </row>
      </sheetData>
      <sheetData sheetId="660">
        <row r="10">
          <cell r="B10" t="str">
            <v>PAQUETE TECNICO</v>
          </cell>
        </row>
      </sheetData>
      <sheetData sheetId="661">
        <row r="10">
          <cell r="B10">
            <v>0</v>
          </cell>
        </row>
      </sheetData>
      <sheetData sheetId="662">
        <row r="10">
          <cell r="B10" t="str">
            <v>PAQUETE TECNICO</v>
          </cell>
        </row>
      </sheetData>
      <sheetData sheetId="663">
        <row r="10">
          <cell r="B10" t="str">
            <v>PAQUETE TECNICO</v>
          </cell>
        </row>
      </sheetData>
      <sheetData sheetId="664">
        <row r="10">
          <cell r="B10" t="str">
            <v>PAQUETE TECNICO</v>
          </cell>
        </row>
      </sheetData>
      <sheetData sheetId="665">
        <row r="10">
          <cell r="B10" t="str">
            <v>PAQUETE TECNICO</v>
          </cell>
        </row>
      </sheetData>
      <sheetData sheetId="666">
        <row r="10">
          <cell r="B10" t="str">
            <v>PAQUETE TECNICO</v>
          </cell>
        </row>
      </sheetData>
      <sheetData sheetId="667">
        <row r="10">
          <cell r="B10">
            <v>0</v>
          </cell>
        </row>
      </sheetData>
      <sheetData sheetId="668">
        <row r="10">
          <cell r="B10">
            <v>0</v>
          </cell>
        </row>
      </sheetData>
      <sheetData sheetId="669">
        <row r="10">
          <cell r="B10">
            <v>0</v>
          </cell>
        </row>
      </sheetData>
      <sheetData sheetId="670">
        <row r="10">
          <cell r="B10">
            <v>0</v>
          </cell>
        </row>
      </sheetData>
      <sheetData sheetId="671">
        <row r="10">
          <cell r="B10">
            <v>0</v>
          </cell>
        </row>
      </sheetData>
      <sheetData sheetId="672">
        <row r="10">
          <cell r="B10" t="str">
            <v>PAQUETE TECNICO</v>
          </cell>
        </row>
      </sheetData>
      <sheetData sheetId="673">
        <row r="10">
          <cell r="B10">
            <v>0</v>
          </cell>
        </row>
      </sheetData>
      <sheetData sheetId="674">
        <row r="10">
          <cell r="B10" t="str">
            <v>PAQUETE TECNICO</v>
          </cell>
        </row>
      </sheetData>
      <sheetData sheetId="675">
        <row r="10">
          <cell r="B10">
            <v>0</v>
          </cell>
        </row>
      </sheetData>
      <sheetData sheetId="676">
        <row r="10">
          <cell r="B10" t="str">
            <v>PAQUETE TECNICO</v>
          </cell>
        </row>
      </sheetData>
      <sheetData sheetId="677">
        <row r="12">
          <cell r="B12">
            <v>35916</v>
          </cell>
        </row>
      </sheetData>
      <sheetData sheetId="678">
        <row r="10">
          <cell r="B10" t="str">
            <v>PAQUETE TECNICO</v>
          </cell>
        </row>
      </sheetData>
      <sheetData sheetId="679">
        <row r="10">
          <cell r="B10" t="str">
            <v>PAQUETE TECNICO</v>
          </cell>
        </row>
      </sheetData>
      <sheetData sheetId="680">
        <row r="10">
          <cell r="B10" t="str">
            <v>PAQUETE TECNICO</v>
          </cell>
        </row>
      </sheetData>
      <sheetData sheetId="681">
        <row r="10">
          <cell r="B10">
            <v>0</v>
          </cell>
        </row>
      </sheetData>
      <sheetData sheetId="682">
        <row r="10">
          <cell r="B10" t="str">
            <v>PAQUETE TECNICO</v>
          </cell>
        </row>
      </sheetData>
      <sheetData sheetId="683">
        <row r="10">
          <cell r="B10">
            <v>0</v>
          </cell>
        </row>
      </sheetData>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refreshError="1"/>
      <sheetData sheetId="902" refreshError="1"/>
      <sheetData sheetId="903">
        <row r="10">
          <cell r="B10" t="str">
            <v>Ley de Cu T Cabeza</v>
          </cell>
        </row>
      </sheetData>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refreshError="1"/>
      <sheetData sheetId="924"/>
      <sheetData sheetId="925">
        <row r="10">
          <cell r="B10">
            <v>0</v>
          </cell>
        </row>
      </sheetData>
      <sheetData sheetId="9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_TM345_601570"/>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TOS"/>
      <sheetName val="ProyAnual_Dura"/>
      <sheetName val="Factor"/>
      <sheetName val="Explicaciones"/>
      <sheetName val="ARRIENDO"/>
      <sheetName val="CAPITALIZABLES"/>
      <sheetName val="TEM500_DIC"/>
      <sheetName val="tem500_Neto"/>
      <sheetName val="tem505"/>
      <sheetName val="Mat_TM345_601570"/>
      <sheetName val="TEM507"/>
      <sheetName val="TM351_601010"/>
      <sheetName val="TM350_601500"/>
      <sheetName val="TM350_601550"/>
      <sheetName val="tm351_601500"/>
      <sheetName val="Tm356_602100"/>
      <sheetName val="TM359_601500"/>
      <sheetName val="Resumen"/>
      <sheetName val="Da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dicion"/>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Cu"/>
      <sheetName val="TOTAL Mo"/>
      <sheetName val="TOTAL As"/>
      <sheetName val="TOTAL CuNS"/>
      <sheetName val="TOTAL Wi"/>
      <sheetName val="SEWELL Cu"/>
      <sheetName val="SEWELL Mo"/>
      <sheetName val="SEWELL As"/>
      <sheetName val="SEWELL CuNS"/>
      <sheetName val="SEWELL Wi"/>
      <sheetName val="COLON Cu"/>
      <sheetName val="COLON Mo"/>
      <sheetName val="COLON As"/>
      <sheetName val="COLON CuNS"/>
      <sheetName val="COLON Wi"/>
      <sheetName val="Caract Met"/>
      <sheetName val="Caract Min SW"/>
      <sheetName val="Caract Min CO"/>
      <sheetName val="Buzon"/>
      <sheetName val="Gráfico2"/>
      <sheetName val="Gráfico1"/>
      <sheetName val="Alim-Ch"/>
      <sheetName val="Alim-Mol"/>
      <sheetName val="Mant-Mol"/>
      <sheetName val="Cap-Mol"/>
      <sheetName val="Flot-SEWELL"/>
      <sheetName val="Flot-SAG"/>
      <sheetName val="Flot-COLON"/>
      <sheetName val="Flot-Retrat"/>
      <sheetName val="HIDRO"/>
      <sheetName val="Estadísticas"/>
      <sheetName val="Condicion"/>
      <sheetName val="Producción"/>
      <sheetName val="Recibido"/>
      <sheetName val="Prog_Rep"/>
      <sheetName val="para_IP"/>
      <sheetName val="GPTA"/>
      <sheetName val="GFUN"/>
      <sheetName val="Div. TTE"/>
      <sheetName val="Resumen T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ámetros"/>
      <sheetName val="Costo Total Agregado a Cátodo"/>
      <sheetName val="Cash Cost"/>
      <sheetName val="Tabla Comparativa"/>
      <sheetName val="Resumen Ejec"/>
      <sheetName val="Costos"/>
      <sheetName val="VAN ACUMULADO"/>
      <sheetName val="Casos Base Futuros"/>
      <sheetName val="Flujo"/>
      <sheetName val="PRODUCCION"/>
      <sheetName val="PRODUCCION ACUMULADA"/>
      <sheetName val="Ingresos"/>
      <sheetName val="INVERSIONES"/>
      <sheetName val="Inversion"/>
      <sheetName val="Depreciacion"/>
      <sheetName val="Hoja nO cORRE"/>
      <sheetName val="Hoja de Trabajo Costos"/>
      <sheetName val="Descuentos (2)"/>
      <sheetName val="Descuentos"/>
      <sheetName val="Ley y Recuperacion"/>
      <sheetName val="Hoja de Trabajo produccion"/>
      <sheetName val="Hoja de Trabajo produccion (2)"/>
      <sheetName val="API 9501"/>
      <sheetName val="graf acido"/>
      <sheetName val="graf acido cTabla"/>
      <sheetName val="Acido"/>
      <sheetName val="ENERGIA ELECTRICA"/>
      <sheetName val="Agua"/>
      <sheetName val="ENERGIA ELECTRICA cTabla"/>
      <sheetName val="E.E"/>
      <sheetName val="Graf Dotacion"/>
      <sheetName val="Dotación"/>
      <sheetName val="Graf Costos x Area"/>
      <sheetName val="Costos x Clase de Costo"/>
      <sheetName val="Costos x Clase de Costo (anali)"/>
      <sheetName val="Distr. Costos"/>
      <sheetName val="flujo _2"/>
      <sheetName val="Hoja10"/>
      <sheetName val="Hoja11"/>
      <sheetName val="Hoja12"/>
      <sheetName val="Hoja13"/>
      <sheetName val="Hoja14"/>
      <sheetName val="Hoja15"/>
      <sheetName val="Hoja16"/>
      <sheetName val="T2GEFURE_ACUM"/>
      <sheetName val="TABLAS"/>
      <sheetName val="Costo_Total_Agregado_a_Cátodo"/>
      <sheetName val="Cash_Cost"/>
      <sheetName val="Tabla_Comparativa"/>
      <sheetName val="Resumen_Ejec"/>
      <sheetName val="VAN_ACUMULADO"/>
      <sheetName val="Casos_Base_Futuros"/>
      <sheetName val="PRODUCCION_ACUMULADA"/>
      <sheetName val="Hoja_nO_cORRE"/>
      <sheetName val="Hoja_de_Trabajo_Costos"/>
      <sheetName val="Descuentos_(2)"/>
      <sheetName val="Ley_y_Recuperacion"/>
      <sheetName val="Hoja_de_Trabajo_produccion"/>
      <sheetName val="Hoja_de_Trabajo_produccion_(2)"/>
      <sheetName val="API_9501"/>
      <sheetName val="graf_acido"/>
      <sheetName val="graf_acido_cTabla"/>
      <sheetName val="ENERGIA_ELECTRICA"/>
      <sheetName val="ENERGIA_ELECTRICA_cTabla"/>
      <sheetName val="E_E"/>
      <sheetName val="Graf_Dotacion"/>
      <sheetName val="Graf_Costos_x_Area"/>
      <sheetName val="Costos_x_Clase_de_Costo"/>
      <sheetName val="Costos_x_Clase_de_Costo_(anali)"/>
      <sheetName val="Distr__Costos"/>
      <sheetName val="flujo__2"/>
      <sheetName val="Mat_TM345_601570"/>
      <sheetName val="Costo_Total_Agregado_a_Cátodo4"/>
      <sheetName val="Cash_Cost4"/>
      <sheetName val="Tabla_Comparativa4"/>
      <sheetName val="Resumen_Ejec4"/>
      <sheetName val="VAN_ACUMULADO4"/>
      <sheetName val="Casos_Base_Futuros4"/>
      <sheetName val="PRODUCCION_ACUMULADA4"/>
      <sheetName val="Hoja_nO_cORRE4"/>
      <sheetName val="Hoja_de_Trabajo_Costos4"/>
      <sheetName val="Descuentos_(2)4"/>
      <sheetName val="Ley_y_Recuperacion4"/>
      <sheetName val="Hoja_de_Trabajo_produccion4"/>
      <sheetName val="Hoja_de_Trabajo_produccion_(2)4"/>
      <sheetName val="API_95014"/>
      <sheetName val="graf_acido4"/>
      <sheetName val="graf_acido_cTabla4"/>
      <sheetName val="ENERGIA_ELECTRICA4"/>
      <sheetName val="ENERGIA_ELECTRICA_cTabla4"/>
      <sheetName val="E_E4"/>
      <sheetName val="Graf_Dotacion4"/>
      <sheetName val="Graf_Costos_x_Area4"/>
      <sheetName val="Costos_x_Clase_de_Costo4"/>
      <sheetName val="Costos_x_Clase_de_Costo_(anali4"/>
      <sheetName val="Distr__Costos4"/>
      <sheetName val="flujo__24"/>
      <sheetName val="Costo_Total_Agregado_a_Cátodo1"/>
      <sheetName val="Cash_Cost1"/>
      <sheetName val="Tabla_Comparativa1"/>
      <sheetName val="Resumen_Ejec1"/>
      <sheetName val="VAN_ACUMULADO1"/>
      <sheetName val="Casos_Base_Futuros1"/>
      <sheetName val="PRODUCCION_ACUMULADA1"/>
      <sheetName val="Hoja_nO_cORRE1"/>
      <sheetName val="Hoja_de_Trabajo_Costos1"/>
      <sheetName val="Descuentos_(2)1"/>
      <sheetName val="Ley_y_Recuperacion1"/>
      <sheetName val="Hoja_de_Trabajo_produccion1"/>
      <sheetName val="Hoja_de_Trabajo_produccion_(2)1"/>
      <sheetName val="API_95011"/>
      <sheetName val="graf_acido1"/>
      <sheetName val="graf_acido_cTabla1"/>
      <sheetName val="ENERGIA_ELECTRICA1"/>
      <sheetName val="ENERGIA_ELECTRICA_cTabla1"/>
      <sheetName val="E_E1"/>
      <sheetName val="Graf_Dotacion1"/>
      <sheetName val="Graf_Costos_x_Area1"/>
      <sheetName val="Costos_x_Clase_de_Costo1"/>
      <sheetName val="Costos_x_Clase_de_Costo_(anali1"/>
      <sheetName val="Distr__Costos1"/>
      <sheetName val="flujo__21"/>
      <sheetName val="Costo_Total_Agregado_a_Cátodo2"/>
      <sheetName val="Cash_Cost2"/>
      <sheetName val="Tabla_Comparativa2"/>
      <sheetName val="Resumen_Ejec2"/>
      <sheetName val="VAN_ACUMULADO2"/>
      <sheetName val="Casos_Base_Futuros2"/>
      <sheetName val="PRODUCCION_ACUMULADA2"/>
      <sheetName val="Hoja_nO_cORRE2"/>
      <sheetName val="Hoja_de_Trabajo_Costos2"/>
      <sheetName val="Descuentos_(2)2"/>
      <sheetName val="Ley_y_Recuperacion2"/>
      <sheetName val="Hoja_de_Trabajo_produccion2"/>
      <sheetName val="Hoja_de_Trabajo_produccion_(2)2"/>
      <sheetName val="API_95012"/>
      <sheetName val="graf_acido2"/>
      <sheetName val="graf_acido_cTabla2"/>
      <sheetName val="ENERGIA_ELECTRICA2"/>
      <sheetName val="ENERGIA_ELECTRICA_cTabla2"/>
      <sheetName val="E_E2"/>
      <sheetName val="Graf_Dotacion2"/>
      <sheetName val="Graf_Costos_x_Area2"/>
      <sheetName val="Costos_x_Clase_de_Costo2"/>
      <sheetName val="Costos_x_Clase_de_Costo_(anali2"/>
      <sheetName val="Distr__Costos2"/>
      <sheetName val="flujo__22"/>
      <sheetName val="Costo_Total_Agregado_a_Cátodo3"/>
      <sheetName val="Cash_Cost3"/>
      <sheetName val="Tabla_Comparativa3"/>
      <sheetName val="Resumen_Ejec3"/>
      <sheetName val="VAN_ACUMULADO3"/>
      <sheetName val="Casos_Base_Futuros3"/>
      <sheetName val="PRODUCCION_ACUMULADA3"/>
      <sheetName val="Hoja_nO_cORRE3"/>
      <sheetName val="Hoja_de_Trabajo_Costos3"/>
      <sheetName val="Descuentos_(2)3"/>
      <sheetName val="Ley_y_Recuperacion3"/>
      <sheetName val="Hoja_de_Trabajo_produccion3"/>
      <sheetName val="Hoja_de_Trabajo_produccion_(2)3"/>
      <sheetName val="API_95013"/>
      <sheetName val="graf_acido3"/>
      <sheetName val="graf_acido_cTabla3"/>
      <sheetName val="ENERGIA_ELECTRICA3"/>
      <sheetName val="ENERGIA_ELECTRICA_cTabla3"/>
      <sheetName val="E_E3"/>
      <sheetName val="Graf_Dotacion3"/>
      <sheetName val="Graf_Costos_x_Area3"/>
      <sheetName val="Costos_x_Clase_de_Costo3"/>
      <sheetName val="Costos_x_Clase_de_Costo_(anali3"/>
      <sheetName val="Distr__Costos3"/>
      <sheetName val="flujo__23"/>
      <sheetName val="TM"/>
      <sheetName val="CASO BASE TRABAJO 2001"/>
      <sheetName val="D"/>
      <sheetName val="EAO-mec"/>
      <sheetName val="PRECIOS"/>
      <sheetName val="RESUMEN"/>
      <sheetName val="AusentismoySobretiempo"/>
      <sheetName val="ITR4"/>
      <sheetName val="Costo_Total_Agregado_a_Cátodo5"/>
      <sheetName val="Cash_Cost5"/>
      <sheetName val="Tabla_Comparativa5"/>
      <sheetName val="Resumen_Ejec5"/>
      <sheetName val="VAN_ACUMULADO5"/>
      <sheetName val="Casos_Base_Futuros5"/>
      <sheetName val="PRODUCCION_ACUMULADA5"/>
      <sheetName val="Hoja_nO_cORRE5"/>
      <sheetName val="Hoja_de_Trabajo_Costos5"/>
      <sheetName val="Descuentos_(2)5"/>
      <sheetName val="Ley_y_Recuperacion5"/>
      <sheetName val="Hoja_de_Trabajo_produccion5"/>
      <sheetName val="Hoja_de_Trabajo_produccion_(2)5"/>
      <sheetName val="API_95015"/>
      <sheetName val="graf_acido5"/>
      <sheetName val="graf_acido_cTabla5"/>
      <sheetName val="ENERGIA_ELECTRICA5"/>
      <sheetName val="ENERGIA_ELECTRICA_cTabla5"/>
      <sheetName val="E_E5"/>
      <sheetName val="Graf_Dotacion5"/>
      <sheetName val="Graf_Costos_x_Area5"/>
      <sheetName val="Costos_x_Clase_de_Costo5"/>
      <sheetName val="Costos_x_Clase_de_Costo_(anali5"/>
      <sheetName val="Distr__Costos5"/>
      <sheetName val="flujo__25"/>
      <sheetName val="CASO_BASE_TRABAJO_2001"/>
      <sheetName val="Costo_Total_Agregado_a_Cátodo6"/>
      <sheetName val="Cash_Cost6"/>
      <sheetName val="Tabla_Comparativa6"/>
      <sheetName val="Resumen_Ejec6"/>
      <sheetName val="VAN_ACUMULADO6"/>
      <sheetName val="Casos_Base_Futuros6"/>
      <sheetName val="PRODUCCION_ACUMULADA6"/>
      <sheetName val="Hoja_nO_cORRE6"/>
      <sheetName val="Hoja_de_Trabajo_Costos6"/>
      <sheetName val="Descuentos_(2)6"/>
      <sheetName val="Ley_y_Recuperacion6"/>
      <sheetName val="Hoja_de_Trabajo_produccion6"/>
      <sheetName val="Hoja_de_Trabajo_produccion_(2)6"/>
      <sheetName val="API_95016"/>
      <sheetName val="graf_acido6"/>
      <sheetName val="graf_acido_cTabla6"/>
      <sheetName val="ENERGIA_ELECTRICA6"/>
      <sheetName val="ENERGIA_ELECTRICA_cTabla6"/>
      <sheetName val="E_E6"/>
      <sheetName val="Graf_Dotacion6"/>
      <sheetName val="Graf_Costos_x_Area6"/>
      <sheetName val="Costos_x_Clase_de_Costo6"/>
      <sheetName val="Costos_x_Clase_de_Costo_(anali6"/>
      <sheetName val="Distr__Costos6"/>
      <sheetName val="flujo__26"/>
      <sheetName val="CASO_BASE_TRABAJO_20011"/>
      <sheetName val="Costo_Total_Agregado_a_Cátodo7"/>
      <sheetName val="Cash_Cost7"/>
      <sheetName val="Tabla_Comparativa7"/>
      <sheetName val="Resumen_Ejec7"/>
      <sheetName val="VAN_ACUMULADO7"/>
      <sheetName val="Casos_Base_Futuros7"/>
      <sheetName val="PRODUCCION_ACUMULADA7"/>
      <sheetName val="Hoja_nO_cORRE7"/>
      <sheetName val="Hoja_de_Trabajo_Costos7"/>
      <sheetName val="Descuentos_(2)7"/>
      <sheetName val="Ley_y_Recuperacion7"/>
      <sheetName val="Hoja_de_Trabajo_produccion7"/>
      <sheetName val="Hoja_de_Trabajo_produccion_(2)7"/>
      <sheetName val="API_95017"/>
      <sheetName val="graf_acido7"/>
      <sheetName val="graf_acido_cTabla7"/>
      <sheetName val="ENERGIA_ELECTRICA7"/>
      <sheetName val="ENERGIA_ELECTRICA_cTabla7"/>
      <sheetName val="E_E7"/>
      <sheetName val="Graf_Dotacion7"/>
      <sheetName val="Graf_Costos_x_Area7"/>
      <sheetName val="Costos_x_Clase_de_Costo7"/>
      <sheetName val="Costos_x_Clase_de_Costo_(anali7"/>
      <sheetName val="Distr__Costos7"/>
      <sheetName val="flujo__27"/>
      <sheetName val="CASO_BASE_TRABAJO_20012"/>
    </sheetNames>
    <sheetDataSet>
      <sheetData sheetId="0" refreshError="1"/>
      <sheetData sheetId="1" refreshError="1"/>
      <sheetData sheetId="2" refreshError="1"/>
      <sheetData sheetId="3" refreshError="1"/>
      <sheetData sheetId="4" refreshError="1">
        <row r="2">
          <cell r="B2" t="str">
            <v>PRESENTACIÓN RESULTADOS CASO BASE VIGENTE 2000</v>
          </cell>
        </row>
        <row r="3">
          <cell r="B3" t="str">
            <v>NEGOCIO MINA - HIDROMETALURGIA - DIVISIÓN RADOMIRO TOMIC</v>
          </cell>
        </row>
        <row r="4">
          <cell r="B4" t="str">
            <v>Precio del Cobre (US¢/lb)</v>
          </cell>
          <cell r="C4">
            <v>82</v>
          </cell>
          <cell r="E4" t="str">
            <v>Precio del Cobre (US¢/lb)</v>
          </cell>
          <cell r="F4">
            <v>97</v>
          </cell>
        </row>
        <row r="5">
          <cell r="B5" t="str">
            <v>RESUMEN EJECUTIVO  [1]</v>
          </cell>
          <cell r="C5">
            <v>540</v>
          </cell>
          <cell r="E5" t="str">
            <v>Tipo de Cambio ($/US$)</v>
          </cell>
          <cell r="F5">
            <v>540</v>
          </cell>
        </row>
        <row r="6">
          <cell r="B6" t="str">
            <v>Moneda</v>
          </cell>
          <cell r="C6" t="str">
            <v>Promedio 2000</v>
          </cell>
          <cell r="E6" t="str">
            <v>Moneda</v>
          </cell>
          <cell r="F6" t="str">
            <v>Promedio 2000</v>
          </cell>
        </row>
        <row r="7">
          <cell r="B7" t="str">
            <v>Precio del Cobre (US¢/lb)</v>
          </cell>
          <cell r="C7">
            <v>97</v>
          </cell>
        </row>
        <row r="8">
          <cell r="B8" t="str">
            <v>Tipo de Cambio ($/US$)</v>
          </cell>
          <cell r="C8">
            <v>540</v>
          </cell>
        </row>
        <row r="9">
          <cell r="B9" t="str">
            <v>Moneda</v>
          </cell>
          <cell r="C9" t="str">
            <v>Promedio 2000</v>
          </cell>
          <cell r="F9" t="str">
            <v xml:space="preserve">US¢/lb </v>
          </cell>
        </row>
        <row r="10">
          <cell r="B10" t="str">
            <v>Desc. Cátodo HG SX-EW 2000</v>
          </cell>
          <cell r="C10">
            <v>1.17</v>
          </cell>
          <cell r="E10" t="str">
            <v>Desc. Cátodo HG SX-EW 2000</v>
          </cell>
          <cell r="F10">
            <v>1.2406926426562599</v>
          </cell>
        </row>
        <row r="11">
          <cell r="B11" t="str">
            <v>Desc. Cátodo HG SX-EW 2001</v>
          </cell>
          <cell r="C11">
            <v>1.17</v>
          </cell>
          <cell r="E11" t="str">
            <v>Desc. Cátodo HG SX-EW 2001</v>
          </cell>
          <cell r="F11">
            <v>1.2406926426562599</v>
          </cell>
        </row>
        <row r="12">
          <cell r="B12" t="str">
            <v>Desc. Cátodo Prom. 2001-2013</v>
          </cell>
          <cell r="C12" t="str">
            <v xml:space="preserve">US¢/lb </v>
          </cell>
          <cell r="E12" t="str">
            <v>Desc. Cátodo Prom. 2001-2013</v>
          </cell>
          <cell r="F12">
            <v>0.87962941123106198</v>
          </cell>
        </row>
        <row r="13">
          <cell r="B13" t="str">
            <v>Desc. Cátodo HG SX-EW 2000</v>
          </cell>
          <cell r="C13">
            <v>1.7592703135867431</v>
          </cell>
        </row>
        <row r="14">
          <cell r="B14" t="str">
            <v>Desc. Cátodo HG SX-EW 2001</v>
          </cell>
          <cell r="C14">
            <v>1.7592703135867431</v>
          </cell>
          <cell r="E14" t="str">
            <v xml:space="preserve"> </v>
          </cell>
          <cell r="F14" t="str">
            <v>US$/t acido</v>
          </cell>
        </row>
        <row r="15">
          <cell r="B15" t="str">
            <v>Desc. Cátodo Prom. 2002-2017</v>
          </cell>
          <cell r="C15">
            <v>1.0811427621034806</v>
          </cell>
          <cell r="E15" t="str">
            <v>Pr. Ácido Sulfúrico 2000</v>
          </cell>
          <cell r="F15">
            <v>30</v>
          </cell>
        </row>
        <row r="16">
          <cell r="B16" t="str">
            <v>Pr. Ácido Sulfúrico 2001-2017</v>
          </cell>
          <cell r="C16">
            <v>19</v>
          </cell>
          <cell r="E16" t="str">
            <v>Pr. Ácido Sulfúrico 2001-2017</v>
          </cell>
          <cell r="F16">
            <v>19</v>
          </cell>
        </row>
        <row r="18">
          <cell r="C18" t="str">
            <v xml:space="preserve">US$/t acido </v>
          </cell>
        </row>
        <row r="19">
          <cell r="B19" t="str">
            <v>Pr. Ácido Sulfúrico 2000 (*)</v>
          </cell>
          <cell r="C19">
            <v>30</v>
          </cell>
          <cell r="E19" t="str">
            <v>INDICADORES ECONÓMICOS  (ANTES DE IMPUESTOS)</v>
          </cell>
        </row>
        <row r="20">
          <cell r="B20" t="str">
            <v>Pr. Ácido Sulfúrico 2001-2017 (*)</v>
          </cell>
          <cell r="C20">
            <v>19</v>
          </cell>
        </row>
        <row r="22">
          <cell r="B22" t="str">
            <v>VAN (Mill. US$)  [2]</v>
          </cell>
          <cell r="C22">
            <v>1278.2684909031693</v>
          </cell>
          <cell r="E22" t="str">
            <v>VAN (Mill. US$)  [2]</v>
          </cell>
          <cell r="F22">
            <v>1743.3256737606919</v>
          </cell>
        </row>
        <row r="23">
          <cell r="B23" t="str">
            <v>INDICADORES ECONÓMICOS  (ANTES DE IMPUESTOS)</v>
          </cell>
        </row>
        <row r="26">
          <cell r="B26" t="str">
            <v>VAN (Mill. US$)  [2]</v>
          </cell>
          <cell r="C26">
            <v>1743.3256737606919</v>
          </cell>
        </row>
        <row r="28">
          <cell r="B28" t="str">
            <v>Precio de Quiebre (T.D. 10%)</v>
          </cell>
          <cell r="C28">
            <v>40.908034015126546</v>
          </cell>
        </row>
        <row r="29">
          <cell r="B29" t="str">
            <v>Precio de Quiebre (T.D. 20%)</v>
          </cell>
          <cell r="C29">
            <v>42.298515621371273</v>
          </cell>
        </row>
        <row r="31">
          <cell r="B31" t="str">
            <v>Ultimo Año Eval. Económica</v>
          </cell>
          <cell r="C31">
            <v>2017</v>
          </cell>
        </row>
        <row r="34">
          <cell r="B34" t="str">
            <v>INDICADORES DE COSTOS QUINQUENIO 2000-2004 (US¢/lb)</v>
          </cell>
        </row>
        <row r="36">
          <cell r="B36" t="str">
            <v>Total Costo Oper. Mina-Hidro. (***)</v>
          </cell>
          <cell r="C36">
            <v>36.931984802683743</v>
          </cell>
        </row>
        <row r="37">
          <cell r="B37" t="str">
            <v>Depreciación Contable (Lineal)</v>
          </cell>
          <cell r="C37">
            <v>12.045980774127219</v>
          </cell>
        </row>
        <row r="38">
          <cell r="B38" t="str">
            <v>Total Costos y Gastos [3]</v>
          </cell>
          <cell r="C38">
            <v>48.977965576810966</v>
          </cell>
        </row>
        <row r="40">
          <cell r="B40" t="str">
            <v xml:space="preserve">Cargo Agregado a Cátodo CIF </v>
          </cell>
          <cell r="C40">
            <v>1.4778763364272933</v>
          </cell>
        </row>
        <row r="41">
          <cell r="B41" t="str">
            <v>Costo Total Agreg. a Cátodo [4]</v>
          </cell>
          <cell r="C41">
            <v>50.45584191323826</v>
          </cell>
        </row>
        <row r="43">
          <cell r="B43" t="str">
            <v>(Depreciación Contable (Lineal))</v>
          </cell>
          <cell r="C43">
            <v>12.045980774127219</v>
          </cell>
        </row>
        <row r="44">
          <cell r="B44" t="str">
            <v>(Gasto Oficina Central)</v>
          </cell>
          <cell r="C44">
            <v>0.32771013793642112</v>
          </cell>
        </row>
        <row r="45">
          <cell r="B45" t="str">
            <v>(Intereses)</v>
          </cell>
        </row>
        <row r="46">
          <cell r="B46" t="str">
            <v>(Crédito de Subproductos)</v>
          </cell>
        </row>
        <row r="47">
          <cell r="B47" t="str">
            <v>Costo Directo Agreg. a Cátodo [5]</v>
          </cell>
          <cell r="C47">
            <v>38.082151001174623</v>
          </cell>
        </row>
        <row r="70">
          <cell r="B70" t="str">
            <v>PRODUCCIÓN ANUAL PROMEDIO QUINQUENIO 2000-2004 (*)</v>
          </cell>
        </row>
        <row r="73">
          <cell r="B73" t="str">
            <v>Mineral Tratado (ktms)</v>
          </cell>
          <cell r="C73">
            <v>37516.594060000003</v>
          </cell>
        </row>
        <row r="74">
          <cell r="B74" t="str">
            <v>Ley de Cobre en Mineral (%)</v>
          </cell>
          <cell r="C74">
            <v>6.129692233794423E-3</v>
          </cell>
        </row>
        <row r="75">
          <cell r="B75" t="str">
            <v>Cobre en Cátodos a Venta (ktmf)</v>
          </cell>
          <cell r="C75">
            <v>181060</v>
          </cell>
        </row>
        <row r="76">
          <cell r="B76" t="str">
            <v>Recuperación Global (%)</v>
          </cell>
          <cell r="C76">
            <v>0.78709917491054882</v>
          </cell>
        </row>
        <row r="77">
          <cell r="B77" t="str">
            <v>Consumo Acido (kt)</v>
          </cell>
          <cell r="C77">
            <v>259.99132486869473</v>
          </cell>
        </row>
        <row r="81">
          <cell r="B81" t="str">
            <v>DOTACIÓN Y PRODUCTIVIDAD DOTACIÓN ANUAL PROMEDIO QUINQUENIO 2000-2004(**)</v>
          </cell>
        </row>
        <row r="84">
          <cell r="B84" t="str">
            <v>1.- Dotación Propia Total</v>
          </cell>
          <cell r="C84">
            <v>479</v>
          </cell>
        </row>
        <row r="85">
          <cell r="B85" t="str">
            <v xml:space="preserve">   1.1.  Mina (a)</v>
          </cell>
          <cell r="C85">
            <v>262</v>
          </cell>
        </row>
        <row r="86">
          <cell r="B86" t="str">
            <v xml:space="preserve">            Operación</v>
          </cell>
        </row>
        <row r="87">
          <cell r="B87" t="str">
            <v xml:space="preserve">            Mantención (a.1)</v>
          </cell>
        </row>
        <row r="88">
          <cell r="B88" t="str">
            <v xml:space="preserve">   1.2.  Lix.-SX-EW (b)</v>
          </cell>
          <cell r="C88">
            <v>157</v>
          </cell>
        </row>
        <row r="89">
          <cell r="B89" t="str">
            <v xml:space="preserve">            Operación</v>
          </cell>
          <cell r="C89">
            <v>157</v>
          </cell>
        </row>
        <row r="90">
          <cell r="B90" t="str">
            <v xml:space="preserve">            Mantención (b.1)</v>
          </cell>
        </row>
        <row r="91">
          <cell r="B91" t="str">
            <v xml:space="preserve">   1.3.  Admin. y Apoyo Mina-Hidromet.</v>
          </cell>
          <cell r="C91">
            <v>60</v>
          </cell>
        </row>
        <row r="92">
          <cell r="B92" t="str">
            <v>2.- Dot. Contratistas Oper. Total</v>
          </cell>
          <cell r="C92">
            <v>795</v>
          </cell>
        </row>
        <row r="93">
          <cell r="B93" t="str">
            <v xml:space="preserve">   2.1.  Mina</v>
          </cell>
          <cell r="C93">
            <v>217</v>
          </cell>
        </row>
        <row r="94">
          <cell r="B94" t="str">
            <v xml:space="preserve">   2.2.  Lix.-SX-EW</v>
          </cell>
          <cell r="C94">
            <v>578</v>
          </cell>
        </row>
        <row r="95">
          <cell r="B95" t="str">
            <v>3.- Dot. Total (Propia + Contrat.Oper)</v>
          </cell>
          <cell r="C95">
            <v>1274</v>
          </cell>
        </row>
        <row r="96">
          <cell r="B96" t="str">
            <v>4.- Ton Mineral Tratado por Dot. Tot.</v>
          </cell>
          <cell r="C96">
            <v>78322.743340292276</v>
          </cell>
        </row>
        <row r="97">
          <cell r="B97" t="str">
            <v>5.- Ton Cu a Venta por Dot. Tot.</v>
          </cell>
          <cell r="C97">
            <v>142.11930926216641</v>
          </cell>
        </row>
        <row r="108">
          <cell r="B108" t="str">
            <v>INVERSIÓN PROMEDIO QUINQUENIO 2000-2004  (Mill. US$) (****)</v>
          </cell>
        </row>
        <row r="110">
          <cell r="B110" t="str">
            <v>Inversiones según Área</v>
          </cell>
        </row>
        <row r="112">
          <cell r="B112" t="str">
            <v>Minería y Beneficio (*****)</v>
          </cell>
          <cell r="C112">
            <v>10.445</v>
          </cell>
        </row>
        <row r="113">
          <cell r="B113" t="str">
            <v>Lixiviación- SX - EW</v>
          </cell>
          <cell r="C113">
            <v>5.4453217953133333</v>
          </cell>
        </row>
        <row r="114">
          <cell r="B114" t="str">
            <v>Otras Áreas</v>
          </cell>
          <cell r="C114">
            <v>1.5</v>
          </cell>
        </row>
        <row r="115">
          <cell r="B115" t="str">
            <v>Total</v>
          </cell>
          <cell r="C115">
            <v>17.390321795313334</v>
          </cell>
        </row>
        <row r="117">
          <cell r="B117" t="str">
            <v>Inversiones según Objetivo</v>
          </cell>
        </row>
        <row r="119">
          <cell r="B119" t="str">
            <v>Desarrollo</v>
          </cell>
          <cell r="C119">
            <v>10.82</v>
          </cell>
        </row>
        <row r="120">
          <cell r="B120" t="str">
            <v>Refacc. Inst. y Reempl. Equipos</v>
          </cell>
          <cell r="C120">
            <v>6.1953217953133333</v>
          </cell>
        </row>
        <row r="121">
          <cell r="B121" t="str">
            <v>Otros Objetivos</v>
          </cell>
          <cell r="C121">
            <v>0.375</v>
          </cell>
        </row>
        <row r="122">
          <cell r="B122" t="str">
            <v>Total</v>
          </cell>
          <cell r="C122">
            <v>17.390321795313334</v>
          </cell>
        </row>
        <row r="143">
          <cell r="B143" t="str">
            <v>COSTOS TIPO (US¢ / lb)</v>
          </cell>
        </row>
        <row r="145">
          <cell r="B145" t="str">
            <v>TOTAL COSTOS Y GASTOS</v>
          </cell>
        </row>
        <row r="148">
          <cell r="B148">
            <v>2000</v>
          </cell>
          <cell r="C148">
            <v>47.103578311661593</v>
          </cell>
        </row>
        <row r="149">
          <cell r="B149">
            <v>2001</v>
          </cell>
          <cell r="C149">
            <v>49.287358404780029</v>
          </cell>
        </row>
        <row r="150">
          <cell r="B150">
            <v>2002</v>
          </cell>
          <cell r="C150">
            <v>49.891335460785399</v>
          </cell>
        </row>
        <row r="151">
          <cell r="B151">
            <v>2003</v>
          </cell>
          <cell r="C151">
            <v>48.600385235594899</v>
          </cell>
        </row>
        <row r="152">
          <cell r="B152">
            <v>2004</v>
          </cell>
          <cell r="C152">
            <v>50.058721129440464</v>
          </cell>
        </row>
        <row r="153">
          <cell r="B153" t="str">
            <v>2000-2004</v>
          </cell>
          <cell r="C153">
            <v>48.977965576810966</v>
          </cell>
        </row>
        <row r="154">
          <cell r="B154" t="str">
            <v>2005-2009</v>
          </cell>
          <cell r="C154">
            <v>49.691461044971327</v>
          </cell>
        </row>
        <row r="155">
          <cell r="B155" t="str">
            <v>2010-2014</v>
          </cell>
          <cell r="C155">
            <v>57.070937745547504</v>
          </cell>
        </row>
        <row r="156">
          <cell r="B156" t="str">
            <v>2015-2019</v>
          </cell>
          <cell r="C156">
            <v>65.565216947367134</v>
          </cell>
        </row>
        <row r="157">
          <cell r="B157" t="str">
            <v>2020-2024</v>
          </cell>
        </row>
        <row r="158">
          <cell r="B158" t="str">
            <v>2000-2024</v>
          </cell>
          <cell r="C158">
            <v>53.318233879414997</v>
          </cell>
        </row>
        <row r="161">
          <cell r="B161" t="str">
            <v>COSTO TOTAL AGREGADO A CÁTODO</v>
          </cell>
        </row>
        <row r="164">
          <cell r="B164">
            <v>2000</v>
          </cell>
          <cell r="C164">
            <v>48.965724430383055</v>
          </cell>
          <cell r="E164">
            <v>1.8621461187214621</v>
          </cell>
        </row>
        <row r="165">
          <cell r="B165">
            <v>2001</v>
          </cell>
          <cell r="C165">
            <v>51.149504523501491</v>
          </cell>
          <cell r="E165">
            <v>1.8621461187214621</v>
          </cell>
        </row>
        <row r="166">
          <cell r="B166">
            <v>2002</v>
          </cell>
          <cell r="C166">
            <v>51.109260405597759</v>
          </cell>
          <cell r="E166">
            <v>1.2179249448123599</v>
          </cell>
        </row>
        <row r="167">
          <cell r="B167">
            <v>2003</v>
          </cell>
          <cell r="C167">
            <v>49.818310180407259</v>
          </cell>
          <cell r="E167">
            <v>1.2179249448123599</v>
          </cell>
        </row>
        <row r="168">
          <cell r="B168">
            <v>2004</v>
          </cell>
          <cell r="C168">
            <v>51.276646074252824</v>
          </cell>
          <cell r="E168">
            <v>1.2179249448123599</v>
          </cell>
        </row>
        <row r="169">
          <cell r="B169" t="str">
            <v>2000-2004</v>
          </cell>
          <cell r="C169">
            <v>50.45584191323826</v>
          </cell>
          <cell r="E169">
            <v>1.4778763364272933</v>
          </cell>
        </row>
        <row r="170">
          <cell r="B170" t="str">
            <v>2005-2009</v>
          </cell>
          <cell r="C170">
            <v>50.909385989783679</v>
          </cell>
          <cell r="E170">
            <v>1.2179249448123528</v>
          </cell>
        </row>
        <row r="171">
          <cell r="B171" t="str">
            <v>2010-2014</v>
          </cell>
          <cell r="C171">
            <v>58.288862690359885</v>
          </cell>
          <cell r="E171">
            <v>1.2179249448123812</v>
          </cell>
        </row>
        <row r="172">
          <cell r="B172" t="str">
            <v>2015-2019</v>
          </cell>
          <cell r="C172">
            <v>66.783141892179501</v>
          </cell>
          <cell r="E172">
            <v>1.217924944812367</v>
          </cell>
        </row>
        <row r="173">
          <cell r="B173" t="str">
            <v>2020-2024</v>
          </cell>
          <cell r="E173">
            <v>0</v>
          </cell>
        </row>
        <row r="174">
          <cell r="B174" t="str">
            <v>2000-2024</v>
          </cell>
          <cell r="C174">
            <v>54.616461149631377</v>
          </cell>
          <cell r="E174">
            <v>1.2982272702163797</v>
          </cell>
        </row>
        <row r="177">
          <cell r="B177" t="str">
            <v>COSTO DIRECTO AGREGADO A CÁTODO (CASH COST)</v>
          </cell>
        </row>
        <row r="180">
          <cell r="B180">
            <v>2000</v>
          </cell>
          <cell r="C180">
            <v>37.131635126527804</v>
          </cell>
          <cell r="E180">
            <v>-9.9719431851337887</v>
          </cell>
        </row>
        <row r="181">
          <cell r="B181">
            <v>2001</v>
          </cell>
          <cell r="C181">
            <v>38.359368088349456</v>
          </cell>
          <cell r="E181">
            <v>-10.927990316430574</v>
          </cell>
        </row>
        <row r="182">
          <cell r="B182">
            <v>2002</v>
          </cell>
          <cell r="C182">
            <v>38.030843840385366</v>
          </cell>
          <cell r="E182">
            <v>-11.860491620400033</v>
          </cell>
        </row>
        <row r="183">
          <cell r="B183">
            <v>2003</v>
          </cell>
          <cell r="C183">
            <v>38.321092347630135</v>
          </cell>
          <cell r="E183">
            <v>-10.279292887964765</v>
          </cell>
        </row>
        <row r="184">
          <cell r="B184">
            <v>2004</v>
          </cell>
          <cell r="C184">
            <v>38.593756793241901</v>
          </cell>
          <cell r="E184">
            <v>-11.464964336198562</v>
          </cell>
        </row>
        <row r="185">
          <cell r="B185" t="str">
            <v>2000-2004</v>
          </cell>
          <cell r="C185">
            <v>38.082151001174623</v>
          </cell>
          <cell r="E185">
            <v>-10.895814575636344</v>
          </cell>
        </row>
        <row r="186">
          <cell r="B186" t="str">
            <v>2005-2009</v>
          </cell>
          <cell r="C186">
            <v>39.166108821747052</v>
          </cell>
          <cell r="E186">
            <v>-10.525352223224274</v>
          </cell>
        </row>
        <row r="187">
          <cell r="B187" t="str">
            <v>2010-2014</v>
          </cell>
          <cell r="C187">
            <v>44.149446481945809</v>
          </cell>
          <cell r="E187">
            <v>-12.921491263601695</v>
          </cell>
        </row>
        <row r="188">
          <cell r="B188" t="str">
            <v>2015-2019</v>
          </cell>
          <cell r="C188">
            <v>49.453137305319096</v>
          </cell>
          <cell r="E188">
            <v>-16.112079642048037</v>
          </cell>
        </row>
        <row r="189">
          <cell r="B189" t="str">
            <v>2020-2024</v>
          </cell>
          <cell r="E189">
            <v>0</v>
          </cell>
        </row>
        <row r="199">
          <cell r="B199" t="str">
            <v>PROGRAMA DE PRODUCCIÓN</v>
          </cell>
        </row>
        <row r="201">
          <cell r="B201" t="str">
            <v>MINERAL TRATADO (ktms)</v>
          </cell>
        </row>
        <row r="203">
          <cell r="C203" t="str">
            <v>OXSU</v>
          </cell>
          <cell r="D203" t="str">
            <v>OXIN</v>
          </cell>
        </row>
        <row r="204">
          <cell r="B204">
            <v>2000</v>
          </cell>
          <cell r="C204">
            <v>24987.71</v>
          </cell>
          <cell r="D204">
            <v>13414.465</v>
          </cell>
        </row>
        <row r="205">
          <cell r="B205">
            <v>2001</v>
          </cell>
          <cell r="C205">
            <v>22550.010000000002</v>
          </cell>
          <cell r="D205">
            <v>14390.34</v>
          </cell>
        </row>
        <row r="206">
          <cell r="B206">
            <v>2002</v>
          </cell>
          <cell r="C206">
            <v>23888.0236</v>
          </cell>
          <cell r="D206">
            <v>12976.0785</v>
          </cell>
        </row>
        <row r="207">
          <cell r="B207">
            <v>2003</v>
          </cell>
          <cell r="C207">
            <v>26016.588</v>
          </cell>
          <cell r="D207">
            <v>11036.021999999999</v>
          </cell>
        </row>
        <row r="208">
          <cell r="B208">
            <v>2004</v>
          </cell>
          <cell r="C208">
            <v>18200.556</v>
          </cell>
          <cell r="D208">
            <v>20123.177200000002</v>
          </cell>
        </row>
        <row r="209">
          <cell r="B209" t="str">
            <v>2000-2004</v>
          </cell>
          <cell r="C209">
            <v>23128.577519999999</v>
          </cell>
          <cell r="D209">
            <v>14388.016540000001</v>
          </cell>
        </row>
        <row r="210">
          <cell r="B210" t="str">
            <v>2005-2009</v>
          </cell>
          <cell r="C210">
            <v>2596.5321799999997</v>
          </cell>
          <cell r="D210">
            <v>36958.946160000007</v>
          </cell>
        </row>
        <row r="211">
          <cell r="B211" t="str">
            <v>2010-2014</v>
          </cell>
          <cell r="C211">
            <v>2743.8946999999998</v>
          </cell>
          <cell r="D211">
            <v>37230.213459999999</v>
          </cell>
        </row>
        <row r="212">
          <cell r="B212" t="str">
            <v>2015-2019</v>
          </cell>
          <cell r="C212">
            <v>13078.726700000001</v>
          </cell>
          <cell r="D212">
            <v>10710.274520000001</v>
          </cell>
        </row>
        <row r="213">
          <cell r="B213" t="str">
            <v>2020-2024</v>
          </cell>
        </row>
        <row r="214">
          <cell r="B214" t="str">
            <v>2000-2024</v>
          </cell>
          <cell r="C214">
            <v>10386.932774999999</v>
          </cell>
          <cell r="D214">
            <v>24821.862670000002</v>
          </cell>
        </row>
        <row r="216">
          <cell r="B216" t="str">
            <v>LEY DE COBRE EN MINERAL (%)</v>
          </cell>
        </row>
        <row r="218">
          <cell r="C218" t="str">
            <v>OXSU</v>
          </cell>
          <cell r="D218" t="str">
            <v>OXIN</v>
          </cell>
        </row>
        <row r="219">
          <cell r="B219">
            <v>2000</v>
          </cell>
          <cell r="C219">
            <v>6.5000000000000006E-3</v>
          </cell>
          <cell r="D219">
            <v>5.4000000000000003E-3</v>
          </cell>
        </row>
        <row r="220">
          <cell r="B220">
            <v>2001</v>
          </cell>
          <cell r="C220">
            <v>6.4000000000000003E-3</v>
          </cell>
          <cell r="D220">
            <v>6.0000000000000001E-3</v>
          </cell>
        </row>
        <row r="221">
          <cell r="B221">
            <v>2002</v>
          </cell>
          <cell r="C221">
            <v>6.0999999999999995E-3</v>
          </cell>
          <cell r="D221">
            <v>6.4000000000000003E-3</v>
          </cell>
        </row>
        <row r="222">
          <cell r="B222">
            <v>2003</v>
          </cell>
          <cell r="C222">
            <v>5.6999999999999993E-3</v>
          </cell>
          <cell r="D222">
            <v>7.0999999999999995E-3</v>
          </cell>
        </row>
        <row r="223">
          <cell r="B223">
            <v>2004</v>
          </cell>
          <cell r="C223">
            <v>5.5000000000000005E-3</v>
          </cell>
          <cell r="D223">
            <v>6.4000000000000003E-3</v>
          </cell>
        </row>
        <row r="224">
          <cell r="B224" t="str">
            <v>2000-2004</v>
          </cell>
          <cell r="C224">
            <v>6.0605087533286391E-3</v>
          </cell>
          <cell r="D224">
            <v>6.2409039137787921E-3</v>
          </cell>
        </row>
        <row r="225">
          <cell r="B225" t="str">
            <v>2005-2009</v>
          </cell>
          <cell r="C225">
            <v>6.1089483011914757E-3</v>
          </cell>
          <cell r="D225">
            <v>5.902613000532588E-3</v>
          </cell>
        </row>
        <row r="226">
          <cell r="B226" t="str">
            <v>2010-2014</v>
          </cell>
          <cell r="C226">
            <v>4.0164050136472073E-3</v>
          </cell>
          <cell r="D226">
            <v>5.2902005137200735E-3</v>
          </cell>
        </row>
        <row r="227">
          <cell r="B227" t="str">
            <v>2015-2019</v>
          </cell>
          <cell r="C227">
            <v>4.0296535507542948E-3</v>
          </cell>
          <cell r="D227">
            <v>3.8394806720603082E-3</v>
          </cell>
        </row>
        <row r="228">
          <cell r="B228" t="str">
            <v>2020-2024</v>
          </cell>
        </row>
        <row r="229">
          <cell r="B229" t="str">
            <v>2000-2024</v>
          </cell>
          <cell r="C229">
            <v>5.2892504947881494E-3</v>
          </cell>
          <cell r="D229">
            <v>5.4994439626597121E-3</v>
          </cell>
        </row>
        <row r="231">
          <cell r="B231" t="str">
            <v>COBRE EN CÁTODOS A VENTA (ktmf)</v>
          </cell>
        </row>
        <row r="233">
          <cell r="B233">
            <v>2000</v>
          </cell>
          <cell r="C233">
            <v>185000</v>
          </cell>
        </row>
        <row r="234">
          <cell r="B234">
            <v>2001</v>
          </cell>
          <cell r="C234">
            <v>180300</v>
          </cell>
        </row>
        <row r="235">
          <cell r="B235">
            <v>2002</v>
          </cell>
          <cell r="C235">
            <v>180000</v>
          </cell>
        </row>
        <row r="236">
          <cell r="B236">
            <v>2003</v>
          </cell>
          <cell r="C236">
            <v>180000</v>
          </cell>
        </row>
        <row r="237">
          <cell r="B237">
            <v>2004</v>
          </cell>
          <cell r="C237">
            <v>180000</v>
          </cell>
        </row>
        <row r="238">
          <cell r="B238" t="str">
            <v>2000-2004</v>
          </cell>
          <cell r="C238">
            <v>181060</v>
          </cell>
        </row>
        <row r="239">
          <cell r="B239" t="str">
            <v>2005-2009</v>
          </cell>
          <cell r="C239">
            <v>180300</v>
          </cell>
        </row>
        <row r="240">
          <cell r="B240" t="str">
            <v>2010-2014</v>
          </cell>
          <cell r="C240">
            <v>154560</v>
          </cell>
        </row>
        <row r="241">
          <cell r="B241" t="str">
            <v>2015-2019</v>
          </cell>
          <cell r="C241">
            <v>117000</v>
          </cell>
        </row>
        <row r="242">
          <cell r="B242" t="str">
            <v>2020-2024</v>
          </cell>
        </row>
        <row r="243">
          <cell r="B243" t="str">
            <v>2000-2024</v>
          </cell>
          <cell r="C243">
            <v>162811.11111111109</v>
          </cell>
        </row>
        <row r="248">
          <cell r="B248" t="str">
            <v>RECUPERACIÓN GLOBAL  (%)</v>
          </cell>
        </row>
        <row r="251">
          <cell r="C251" t="str">
            <v>MEDIA</v>
          </cell>
        </row>
        <row r="252">
          <cell r="B252">
            <v>2000</v>
          </cell>
          <cell r="C252">
            <v>0.78749999999999998</v>
          </cell>
        </row>
        <row r="253">
          <cell r="B253">
            <v>2001</v>
          </cell>
          <cell r="C253">
            <v>0.78099999999999992</v>
          </cell>
        </row>
        <row r="254">
          <cell r="B254">
            <v>2002</v>
          </cell>
          <cell r="C254">
            <v>0.78700000000000003</v>
          </cell>
        </row>
        <row r="255">
          <cell r="B255">
            <v>2003</v>
          </cell>
          <cell r="C255">
            <v>0.79400000000000004</v>
          </cell>
        </row>
        <row r="256">
          <cell r="B256">
            <v>2004</v>
          </cell>
          <cell r="C256">
            <v>0.78599999999999992</v>
          </cell>
        </row>
        <row r="257">
          <cell r="B257" t="str">
            <v>2000-2004</v>
          </cell>
          <cell r="C257">
            <v>0.78709917491054882</v>
          </cell>
        </row>
        <row r="258">
          <cell r="B258" t="str">
            <v>2005-2009</v>
          </cell>
          <cell r="C258">
            <v>0.77034722635994812</v>
          </cell>
        </row>
        <row r="259">
          <cell r="B259" t="str">
            <v>2010-2014</v>
          </cell>
          <cell r="C259">
            <v>0.74109045068436619</v>
          </cell>
        </row>
        <row r="260">
          <cell r="B260" t="str">
            <v>2015-2019</v>
          </cell>
          <cell r="C260">
            <v>0.74453609384530528</v>
          </cell>
        </row>
        <row r="261">
          <cell r="B261" t="str">
            <v>2020-2024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Ejec"/>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
      <sheetName val="AP"/>
      <sheetName val="AR"/>
      <sheetName val="CP"/>
      <sheetName val="CI"/>
      <sheetName val="CR"/>
      <sheetName val="SAP"/>
      <sheetName val="EX-DIF"/>
      <sheetName val="DIF"/>
      <sheetName val="FACT"/>
      <sheetName val="HD"/>
      <sheetName val="HR"/>
    </sheetNames>
    <sheetDataSet>
      <sheetData sheetId="0" refreshError="1">
        <row r="5">
          <cell r="B5">
            <v>910802</v>
          </cell>
          <cell r="C5" t="str">
            <v>NOR</v>
          </cell>
          <cell r="D5" t="str">
            <v>OTR</v>
          </cell>
          <cell r="E5" t="str">
            <v>Plan Mejoramiento Conducción de Relaves</v>
          </cell>
          <cell r="F5" t="str">
            <v>Alberto Spichiger B.</v>
          </cell>
          <cell r="G5" t="str">
            <v>5554</v>
          </cell>
          <cell r="H5" t="str">
            <v>B&amp;R</v>
          </cell>
          <cell r="I5" t="str">
            <v>Carlos G.</v>
          </cell>
          <cell r="J5" t="str">
            <v>5548</v>
          </cell>
          <cell r="K5" t="str">
            <v>Pedro Miquio</v>
          </cell>
          <cell r="L5">
            <v>5548</v>
          </cell>
          <cell r="M5">
            <v>0.16500000000000001</v>
          </cell>
          <cell r="N5">
            <v>0.25600000000000001</v>
          </cell>
          <cell r="O5">
            <v>0.57899999999999996</v>
          </cell>
          <cell r="P5">
            <v>33451</v>
          </cell>
          <cell r="Q5">
            <v>35827</v>
          </cell>
          <cell r="R5">
            <v>36160</v>
          </cell>
          <cell r="S5">
            <v>13872</v>
          </cell>
          <cell r="T5">
            <v>12444</v>
          </cell>
          <cell r="U5">
            <v>12444</v>
          </cell>
          <cell r="V5">
            <v>12444</v>
          </cell>
          <cell r="W5">
            <v>0</v>
          </cell>
          <cell r="X5">
            <v>0</v>
          </cell>
          <cell r="Y5">
            <v>0</v>
          </cell>
          <cell r="Z5">
            <v>0</v>
          </cell>
          <cell r="AA5">
            <v>0</v>
          </cell>
          <cell r="AB5">
            <v>0</v>
          </cell>
          <cell r="AC5">
            <v>0</v>
          </cell>
        </row>
        <row r="6">
          <cell r="B6">
            <v>930801</v>
          </cell>
          <cell r="C6" t="str">
            <v>NOR</v>
          </cell>
          <cell r="D6" t="str">
            <v>PRI</v>
          </cell>
          <cell r="E6" t="str">
            <v>Presa IV-B a Cota 2134 y Obras Anexas Embalse Los Leones</v>
          </cell>
          <cell r="F6" t="str">
            <v>Alberto Spichiger B.</v>
          </cell>
          <cell r="G6" t="str">
            <v>5554</v>
          </cell>
          <cell r="H6" t="str">
            <v>B&amp;R</v>
          </cell>
          <cell r="I6" t="str">
            <v>Carlos G.</v>
          </cell>
          <cell r="J6" t="str">
            <v>5548</v>
          </cell>
          <cell r="K6" t="str">
            <v>Pedro Miquio</v>
          </cell>
          <cell r="L6">
            <v>5548</v>
          </cell>
          <cell r="M6">
            <v>6.9000000000000006E-2</v>
          </cell>
          <cell r="N6">
            <v>2.3E-2</v>
          </cell>
          <cell r="O6">
            <v>0.90799999999999992</v>
          </cell>
          <cell r="P6">
            <v>34001</v>
          </cell>
          <cell r="Q6">
            <v>36160</v>
          </cell>
          <cell r="R6">
            <v>36525</v>
          </cell>
          <cell r="S6">
            <v>72944</v>
          </cell>
          <cell r="T6">
            <v>42605</v>
          </cell>
          <cell r="U6">
            <v>42605</v>
          </cell>
          <cell r="V6">
            <v>42605</v>
          </cell>
          <cell r="W6">
            <v>0</v>
          </cell>
          <cell r="X6">
            <v>0</v>
          </cell>
          <cell r="Y6">
            <v>0</v>
          </cell>
          <cell r="Z6">
            <v>0</v>
          </cell>
          <cell r="AA6">
            <v>0</v>
          </cell>
          <cell r="AB6">
            <v>0</v>
          </cell>
          <cell r="AC6">
            <v>0</v>
          </cell>
        </row>
        <row r="7">
          <cell r="B7">
            <v>940102</v>
          </cell>
          <cell r="C7" t="str">
            <v>NOR</v>
          </cell>
          <cell r="D7" t="str">
            <v>PRI</v>
          </cell>
          <cell r="E7" t="str">
            <v>Embalse Ovejería</v>
          </cell>
          <cell r="F7" t="str">
            <v>Sergio Hadad H.</v>
          </cell>
          <cell r="G7" t="str">
            <v>5099-5378</v>
          </cell>
          <cell r="H7" t="str">
            <v>B&amp;R - Ingendesa</v>
          </cell>
          <cell r="I7" t="str">
            <v>Marco Rojas</v>
          </cell>
          <cell r="J7">
            <v>5424</v>
          </cell>
          <cell r="K7" t="str">
            <v>Marko Ayala</v>
          </cell>
          <cell r="L7">
            <v>5424</v>
          </cell>
          <cell r="M7">
            <v>0.10800000000000001</v>
          </cell>
          <cell r="N7">
            <v>6.7000000000000004E-2</v>
          </cell>
          <cell r="O7">
            <v>0.82499999999999996</v>
          </cell>
          <cell r="P7">
            <v>34578</v>
          </cell>
          <cell r="Q7">
            <v>36342</v>
          </cell>
          <cell r="R7">
            <v>36647</v>
          </cell>
          <cell r="S7">
            <v>222093.8</v>
          </cell>
          <cell r="T7">
            <v>219910.22</v>
          </cell>
          <cell r="U7">
            <v>219910.22</v>
          </cell>
          <cell r="V7">
            <v>219910.22</v>
          </cell>
          <cell r="W7">
            <v>0</v>
          </cell>
          <cell r="X7">
            <v>0</v>
          </cell>
          <cell r="Y7">
            <v>0</v>
          </cell>
          <cell r="Z7">
            <v>0</v>
          </cell>
          <cell r="AA7">
            <v>0</v>
          </cell>
          <cell r="AB7">
            <v>0</v>
          </cell>
          <cell r="AC7">
            <v>0</v>
          </cell>
        </row>
        <row r="8">
          <cell r="B8">
            <v>940103</v>
          </cell>
          <cell r="C8" t="str">
            <v>NOR</v>
          </cell>
          <cell r="D8" t="str">
            <v>PRI</v>
          </cell>
          <cell r="E8" t="str">
            <v>Expansión Andina - 64 KTPD</v>
          </cell>
          <cell r="F8" t="str">
            <v xml:space="preserve">Gerhard Von Borries </v>
          </cell>
          <cell r="G8" t="str">
            <v>5015</v>
          </cell>
          <cell r="H8" t="str">
            <v>Andina</v>
          </cell>
          <cell r="I8" t="str">
            <v>Jose Valenzuela</v>
          </cell>
          <cell r="J8">
            <v>5806</v>
          </cell>
          <cell r="K8" t="str">
            <v>Alonso Rojas</v>
          </cell>
          <cell r="L8">
            <v>5018</v>
          </cell>
          <cell r="M8">
            <v>0.06</v>
          </cell>
          <cell r="N8">
            <v>0.39299999999999996</v>
          </cell>
          <cell r="O8">
            <v>0.54700000000000004</v>
          </cell>
          <cell r="P8">
            <v>34759</v>
          </cell>
          <cell r="Q8">
            <v>36251</v>
          </cell>
          <cell r="R8">
            <v>36495</v>
          </cell>
          <cell r="S8">
            <v>340716</v>
          </cell>
          <cell r="T8">
            <v>370945</v>
          </cell>
          <cell r="U8">
            <v>370945</v>
          </cell>
          <cell r="V8">
            <v>370945</v>
          </cell>
          <cell r="W8">
            <v>0</v>
          </cell>
          <cell r="X8">
            <v>0</v>
          </cell>
          <cell r="Y8">
            <v>0</v>
          </cell>
          <cell r="Z8">
            <v>0</v>
          </cell>
          <cell r="AA8">
            <v>0</v>
          </cell>
          <cell r="AB8">
            <v>0</v>
          </cell>
          <cell r="AC8">
            <v>0</v>
          </cell>
        </row>
        <row r="9">
          <cell r="B9">
            <v>950807</v>
          </cell>
          <cell r="C9" t="str">
            <v>NOR</v>
          </cell>
          <cell r="D9" t="str">
            <v>PRI</v>
          </cell>
          <cell r="E9" t="str">
            <v>Proceso LR</v>
          </cell>
          <cell r="F9" t="str">
            <v>Pedro Juan Molinet</v>
          </cell>
          <cell r="G9">
            <v>6703</v>
          </cell>
          <cell r="H9" t="str">
            <v>Ingendesa</v>
          </cell>
          <cell r="I9" t="str">
            <v>Roberto Arnes</v>
          </cell>
          <cell r="J9">
            <v>5612</v>
          </cell>
          <cell r="K9" t="str">
            <v>Hernan Bugueño</v>
          </cell>
          <cell r="L9">
            <v>5612</v>
          </cell>
          <cell r="M9">
            <v>0.21099999999999999</v>
          </cell>
          <cell r="N9">
            <v>0.495</v>
          </cell>
          <cell r="O9">
            <v>0.29399999999999998</v>
          </cell>
          <cell r="P9">
            <v>34973</v>
          </cell>
          <cell r="Q9">
            <v>36341</v>
          </cell>
          <cell r="R9">
            <v>36463</v>
          </cell>
          <cell r="S9">
            <v>7388</v>
          </cell>
          <cell r="T9">
            <v>7733</v>
          </cell>
          <cell r="U9">
            <v>7733</v>
          </cell>
          <cell r="V9">
            <v>7733</v>
          </cell>
          <cell r="W9">
            <v>0</v>
          </cell>
          <cell r="X9">
            <v>0</v>
          </cell>
          <cell r="Y9">
            <v>0</v>
          </cell>
          <cell r="Z9">
            <v>0</v>
          </cell>
          <cell r="AA9">
            <v>0</v>
          </cell>
          <cell r="AB9">
            <v>0</v>
          </cell>
          <cell r="AC9">
            <v>0</v>
          </cell>
        </row>
        <row r="10">
          <cell r="B10">
            <v>961001</v>
          </cell>
          <cell r="C10" t="str">
            <v>NOR</v>
          </cell>
          <cell r="D10" t="str">
            <v>PRI</v>
          </cell>
          <cell r="E10" t="str">
            <v>Desarrollo Mina Período 1996 - 1999</v>
          </cell>
          <cell r="F10" t="str">
            <v>Raul de Nordenflycht A.</v>
          </cell>
          <cell r="G10" t="str">
            <v>5085</v>
          </cell>
          <cell r="H10" t="str">
            <v>Andina</v>
          </cell>
          <cell r="I10" t="str">
            <v>Jose Valenzuela</v>
          </cell>
          <cell r="J10">
            <v>5806</v>
          </cell>
          <cell r="K10" t="str">
            <v>Alonso Rojas</v>
          </cell>
          <cell r="L10" t="str">
            <v>5018</v>
          </cell>
          <cell r="M10">
            <v>6.5000000000000002E-2</v>
          </cell>
          <cell r="N10">
            <v>0.14499999999999999</v>
          </cell>
          <cell r="O10">
            <v>0.79</v>
          </cell>
          <cell r="P10">
            <v>35065</v>
          </cell>
          <cell r="Q10">
            <v>36495</v>
          </cell>
          <cell r="R10">
            <v>36647</v>
          </cell>
          <cell r="S10">
            <v>37005</v>
          </cell>
          <cell r="T10">
            <v>40064</v>
          </cell>
          <cell r="U10">
            <v>40062</v>
          </cell>
          <cell r="V10">
            <v>40064</v>
          </cell>
          <cell r="W10">
            <v>0</v>
          </cell>
          <cell r="X10">
            <v>0</v>
          </cell>
          <cell r="Y10">
            <v>0</v>
          </cell>
          <cell r="Z10">
            <v>0</v>
          </cell>
          <cell r="AA10">
            <v>0</v>
          </cell>
          <cell r="AB10">
            <v>0</v>
          </cell>
          <cell r="AC10">
            <v>0</v>
          </cell>
        </row>
        <row r="11">
          <cell r="B11">
            <v>970502</v>
          </cell>
          <cell r="C11" t="str">
            <v>DIV</v>
          </cell>
          <cell r="D11" t="str">
            <v>DIV</v>
          </cell>
          <cell r="E11" t="str">
            <v>Adquisición Tapa de Alimentación Molino De Barras N°2</v>
          </cell>
          <cell r="F11" t="str">
            <v>Pablo Fernandez</v>
          </cell>
          <cell r="G11">
            <v>5807</v>
          </cell>
          <cell r="H11" t="str">
            <v>B&amp;R</v>
          </cell>
          <cell r="I11" t="str">
            <v>Carlos G.</v>
          </cell>
          <cell r="J11">
            <v>5548</v>
          </cell>
          <cell r="K11" t="str">
            <v>Cristian Morris</v>
          </cell>
          <cell r="L11">
            <v>5548</v>
          </cell>
          <cell r="M11">
            <v>0</v>
          </cell>
          <cell r="N11">
            <v>1</v>
          </cell>
          <cell r="O11">
            <v>0</v>
          </cell>
          <cell r="P11">
            <v>35643</v>
          </cell>
          <cell r="Q11">
            <v>36098</v>
          </cell>
          <cell r="R11">
            <v>36159</v>
          </cell>
          <cell r="S11">
            <v>199</v>
          </cell>
          <cell r="T11">
            <v>193</v>
          </cell>
          <cell r="U11">
            <v>193</v>
          </cell>
          <cell r="V11">
            <v>193</v>
          </cell>
          <cell r="W11">
            <v>0</v>
          </cell>
          <cell r="X11">
            <v>0</v>
          </cell>
          <cell r="Y11">
            <v>0</v>
          </cell>
          <cell r="Z11">
            <v>0</v>
          </cell>
          <cell r="AA11">
            <v>0</v>
          </cell>
          <cell r="AB11">
            <v>0</v>
          </cell>
          <cell r="AC11">
            <v>0</v>
          </cell>
        </row>
        <row r="12">
          <cell r="B12">
            <v>970503</v>
          </cell>
          <cell r="C12" t="str">
            <v>DIV</v>
          </cell>
          <cell r="D12" t="str">
            <v>DIV</v>
          </cell>
          <cell r="E12" t="str">
            <v>Reemplazo Sistema Envasado y Pesaje Concentrados de Molibdenita</v>
          </cell>
          <cell r="F12" t="str">
            <v>Eduardo Marco</v>
          </cell>
          <cell r="G12" t="str">
            <v>5249</v>
          </cell>
          <cell r="H12" t="str">
            <v>Ingendesa</v>
          </cell>
          <cell r="I12" t="str">
            <v>Roberto Arnes</v>
          </cell>
          <cell r="J12">
            <v>5612</v>
          </cell>
          <cell r="K12" t="str">
            <v>Hernan Bugueño</v>
          </cell>
          <cell r="L12">
            <v>5612</v>
          </cell>
          <cell r="M12">
            <v>0.04</v>
          </cell>
          <cell r="N12">
            <v>0.35</v>
          </cell>
          <cell r="O12">
            <v>0.61</v>
          </cell>
          <cell r="P12">
            <v>35765</v>
          </cell>
          <cell r="Q12">
            <v>35947</v>
          </cell>
          <cell r="R12">
            <v>35947</v>
          </cell>
          <cell r="S12">
            <v>173</v>
          </cell>
          <cell r="T12">
            <v>172</v>
          </cell>
          <cell r="U12">
            <v>172</v>
          </cell>
          <cell r="V12">
            <v>172</v>
          </cell>
          <cell r="W12">
            <v>0</v>
          </cell>
          <cell r="X12">
            <v>0</v>
          </cell>
          <cell r="Y12">
            <v>0</v>
          </cell>
          <cell r="Z12">
            <v>0</v>
          </cell>
          <cell r="AA12">
            <v>0</v>
          </cell>
          <cell r="AB12">
            <v>0</v>
          </cell>
          <cell r="AC12">
            <v>0</v>
          </cell>
        </row>
        <row r="13">
          <cell r="B13">
            <v>970504</v>
          </cell>
          <cell r="C13" t="str">
            <v>DIV</v>
          </cell>
          <cell r="D13" t="str">
            <v>DIV</v>
          </cell>
          <cell r="E13" t="str">
            <v>Remoción Metales Magneticos</v>
          </cell>
          <cell r="F13" t="str">
            <v>Luis Espinoza Araya</v>
          </cell>
          <cell r="G13">
            <v>5835</v>
          </cell>
          <cell r="H13" t="str">
            <v>Ingendesa</v>
          </cell>
          <cell r="I13" t="str">
            <v>Roberto Arnes</v>
          </cell>
          <cell r="J13">
            <v>5612</v>
          </cell>
          <cell r="K13" t="str">
            <v>Rodrigo Yañez</v>
          </cell>
          <cell r="L13">
            <v>5612</v>
          </cell>
          <cell r="M13">
            <v>0.08</v>
          </cell>
          <cell r="N13">
            <v>0.2</v>
          </cell>
          <cell r="O13">
            <v>0.72</v>
          </cell>
          <cell r="P13">
            <v>35765</v>
          </cell>
          <cell r="Q13">
            <v>35947</v>
          </cell>
          <cell r="R13">
            <v>36160</v>
          </cell>
          <cell r="S13">
            <v>256.6242558271</v>
          </cell>
          <cell r="T13">
            <v>276</v>
          </cell>
          <cell r="U13">
            <v>276</v>
          </cell>
          <cell r="V13">
            <v>276</v>
          </cell>
          <cell r="W13">
            <v>0</v>
          </cell>
          <cell r="X13">
            <v>0</v>
          </cell>
          <cell r="Y13">
            <v>0</v>
          </cell>
          <cell r="Z13">
            <v>0</v>
          </cell>
          <cell r="AA13">
            <v>0</v>
          </cell>
          <cell r="AB13">
            <v>0</v>
          </cell>
          <cell r="AC13">
            <v>0</v>
          </cell>
        </row>
        <row r="14">
          <cell r="B14">
            <v>970602</v>
          </cell>
          <cell r="C14" t="str">
            <v>DIV</v>
          </cell>
          <cell r="D14" t="str">
            <v>DIV</v>
          </cell>
          <cell r="E14" t="str">
            <v>Const. Sala de Acopio Basuras y Plataforma de Despacho Alimentos, Hotel Hilton</v>
          </cell>
          <cell r="F14" t="str">
            <v>Pablo Fernandez</v>
          </cell>
          <cell r="G14">
            <v>5807</v>
          </cell>
          <cell r="H14" t="str">
            <v>Ingendesa</v>
          </cell>
          <cell r="I14" t="str">
            <v>Roberto Arnes</v>
          </cell>
          <cell r="J14">
            <v>5612</v>
          </cell>
          <cell r="K14" t="str">
            <v>Rodrigo Yañez</v>
          </cell>
          <cell r="L14">
            <v>5612</v>
          </cell>
          <cell r="M14">
            <v>0</v>
          </cell>
          <cell r="N14">
            <v>0.1363</v>
          </cell>
          <cell r="O14">
            <v>0.86370000000000002</v>
          </cell>
          <cell r="P14">
            <v>35551</v>
          </cell>
          <cell r="Q14">
            <v>35735</v>
          </cell>
          <cell r="R14">
            <v>35854</v>
          </cell>
          <cell r="S14">
            <v>112</v>
          </cell>
          <cell r="T14">
            <v>95</v>
          </cell>
          <cell r="U14">
            <v>95</v>
          </cell>
          <cell r="V14">
            <v>95</v>
          </cell>
          <cell r="W14">
            <v>0</v>
          </cell>
          <cell r="X14">
            <v>0</v>
          </cell>
          <cell r="Y14">
            <v>0</v>
          </cell>
          <cell r="Z14">
            <v>0</v>
          </cell>
          <cell r="AA14">
            <v>0</v>
          </cell>
          <cell r="AB14">
            <v>0</v>
          </cell>
          <cell r="AC14">
            <v>0</v>
          </cell>
        </row>
        <row r="15">
          <cell r="B15">
            <v>970603</v>
          </cell>
          <cell r="C15" t="str">
            <v>DIV</v>
          </cell>
          <cell r="D15" t="str">
            <v>DIV</v>
          </cell>
          <cell r="E15" t="str">
            <v>Mejoramiento Sistema Toma de Muestras y Secado Concentrado Cobre P. Ventanas</v>
          </cell>
          <cell r="F15" t="str">
            <v>Eduardo Marco</v>
          </cell>
          <cell r="G15" t="str">
            <v>5249</v>
          </cell>
          <cell r="H15" t="str">
            <v>Ingendesa</v>
          </cell>
          <cell r="I15" t="str">
            <v>Roberto Arnes</v>
          </cell>
          <cell r="J15">
            <v>5612</v>
          </cell>
          <cell r="K15" t="str">
            <v>Christian Castro</v>
          </cell>
          <cell r="L15">
            <v>5612</v>
          </cell>
          <cell r="M15">
            <v>0.05</v>
          </cell>
          <cell r="N15">
            <v>0.35</v>
          </cell>
          <cell r="O15">
            <v>0.6</v>
          </cell>
          <cell r="P15">
            <v>35796</v>
          </cell>
          <cell r="Q15">
            <v>36160</v>
          </cell>
          <cell r="R15">
            <v>36129</v>
          </cell>
          <cell r="S15">
            <v>100.8888632037</v>
          </cell>
          <cell r="T15">
            <v>65</v>
          </cell>
          <cell r="U15">
            <v>65</v>
          </cell>
          <cell r="V15">
            <v>65</v>
          </cell>
          <cell r="W15">
            <v>0</v>
          </cell>
          <cell r="X15">
            <v>0</v>
          </cell>
          <cell r="Y15">
            <v>0</v>
          </cell>
          <cell r="Z15">
            <v>0</v>
          </cell>
          <cell r="AA15">
            <v>0</v>
          </cell>
          <cell r="AB15">
            <v>0</v>
          </cell>
          <cell r="AC15">
            <v>0</v>
          </cell>
        </row>
        <row r="16">
          <cell r="B16">
            <v>970802</v>
          </cell>
          <cell r="C16" t="str">
            <v>NOR</v>
          </cell>
          <cell r="D16" t="str">
            <v>OTR</v>
          </cell>
          <cell r="E16" t="str">
            <v>Cambio Aducción Agua Fresca Concentrador</v>
          </cell>
          <cell r="F16" t="str">
            <v>Jorge Muñoz N.</v>
          </cell>
          <cell r="G16" t="str">
            <v>5447</v>
          </cell>
          <cell r="H16" t="str">
            <v>B&amp;R</v>
          </cell>
          <cell r="I16" t="str">
            <v>Carlos G.</v>
          </cell>
          <cell r="J16">
            <v>5548</v>
          </cell>
          <cell r="K16" t="str">
            <v>Cristian Morris</v>
          </cell>
          <cell r="L16">
            <v>5548</v>
          </cell>
          <cell r="M16">
            <v>0.17</v>
          </cell>
          <cell r="N16">
            <v>0.38100000000000001</v>
          </cell>
          <cell r="O16">
            <v>0.44900000000000001</v>
          </cell>
          <cell r="P16">
            <v>35612</v>
          </cell>
          <cell r="Q16">
            <v>35976</v>
          </cell>
          <cell r="R16">
            <v>36160</v>
          </cell>
          <cell r="S16">
            <v>371</v>
          </cell>
          <cell r="T16">
            <v>261</v>
          </cell>
          <cell r="U16">
            <v>261</v>
          </cell>
          <cell r="V16">
            <v>261</v>
          </cell>
          <cell r="W16">
            <v>0</v>
          </cell>
          <cell r="X16">
            <v>0</v>
          </cell>
          <cell r="Y16">
            <v>0</v>
          </cell>
          <cell r="Z16">
            <v>0</v>
          </cell>
          <cell r="AA16">
            <v>0</v>
          </cell>
          <cell r="AB16">
            <v>0</v>
          </cell>
          <cell r="AC16">
            <v>0</v>
          </cell>
        </row>
        <row r="17">
          <cell r="B17">
            <v>970805</v>
          </cell>
          <cell r="C17" t="str">
            <v>NOR</v>
          </cell>
          <cell r="D17" t="str">
            <v>OTR</v>
          </cell>
          <cell r="E17" t="str">
            <v>Protección Contra Incendio Salas Eléctricas, Subestaciones y Salas de Control</v>
          </cell>
          <cell r="F17" t="str">
            <v>Luis Espinoza Araya</v>
          </cell>
          <cell r="G17">
            <v>5835</v>
          </cell>
          <cell r="H17" t="str">
            <v>B&amp;R</v>
          </cell>
          <cell r="I17" t="str">
            <v>Carlos G.</v>
          </cell>
          <cell r="J17">
            <v>5548</v>
          </cell>
          <cell r="K17" t="str">
            <v>Juan Andia</v>
          </cell>
          <cell r="L17">
            <v>5548</v>
          </cell>
          <cell r="M17">
            <v>5.6000000000000001E-2</v>
          </cell>
          <cell r="N17">
            <v>0.66200000000000003</v>
          </cell>
          <cell r="O17">
            <v>0.28199999999999997</v>
          </cell>
          <cell r="P17">
            <v>35431</v>
          </cell>
          <cell r="Q17">
            <v>36251</v>
          </cell>
          <cell r="R17">
            <v>36495</v>
          </cell>
          <cell r="S17">
            <v>1784</v>
          </cell>
          <cell r="T17">
            <v>1477</v>
          </cell>
          <cell r="U17">
            <v>1477</v>
          </cell>
          <cell r="V17">
            <v>1477</v>
          </cell>
          <cell r="W17">
            <v>0</v>
          </cell>
          <cell r="X17">
            <v>0</v>
          </cell>
          <cell r="Y17">
            <v>0</v>
          </cell>
          <cell r="Z17">
            <v>0</v>
          </cell>
          <cell r="AA17">
            <v>0</v>
          </cell>
          <cell r="AB17">
            <v>0</v>
          </cell>
          <cell r="AC17">
            <v>0</v>
          </cell>
        </row>
        <row r="18">
          <cell r="B18">
            <v>970809</v>
          </cell>
          <cell r="C18" t="str">
            <v>DIV</v>
          </cell>
          <cell r="D18" t="str">
            <v>DIV</v>
          </cell>
          <cell r="E18" t="str">
            <v>Reemplazo Calderas Edificio Hilton Area Industrial</v>
          </cell>
          <cell r="F18" t="str">
            <v>Pablo Fernandez</v>
          </cell>
          <cell r="G18">
            <v>5807</v>
          </cell>
          <cell r="H18" t="str">
            <v>Ingendesa</v>
          </cell>
          <cell r="I18" t="str">
            <v>Roberto Arnes</v>
          </cell>
          <cell r="J18">
            <v>5612</v>
          </cell>
          <cell r="K18" t="str">
            <v>Johan Rios</v>
          </cell>
          <cell r="L18">
            <v>5612</v>
          </cell>
          <cell r="M18">
            <v>0.05</v>
          </cell>
          <cell r="N18">
            <v>0.55000000000000004</v>
          </cell>
          <cell r="O18">
            <v>0.4</v>
          </cell>
          <cell r="P18">
            <v>35796</v>
          </cell>
          <cell r="Q18">
            <v>36160</v>
          </cell>
          <cell r="R18">
            <v>36160</v>
          </cell>
          <cell r="S18">
            <v>233</v>
          </cell>
          <cell r="T18">
            <v>148</v>
          </cell>
          <cell r="U18">
            <v>148</v>
          </cell>
          <cell r="V18">
            <v>148</v>
          </cell>
          <cell r="W18">
            <v>0</v>
          </cell>
          <cell r="X18">
            <v>0</v>
          </cell>
          <cell r="Y18">
            <v>0</v>
          </cell>
          <cell r="Z18">
            <v>0</v>
          </cell>
          <cell r="AA18">
            <v>0</v>
          </cell>
          <cell r="AB18">
            <v>0</v>
          </cell>
          <cell r="AC18">
            <v>0</v>
          </cell>
        </row>
        <row r="19">
          <cell r="B19">
            <v>970811</v>
          </cell>
          <cell r="C19" t="str">
            <v>DIV</v>
          </cell>
          <cell r="D19" t="str">
            <v>DIV</v>
          </cell>
          <cell r="E19" t="str">
            <v>Mejoramiento Sistema de Agua Potable Sectores Haulage - Lagunitas</v>
          </cell>
          <cell r="F19" t="str">
            <v>Jorge Muñoz N.</v>
          </cell>
          <cell r="G19" t="str">
            <v>5447</v>
          </cell>
          <cell r="H19" t="str">
            <v>Ingendesa</v>
          </cell>
          <cell r="I19" t="str">
            <v>Roberto Arnes</v>
          </cell>
          <cell r="J19">
            <v>5612</v>
          </cell>
          <cell r="K19" t="str">
            <v>Johan Rios</v>
          </cell>
          <cell r="L19">
            <v>5612</v>
          </cell>
          <cell r="M19">
            <v>0.1</v>
          </cell>
          <cell r="N19">
            <v>0</v>
          </cell>
          <cell r="O19">
            <v>0.9</v>
          </cell>
          <cell r="P19">
            <v>35704</v>
          </cell>
          <cell r="Q19">
            <v>36069</v>
          </cell>
          <cell r="R19">
            <v>36129</v>
          </cell>
          <cell r="S19">
            <v>141</v>
          </cell>
          <cell r="T19">
            <v>151</v>
          </cell>
          <cell r="U19">
            <v>151</v>
          </cell>
          <cell r="V19">
            <v>151</v>
          </cell>
          <cell r="W19">
            <v>0</v>
          </cell>
          <cell r="X19">
            <v>0</v>
          </cell>
          <cell r="Y19">
            <v>0</v>
          </cell>
          <cell r="Z19">
            <v>0</v>
          </cell>
          <cell r="AA19">
            <v>0</v>
          </cell>
          <cell r="AB19">
            <v>0</v>
          </cell>
          <cell r="AC19">
            <v>0</v>
          </cell>
        </row>
        <row r="20">
          <cell r="B20">
            <v>971001</v>
          </cell>
          <cell r="C20" t="str">
            <v>NOR</v>
          </cell>
          <cell r="D20" t="str">
            <v>OTR</v>
          </cell>
          <cell r="E20" t="str">
            <v>Adquisición de Equipos Mina Subterránea 1997</v>
          </cell>
          <cell r="F20" t="str">
            <v>Robert Mayne - Nichols</v>
          </cell>
          <cell r="G20">
            <v>5035</v>
          </cell>
          <cell r="H20" t="str">
            <v>Ingendesa</v>
          </cell>
          <cell r="I20" t="str">
            <v>Jose Luis Silva</v>
          </cell>
          <cell r="J20">
            <v>5137</v>
          </cell>
          <cell r="K20" t="str">
            <v>Carlos Rivera</v>
          </cell>
          <cell r="L20" t="str">
            <v>5570-71</v>
          </cell>
          <cell r="M20">
            <v>0</v>
          </cell>
          <cell r="N20">
            <v>1</v>
          </cell>
          <cell r="O20">
            <v>0</v>
          </cell>
          <cell r="P20">
            <v>35461</v>
          </cell>
          <cell r="Q20">
            <v>35765</v>
          </cell>
          <cell r="R20">
            <v>36006</v>
          </cell>
          <cell r="S20">
            <v>1370</v>
          </cell>
          <cell r="T20">
            <v>1226</v>
          </cell>
          <cell r="U20">
            <v>1226</v>
          </cell>
          <cell r="V20">
            <v>1226</v>
          </cell>
          <cell r="W20">
            <v>0</v>
          </cell>
          <cell r="X20">
            <v>0</v>
          </cell>
          <cell r="Y20">
            <v>0</v>
          </cell>
          <cell r="Z20">
            <v>0</v>
          </cell>
          <cell r="AA20">
            <v>0</v>
          </cell>
          <cell r="AB20">
            <v>0</v>
          </cell>
          <cell r="AC20">
            <v>0</v>
          </cell>
        </row>
        <row r="21">
          <cell r="B21">
            <v>971002</v>
          </cell>
          <cell r="C21" t="str">
            <v>NOR</v>
          </cell>
          <cell r="D21" t="str">
            <v>OTR</v>
          </cell>
          <cell r="E21" t="str">
            <v>Adquisición Martillos Fijos Telecomandados</v>
          </cell>
          <cell r="F21" t="str">
            <v>Robert Mayne - Nichols</v>
          </cell>
          <cell r="G21">
            <v>5035</v>
          </cell>
          <cell r="H21" t="str">
            <v>Ingendesa</v>
          </cell>
          <cell r="I21" t="str">
            <v>Jose Luis Silva</v>
          </cell>
          <cell r="J21">
            <v>5137</v>
          </cell>
          <cell r="K21" t="str">
            <v>Carlos Rivera</v>
          </cell>
          <cell r="L21" t="str">
            <v>5570-71</v>
          </cell>
          <cell r="M21">
            <v>0</v>
          </cell>
          <cell r="N21">
            <v>1</v>
          </cell>
          <cell r="O21">
            <v>0</v>
          </cell>
          <cell r="P21">
            <v>35431</v>
          </cell>
          <cell r="Q21">
            <v>35643</v>
          </cell>
          <cell r="R21">
            <v>35977</v>
          </cell>
          <cell r="S21">
            <v>1551</v>
          </cell>
          <cell r="T21">
            <v>1219</v>
          </cell>
          <cell r="U21">
            <v>1219</v>
          </cell>
          <cell r="V21">
            <v>1219</v>
          </cell>
          <cell r="W21">
            <v>0</v>
          </cell>
          <cell r="X21">
            <v>0</v>
          </cell>
          <cell r="Y21">
            <v>0</v>
          </cell>
          <cell r="Z21">
            <v>0</v>
          </cell>
          <cell r="AA21">
            <v>0</v>
          </cell>
          <cell r="AB21">
            <v>0</v>
          </cell>
          <cell r="AC21">
            <v>0</v>
          </cell>
        </row>
        <row r="22">
          <cell r="B22">
            <v>980101</v>
          </cell>
          <cell r="C22" t="str">
            <v>NOR</v>
          </cell>
          <cell r="D22" t="str">
            <v>PRI</v>
          </cell>
          <cell r="E22" t="str">
            <v xml:space="preserve">Explotación Rajos Proyecto Expansión Andina </v>
          </cell>
          <cell r="F22" t="str">
            <v>Raúl De Nordenflycht</v>
          </cell>
          <cell r="G22">
            <v>5604</v>
          </cell>
          <cell r="H22" t="str">
            <v>Andina</v>
          </cell>
          <cell r="I22" t="str">
            <v>Jose Valenzuela</v>
          </cell>
          <cell r="J22">
            <v>5806</v>
          </cell>
          <cell r="K22" t="str">
            <v>Alonso Rojas</v>
          </cell>
          <cell r="L22">
            <v>5018</v>
          </cell>
          <cell r="M22">
            <v>8.9999999999999993E-3</v>
          </cell>
          <cell r="N22">
            <v>0.92</v>
          </cell>
          <cell r="O22">
            <v>7.0999999999999994E-2</v>
          </cell>
          <cell r="P22">
            <v>35796</v>
          </cell>
          <cell r="Q22">
            <v>36249</v>
          </cell>
          <cell r="R22">
            <v>36615</v>
          </cell>
          <cell r="S22">
            <v>48940</v>
          </cell>
          <cell r="T22">
            <v>50061</v>
          </cell>
          <cell r="U22">
            <v>50061</v>
          </cell>
          <cell r="V22">
            <v>50061</v>
          </cell>
          <cell r="W22">
            <v>0</v>
          </cell>
          <cell r="X22">
            <v>0</v>
          </cell>
          <cell r="Y22">
            <v>0</v>
          </cell>
          <cell r="Z22">
            <v>0</v>
          </cell>
          <cell r="AA22">
            <v>0</v>
          </cell>
          <cell r="AB22">
            <v>0</v>
          </cell>
          <cell r="AC22">
            <v>0</v>
          </cell>
        </row>
        <row r="23">
          <cell r="B23">
            <v>980502</v>
          </cell>
          <cell r="C23" t="str">
            <v>NOR</v>
          </cell>
          <cell r="D23" t="str">
            <v>OTR</v>
          </cell>
          <cell r="E23" t="str">
            <v xml:space="preserve">Modernización Sistema de Información y Control CO </v>
          </cell>
          <cell r="F23" t="str">
            <v>Luis Espinoza Araya</v>
          </cell>
          <cell r="G23">
            <v>5835</v>
          </cell>
          <cell r="H23" t="str">
            <v>Ingendesa</v>
          </cell>
          <cell r="I23" t="str">
            <v>Roberto Arnes</v>
          </cell>
          <cell r="J23">
            <v>5612</v>
          </cell>
          <cell r="K23" t="str">
            <v>Rodrigo Yañez</v>
          </cell>
          <cell r="L23">
            <v>5612</v>
          </cell>
          <cell r="M23">
            <v>0.22</v>
          </cell>
          <cell r="N23">
            <v>0.57999999999999996</v>
          </cell>
          <cell r="O23">
            <v>0.2</v>
          </cell>
          <cell r="P23">
            <v>35855</v>
          </cell>
          <cell r="Q23">
            <v>36494</v>
          </cell>
          <cell r="R23">
            <v>36494</v>
          </cell>
          <cell r="S23">
            <v>675</v>
          </cell>
          <cell r="T23">
            <v>717.2</v>
          </cell>
          <cell r="U23">
            <v>717.2</v>
          </cell>
          <cell r="V23">
            <v>717.2</v>
          </cell>
          <cell r="W23">
            <v>0</v>
          </cell>
          <cell r="X23">
            <v>0</v>
          </cell>
          <cell r="Y23">
            <v>0</v>
          </cell>
          <cell r="Z23">
            <v>0</v>
          </cell>
          <cell r="AA23">
            <v>0</v>
          </cell>
          <cell r="AB23">
            <v>0</v>
          </cell>
          <cell r="AC23">
            <v>0</v>
          </cell>
        </row>
        <row r="24">
          <cell r="B24">
            <v>980503</v>
          </cell>
          <cell r="C24" t="str">
            <v>DIV</v>
          </cell>
          <cell r="D24" t="str">
            <v>DIV</v>
          </cell>
          <cell r="E24" t="str">
            <v>Remoción Metales Magneticos Chancado Grueso Etapa II</v>
          </cell>
          <cell r="F24" t="str">
            <v>Luis Espinoza Araya</v>
          </cell>
          <cell r="G24">
            <v>5835</v>
          </cell>
          <cell r="H24" t="str">
            <v>Ingendesa</v>
          </cell>
          <cell r="I24" t="str">
            <v>Roberto Arnes</v>
          </cell>
          <cell r="J24">
            <v>5612</v>
          </cell>
          <cell r="K24" t="str">
            <v>Roberto Arnes</v>
          </cell>
          <cell r="L24">
            <v>5612</v>
          </cell>
          <cell r="M24">
            <v>0.08</v>
          </cell>
          <cell r="N24">
            <v>0.3</v>
          </cell>
          <cell r="O24">
            <v>0.62</v>
          </cell>
          <cell r="P24">
            <v>35855</v>
          </cell>
          <cell r="Q24">
            <v>36160</v>
          </cell>
          <cell r="R24">
            <v>36190</v>
          </cell>
          <cell r="S24">
            <v>214</v>
          </cell>
          <cell r="T24">
            <v>224</v>
          </cell>
          <cell r="U24">
            <v>221</v>
          </cell>
          <cell r="V24">
            <v>221</v>
          </cell>
          <cell r="W24">
            <v>0</v>
          </cell>
          <cell r="X24">
            <v>0</v>
          </cell>
          <cell r="Y24">
            <v>0</v>
          </cell>
          <cell r="Z24">
            <v>0</v>
          </cell>
          <cell r="AA24">
            <v>0</v>
          </cell>
          <cell r="AB24">
            <v>0</v>
          </cell>
          <cell r="AC24">
            <v>0</v>
          </cell>
        </row>
        <row r="25">
          <cell r="B25">
            <v>980504</v>
          </cell>
          <cell r="C25" t="str">
            <v>DIV</v>
          </cell>
          <cell r="D25" t="str">
            <v>DIV</v>
          </cell>
          <cell r="E25" t="str">
            <v xml:space="preserve">Sistema de Comunicación Area Concentrador </v>
          </cell>
          <cell r="F25" t="str">
            <v>Luis Espinoza Araya</v>
          </cell>
          <cell r="G25">
            <v>5835</v>
          </cell>
          <cell r="H25" t="str">
            <v>B&amp;R</v>
          </cell>
          <cell r="I25" t="str">
            <v>Carlos G.</v>
          </cell>
          <cell r="J25">
            <v>5548</v>
          </cell>
          <cell r="K25" t="str">
            <v>Cristian Morris</v>
          </cell>
          <cell r="L25">
            <v>5548</v>
          </cell>
          <cell r="M25">
            <v>0.155</v>
          </cell>
          <cell r="N25">
            <v>0.68</v>
          </cell>
          <cell r="O25">
            <v>0.16500000000000001</v>
          </cell>
          <cell r="P25">
            <v>35940</v>
          </cell>
          <cell r="Q25">
            <v>36160</v>
          </cell>
          <cell r="R25">
            <v>36160</v>
          </cell>
          <cell r="S25">
            <v>99.99</v>
          </cell>
          <cell r="T25">
            <v>103</v>
          </cell>
          <cell r="U25">
            <v>103</v>
          </cell>
          <cell r="V25">
            <v>103</v>
          </cell>
          <cell r="W25">
            <v>0</v>
          </cell>
          <cell r="X25">
            <v>0</v>
          </cell>
          <cell r="Y25">
            <v>0</v>
          </cell>
          <cell r="Z25">
            <v>0</v>
          </cell>
          <cell r="AA25">
            <v>0</v>
          </cell>
          <cell r="AB25">
            <v>0</v>
          </cell>
          <cell r="AC25">
            <v>0</v>
          </cell>
        </row>
        <row r="26">
          <cell r="B26" t="str">
            <v>A00M201</v>
          </cell>
          <cell r="C26" t="str">
            <v>NOR</v>
          </cell>
          <cell r="D26" t="str">
            <v>OTR</v>
          </cell>
          <cell r="E26" t="str">
            <v>Ing. Básica Obras Mediano Plazo Piuquenes</v>
          </cell>
          <cell r="F26" t="str">
            <v>Jorge Muñoz N.</v>
          </cell>
          <cell r="G26">
            <v>5447</v>
          </cell>
          <cell r="I26" t="str">
            <v>Cristian Anex</v>
          </cell>
          <cell r="J26">
            <v>5249</v>
          </cell>
          <cell r="M26">
            <v>1</v>
          </cell>
          <cell r="N26">
            <v>0</v>
          </cell>
          <cell r="O26">
            <v>0</v>
          </cell>
          <cell r="P26">
            <v>36617</v>
          </cell>
          <cell r="Q26">
            <v>36861</v>
          </cell>
          <cell r="R26">
            <v>36861</v>
          </cell>
          <cell r="S26">
            <v>244</v>
          </cell>
          <cell r="T26">
            <v>78</v>
          </cell>
          <cell r="U26">
            <v>78</v>
          </cell>
          <cell r="V26">
            <v>78</v>
          </cell>
          <cell r="W26">
            <v>0</v>
          </cell>
          <cell r="X26">
            <v>0</v>
          </cell>
          <cell r="Y26">
            <v>0</v>
          </cell>
          <cell r="Z26">
            <v>0</v>
          </cell>
          <cell r="AA26">
            <v>0</v>
          </cell>
          <cell r="AB26">
            <v>0</v>
          </cell>
          <cell r="AC26">
            <v>0</v>
          </cell>
        </row>
        <row r="27">
          <cell r="B27" t="str">
            <v>A00M202</v>
          </cell>
          <cell r="C27" t="str">
            <v>NOR</v>
          </cell>
          <cell r="D27" t="str">
            <v>PRI</v>
          </cell>
          <cell r="E27" t="str">
            <v>Ing. Básica aumento capacidad de tratamiento a 74 KTPD</v>
          </cell>
          <cell r="F27" t="str">
            <v>Enrique Tarifeño</v>
          </cell>
          <cell r="I27" t="str">
            <v>José Morgado</v>
          </cell>
          <cell r="J27">
            <v>5470</v>
          </cell>
          <cell r="M27">
            <v>1</v>
          </cell>
          <cell r="P27">
            <v>36586</v>
          </cell>
          <cell r="Q27">
            <v>36861</v>
          </cell>
          <cell r="R27">
            <v>36923</v>
          </cell>
          <cell r="S27">
            <v>1820.9</v>
          </cell>
          <cell r="T27">
            <v>1671</v>
          </cell>
          <cell r="U27">
            <v>1671</v>
          </cell>
          <cell r="V27">
            <v>1671</v>
          </cell>
          <cell r="W27">
            <v>265.27600000000001</v>
          </cell>
          <cell r="X27">
            <v>1658.596</v>
          </cell>
          <cell r="Y27">
            <v>1670.9174432769998</v>
          </cell>
          <cell r="Z27">
            <v>1670.9174432769998</v>
          </cell>
          <cell r="AA27">
            <v>1658.596</v>
          </cell>
          <cell r="AB27">
            <v>1670.9174432769998</v>
          </cell>
          <cell r="AC27">
            <v>1670.9174432769998</v>
          </cell>
        </row>
        <row r="28">
          <cell r="B28" t="str">
            <v>A00M401</v>
          </cell>
          <cell r="C28" t="str">
            <v>NOR</v>
          </cell>
          <cell r="D28" t="str">
            <v>OTR</v>
          </cell>
          <cell r="E28" t="str">
            <v>Adquisición LHD 7 yd3 Mina Subterránea 2000</v>
          </cell>
          <cell r="F28" t="str">
            <v>Juan Caceres</v>
          </cell>
          <cell r="I28" t="str">
            <v>Jaime Alamos</v>
          </cell>
          <cell r="J28">
            <v>5047</v>
          </cell>
          <cell r="N28">
            <v>1</v>
          </cell>
          <cell r="P28">
            <v>36526</v>
          </cell>
          <cell r="Q28">
            <v>36708</v>
          </cell>
          <cell r="R28">
            <v>36923</v>
          </cell>
          <cell r="S28">
            <v>470.7</v>
          </cell>
          <cell r="T28">
            <v>342</v>
          </cell>
          <cell r="U28">
            <v>342</v>
          </cell>
          <cell r="V28">
            <v>342</v>
          </cell>
          <cell r="W28">
            <v>15.800000000000011</v>
          </cell>
          <cell r="X28">
            <v>339.37</v>
          </cell>
          <cell r="Y28">
            <v>335.92533443453999</v>
          </cell>
          <cell r="Z28">
            <v>323.57</v>
          </cell>
          <cell r="AA28">
            <v>339.37</v>
          </cell>
          <cell r="AB28">
            <v>335.92533443453999</v>
          </cell>
          <cell r="AC28">
            <v>323.57</v>
          </cell>
        </row>
        <row r="29">
          <cell r="B29" t="str">
            <v>A00M405</v>
          </cell>
          <cell r="C29" t="str">
            <v>NOR</v>
          </cell>
          <cell r="D29" t="str">
            <v>OTR</v>
          </cell>
          <cell r="E29" t="str">
            <v>Imp. Sistema Automático Ctrl Producción Camiones</v>
          </cell>
          <cell r="F29" t="str">
            <v>Juan Caceres</v>
          </cell>
          <cell r="G29">
            <v>5035</v>
          </cell>
          <cell r="I29" t="str">
            <v>Jaime Alamos</v>
          </cell>
          <cell r="J29">
            <v>5047</v>
          </cell>
          <cell r="M29">
            <v>0.12</v>
          </cell>
          <cell r="N29">
            <v>0.5</v>
          </cell>
          <cell r="O29">
            <v>0.38</v>
          </cell>
          <cell r="P29">
            <v>36526</v>
          </cell>
          <cell r="Q29">
            <v>36861</v>
          </cell>
          <cell r="R29">
            <v>37073</v>
          </cell>
          <cell r="S29">
            <v>511.3</v>
          </cell>
          <cell r="T29">
            <v>397</v>
          </cell>
          <cell r="U29">
            <v>342</v>
          </cell>
          <cell r="V29">
            <v>382</v>
          </cell>
          <cell r="W29">
            <v>82.1</v>
          </cell>
          <cell r="X29">
            <v>403.96000000000004</v>
          </cell>
          <cell r="Y29">
            <v>395.56604971731002</v>
          </cell>
          <cell r="Z29">
            <v>341.08052837709999</v>
          </cell>
          <cell r="AA29">
            <v>403.96000000000004</v>
          </cell>
          <cell r="AB29">
            <v>340.56604971731002</v>
          </cell>
          <cell r="AC29">
            <v>341.08052837709999</v>
          </cell>
        </row>
        <row r="30">
          <cell r="B30" t="str">
            <v>A00M406</v>
          </cell>
          <cell r="C30" t="str">
            <v>NOR</v>
          </cell>
          <cell r="D30" t="str">
            <v>OTR</v>
          </cell>
          <cell r="E30" t="str">
            <v>Adquisición Maq. Lainera Molino SAG</v>
          </cell>
          <cell r="F30" t="str">
            <v>Raúl Gómez</v>
          </cell>
          <cell r="G30">
            <v>5032</v>
          </cell>
          <cell r="I30" t="str">
            <v>Christian Castro</v>
          </cell>
          <cell r="J30">
            <v>5137</v>
          </cell>
          <cell r="K30" t="str">
            <v>Claudio Solis</v>
          </cell>
          <cell r="L30">
            <v>5470</v>
          </cell>
          <cell r="M30">
            <v>0.21099999999999999</v>
          </cell>
          <cell r="N30">
            <v>0.78900000000000003</v>
          </cell>
          <cell r="P30">
            <v>36617</v>
          </cell>
          <cell r="Q30">
            <v>36923</v>
          </cell>
          <cell r="R30">
            <v>37043</v>
          </cell>
          <cell r="S30">
            <v>573.70000000000005</v>
          </cell>
          <cell r="T30">
            <v>531.5</v>
          </cell>
          <cell r="U30">
            <v>531.5</v>
          </cell>
          <cell r="V30">
            <v>527.79999999999995</v>
          </cell>
          <cell r="W30">
            <v>486.5</v>
          </cell>
          <cell r="X30">
            <v>517.57000000000005</v>
          </cell>
          <cell r="Y30">
            <v>531.38693950369998</v>
          </cell>
          <cell r="Z30">
            <v>50.681523633499999</v>
          </cell>
          <cell r="AA30">
            <v>517.57000000000005</v>
          </cell>
          <cell r="AB30">
            <v>531.38693950369998</v>
          </cell>
          <cell r="AC30">
            <v>50.681523633499999</v>
          </cell>
        </row>
        <row r="31">
          <cell r="B31" t="str">
            <v>A00M101</v>
          </cell>
          <cell r="C31" t="str">
            <v>DIV</v>
          </cell>
          <cell r="D31" t="str">
            <v>DIV</v>
          </cell>
          <cell r="E31" t="str">
            <v>Ing. Básica Recuperación Tolvas de Fino A y B Concentrador</v>
          </cell>
          <cell r="F31" t="str">
            <v>Carlos Salaüe</v>
          </cell>
          <cell r="I31" t="str">
            <v>Hernan Bugueño</v>
          </cell>
          <cell r="J31">
            <v>5470</v>
          </cell>
          <cell r="M31">
            <v>1</v>
          </cell>
          <cell r="P31">
            <v>36647</v>
          </cell>
          <cell r="Q31">
            <v>36770</v>
          </cell>
          <cell r="R31">
            <v>36770</v>
          </cell>
          <cell r="S31">
            <v>66</v>
          </cell>
          <cell r="T31">
            <v>68.3</v>
          </cell>
          <cell r="U31">
            <v>68.3</v>
          </cell>
          <cell r="V31">
            <v>68.3</v>
          </cell>
          <cell r="W31">
            <v>0</v>
          </cell>
          <cell r="X31">
            <v>0</v>
          </cell>
          <cell r="Y31">
            <v>0</v>
          </cell>
          <cell r="Z31">
            <v>0</v>
          </cell>
          <cell r="AA31">
            <v>0</v>
          </cell>
          <cell r="AB31">
            <v>0</v>
          </cell>
          <cell r="AC31">
            <v>0</v>
          </cell>
        </row>
        <row r="32">
          <cell r="B32" t="str">
            <v>A00M102</v>
          </cell>
          <cell r="C32" t="str">
            <v>DIV</v>
          </cell>
          <cell r="D32" t="str">
            <v>DIV</v>
          </cell>
          <cell r="E32" t="str">
            <v>Ing. Básica Reparación Tolva Chancado Primario Sur</v>
          </cell>
          <cell r="F32" t="str">
            <v>Gonzalo Gajardo</v>
          </cell>
          <cell r="I32" t="str">
            <v>Fernando Arancibia</v>
          </cell>
          <cell r="J32">
            <v>5018</v>
          </cell>
          <cell r="M32">
            <v>1</v>
          </cell>
          <cell r="P32">
            <v>36770</v>
          </cell>
          <cell r="Q32">
            <v>36923</v>
          </cell>
          <cell r="R32">
            <v>36951</v>
          </cell>
          <cell r="S32">
            <v>78</v>
          </cell>
          <cell r="T32">
            <v>70</v>
          </cell>
          <cell r="U32">
            <v>70</v>
          </cell>
          <cell r="V32">
            <v>70</v>
          </cell>
          <cell r="W32">
            <v>44</v>
          </cell>
          <cell r="X32">
            <v>70.400000000000006</v>
          </cell>
          <cell r="Y32">
            <v>70.299714719600004</v>
          </cell>
          <cell r="Z32">
            <v>76.430517679000005</v>
          </cell>
          <cell r="AA32">
            <v>70.400000000000006</v>
          </cell>
          <cell r="AB32">
            <v>70.299714719600004</v>
          </cell>
          <cell r="AC32">
            <v>76.430517679000005</v>
          </cell>
        </row>
        <row r="33">
          <cell r="B33" t="str">
            <v>A00M103</v>
          </cell>
          <cell r="C33" t="str">
            <v>DIV</v>
          </cell>
          <cell r="D33" t="str">
            <v>DIV</v>
          </cell>
          <cell r="E33" t="str">
            <v>Ing. Básica Reparación Tolva Chancado Norte</v>
          </cell>
          <cell r="F33" t="str">
            <v>Gonzalo Gajardo</v>
          </cell>
          <cell r="I33" t="str">
            <v>Fernando Arancibia</v>
          </cell>
          <cell r="J33">
            <v>5018</v>
          </cell>
          <cell r="M33">
            <v>1</v>
          </cell>
          <cell r="P33">
            <v>36861</v>
          </cell>
          <cell r="Q33">
            <v>37012</v>
          </cell>
          <cell r="R33">
            <v>37012</v>
          </cell>
          <cell r="S33">
            <v>136.4</v>
          </cell>
          <cell r="T33">
            <v>34</v>
          </cell>
          <cell r="U33">
            <v>34</v>
          </cell>
          <cell r="V33">
            <v>34</v>
          </cell>
          <cell r="W33">
            <v>59</v>
          </cell>
          <cell r="X33">
            <v>59</v>
          </cell>
          <cell r="Y33">
            <v>36.776052569320001</v>
          </cell>
          <cell r="Z33">
            <v>6.3695903200000004</v>
          </cell>
          <cell r="AA33">
            <v>59</v>
          </cell>
          <cell r="AB33">
            <v>36.776052569320001</v>
          </cell>
          <cell r="AC33">
            <v>6.3695903200000004</v>
          </cell>
        </row>
        <row r="34">
          <cell r="B34" t="str">
            <v>A00M301</v>
          </cell>
          <cell r="C34" t="str">
            <v>DIV</v>
          </cell>
          <cell r="D34" t="str">
            <v>DIV</v>
          </cell>
          <cell r="E34" t="str">
            <v>Modificación Sistema de Descarga Espesadores de Relaves</v>
          </cell>
          <cell r="F34" t="str">
            <v>Carlos Salaüe</v>
          </cell>
          <cell r="I34" t="str">
            <v>Hernan Bugueño</v>
          </cell>
          <cell r="J34">
            <v>5470</v>
          </cell>
          <cell r="N34">
            <v>0.8</v>
          </cell>
          <cell r="O34">
            <v>0.2</v>
          </cell>
          <cell r="P34">
            <v>36617</v>
          </cell>
          <cell r="Q34">
            <v>36770</v>
          </cell>
          <cell r="R34">
            <v>36951</v>
          </cell>
          <cell r="S34">
            <v>193.6</v>
          </cell>
          <cell r="T34">
            <v>204</v>
          </cell>
          <cell r="U34">
            <v>204</v>
          </cell>
          <cell r="V34">
            <v>204</v>
          </cell>
          <cell r="W34">
            <v>14.8</v>
          </cell>
          <cell r="X34">
            <v>204.48999999999998</v>
          </cell>
          <cell r="Y34">
            <v>204.32039130121996</v>
          </cell>
          <cell r="Z34">
            <v>205.39501860881995</v>
          </cell>
          <cell r="AA34">
            <v>204.48999999999998</v>
          </cell>
          <cell r="AB34">
            <v>204.32039130121996</v>
          </cell>
          <cell r="AC34">
            <v>205.39501860881995</v>
          </cell>
        </row>
        <row r="35">
          <cell r="B35" t="str">
            <v>A00M302</v>
          </cell>
          <cell r="C35" t="str">
            <v>DIV</v>
          </cell>
          <cell r="D35" t="str">
            <v>DIV</v>
          </cell>
          <cell r="E35" t="str">
            <v>Mejoramiento Proceso Cementación Planta LR</v>
          </cell>
          <cell r="F35" t="str">
            <v>Pablo Fernandez</v>
          </cell>
          <cell r="I35" t="str">
            <v>Rodrigo Yañez</v>
          </cell>
          <cell r="J35">
            <v>5470</v>
          </cell>
          <cell r="M35">
            <v>0.08</v>
          </cell>
          <cell r="N35">
            <v>0.3</v>
          </cell>
          <cell r="O35">
            <v>0.62</v>
          </cell>
          <cell r="P35">
            <v>36708</v>
          </cell>
          <cell r="Q35">
            <v>36892</v>
          </cell>
          <cell r="R35">
            <v>36982</v>
          </cell>
          <cell r="S35">
            <v>198.2</v>
          </cell>
          <cell r="T35">
            <v>188</v>
          </cell>
          <cell r="U35">
            <v>188</v>
          </cell>
          <cell r="V35">
            <v>188</v>
          </cell>
          <cell r="W35">
            <v>44.099999999999994</v>
          </cell>
          <cell r="X35">
            <v>191.73</v>
          </cell>
          <cell r="Y35">
            <v>186.44623628641</v>
          </cell>
          <cell r="Z35">
            <v>187.58308620355999</v>
          </cell>
          <cell r="AA35">
            <v>191.73</v>
          </cell>
          <cell r="AB35">
            <v>186.44623628641</v>
          </cell>
          <cell r="AC35">
            <v>187.58308620355999</v>
          </cell>
        </row>
        <row r="36">
          <cell r="B36" t="str">
            <v>A00M303</v>
          </cell>
          <cell r="C36" t="str">
            <v>DIV</v>
          </cell>
          <cell r="D36" t="str">
            <v>DIV</v>
          </cell>
          <cell r="E36" t="str">
            <v>Adquisición Corona Molino de Barras Nº3</v>
          </cell>
          <cell r="F36" t="str">
            <v>Carlos Salaue</v>
          </cell>
          <cell r="I36" t="str">
            <v>Hernan Bugueño</v>
          </cell>
          <cell r="J36">
            <v>5470</v>
          </cell>
          <cell r="N36">
            <v>1</v>
          </cell>
          <cell r="P36">
            <v>36739</v>
          </cell>
          <cell r="Q36">
            <v>37135</v>
          </cell>
          <cell r="R36">
            <v>37165</v>
          </cell>
          <cell r="S36">
            <v>264</v>
          </cell>
          <cell r="T36">
            <v>184.2</v>
          </cell>
          <cell r="U36">
            <v>25.7</v>
          </cell>
          <cell r="V36">
            <v>132.69999999999999</v>
          </cell>
          <cell r="W36">
            <v>178.2</v>
          </cell>
          <cell r="X36">
            <v>186.32</v>
          </cell>
          <cell r="Y36">
            <v>185.89229148059999</v>
          </cell>
          <cell r="Z36">
            <v>19.738466540730002</v>
          </cell>
          <cell r="AA36">
            <v>27.82</v>
          </cell>
          <cell r="AB36">
            <v>27.392291480600004</v>
          </cell>
          <cell r="AC36">
            <v>19.738466540730002</v>
          </cell>
        </row>
        <row r="37">
          <cell r="B37" t="str">
            <v>A00M304</v>
          </cell>
          <cell r="C37" t="str">
            <v>DIV</v>
          </cell>
          <cell r="D37" t="str">
            <v>DIV</v>
          </cell>
          <cell r="E37" t="str">
            <v>Reemplazo Reactor Lixiviación PAS</v>
          </cell>
          <cell r="F37" t="str">
            <v>Eduardo Marcos</v>
          </cell>
          <cell r="I37" t="str">
            <v>Rodrigo Yañez</v>
          </cell>
          <cell r="J37">
            <v>5470</v>
          </cell>
          <cell r="M37">
            <v>0.1</v>
          </cell>
          <cell r="N37">
            <v>0.6</v>
          </cell>
          <cell r="O37">
            <v>0.3</v>
          </cell>
          <cell r="P37">
            <v>36647</v>
          </cell>
          <cell r="Q37">
            <v>36861</v>
          </cell>
          <cell r="R37">
            <v>36861</v>
          </cell>
          <cell r="S37">
            <v>123</v>
          </cell>
          <cell r="T37">
            <v>104.1</v>
          </cell>
          <cell r="U37">
            <v>104.1</v>
          </cell>
          <cell r="V37">
            <v>104.1</v>
          </cell>
          <cell r="W37">
            <v>0</v>
          </cell>
          <cell r="X37">
            <v>0</v>
          </cell>
          <cell r="Y37">
            <v>0</v>
          </cell>
          <cell r="Z37">
            <v>0</v>
          </cell>
          <cell r="AA37">
            <v>0</v>
          </cell>
          <cell r="AB37">
            <v>0</v>
          </cell>
          <cell r="AC37">
            <v>0</v>
          </cell>
        </row>
        <row r="38">
          <cell r="B38" t="str">
            <v>A00M305</v>
          </cell>
          <cell r="C38" t="str">
            <v>DIV</v>
          </cell>
          <cell r="D38" t="str">
            <v>DIV</v>
          </cell>
          <cell r="E38" t="str">
            <v>Reparación Externa Tolva Grueso Nº2</v>
          </cell>
          <cell r="F38" t="str">
            <v>Carlos Salaue</v>
          </cell>
          <cell r="I38" t="str">
            <v>Hernan Bugueño</v>
          </cell>
          <cell r="J38">
            <v>5470</v>
          </cell>
          <cell r="N38">
            <v>0.2</v>
          </cell>
          <cell r="O38">
            <v>0.8</v>
          </cell>
          <cell r="P38">
            <v>36739</v>
          </cell>
          <cell r="Q38">
            <v>36982</v>
          </cell>
          <cell r="R38">
            <v>36951</v>
          </cell>
          <cell r="S38">
            <v>176.9</v>
          </cell>
          <cell r="T38">
            <v>130.30000000000001</v>
          </cell>
          <cell r="U38">
            <v>130.30000000000001</v>
          </cell>
          <cell r="V38">
            <v>130.30000000000001</v>
          </cell>
          <cell r="W38">
            <v>57.500000000000007</v>
          </cell>
          <cell r="X38">
            <v>140.43</v>
          </cell>
          <cell r="Y38">
            <v>140.05525223651</v>
          </cell>
          <cell r="Z38">
            <v>141.09021061888998</v>
          </cell>
          <cell r="AA38">
            <v>140.43</v>
          </cell>
          <cell r="AB38">
            <v>140.05525223651</v>
          </cell>
          <cell r="AC38">
            <v>141.09021061888998</v>
          </cell>
        </row>
        <row r="39">
          <cell r="B39" t="str">
            <v>A00M306</v>
          </cell>
          <cell r="C39" t="str">
            <v>DIV</v>
          </cell>
          <cell r="D39" t="str">
            <v>DIV</v>
          </cell>
          <cell r="E39" t="str">
            <v>Instalación Sistema Medición en Línea Granulometría Alim. SAG</v>
          </cell>
          <cell r="F39" t="str">
            <v>Carlos Salaue</v>
          </cell>
          <cell r="I39" t="str">
            <v>Hernan Bugueño</v>
          </cell>
          <cell r="J39">
            <v>5470</v>
          </cell>
          <cell r="N39">
            <v>0.7</v>
          </cell>
          <cell r="O39">
            <v>0.3</v>
          </cell>
          <cell r="P39">
            <v>36647</v>
          </cell>
          <cell r="Q39">
            <v>36861</v>
          </cell>
          <cell r="R39">
            <v>36861</v>
          </cell>
          <cell r="S39">
            <v>105.7</v>
          </cell>
          <cell r="T39">
            <v>83.3</v>
          </cell>
          <cell r="U39">
            <v>83.3</v>
          </cell>
          <cell r="V39">
            <v>83.3</v>
          </cell>
          <cell r="W39">
            <v>0</v>
          </cell>
          <cell r="X39">
            <v>0</v>
          </cell>
          <cell r="Y39">
            <v>0</v>
          </cell>
          <cell r="Z39">
            <v>0.62877589536000011</v>
          </cell>
          <cell r="AA39">
            <v>0</v>
          </cell>
          <cell r="AB39">
            <v>0</v>
          </cell>
          <cell r="AC39">
            <v>0.62877589536000011</v>
          </cell>
        </row>
        <row r="40">
          <cell r="B40" t="str">
            <v>A00M310</v>
          </cell>
          <cell r="C40" t="str">
            <v>DIV</v>
          </cell>
          <cell r="D40" t="str">
            <v>DIV</v>
          </cell>
          <cell r="E40" t="str">
            <v>Reposición Capacidad Sistema Generación Emerg. PAS</v>
          </cell>
          <cell r="F40" t="str">
            <v>Pablo Fernandez</v>
          </cell>
          <cell r="I40" t="str">
            <v>Rodrigo Yañez</v>
          </cell>
          <cell r="J40">
            <v>5470</v>
          </cell>
          <cell r="M40">
            <v>0.05</v>
          </cell>
          <cell r="N40">
            <v>0.2</v>
          </cell>
          <cell r="O40">
            <v>0.75</v>
          </cell>
          <cell r="P40">
            <v>36678</v>
          </cell>
          <cell r="Q40">
            <v>36861</v>
          </cell>
          <cell r="R40">
            <v>36951</v>
          </cell>
          <cell r="S40">
            <v>141.19999999999999</v>
          </cell>
          <cell r="T40">
            <v>121.3</v>
          </cell>
          <cell r="U40">
            <v>121.3</v>
          </cell>
          <cell r="V40">
            <v>121.3</v>
          </cell>
          <cell r="W40">
            <v>51.4</v>
          </cell>
          <cell r="X40">
            <v>129.99</v>
          </cell>
          <cell r="Y40">
            <v>122.06194442824001</v>
          </cell>
          <cell r="Z40">
            <v>132.12579406235</v>
          </cell>
          <cell r="AA40">
            <v>129.99</v>
          </cell>
          <cell r="AB40">
            <v>122.06194442824001</v>
          </cell>
          <cell r="AC40">
            <v>132.12579406235</v>
          </cell>
        </row>
        <row r="41">
          <cell r="B41" t="str">
            <v>A00M312</v>
          </cell>
          <cell r="C41" t="str">
            <v>DIV</v>
          </cell>
          <cell r="D41" t="str">
            <v>DIV</v>
          </cell>
          <cell r="E41" t="str">
            <v>Overhaul Puentes Grua Chancador Primario Norte y Sur</v>
          </cell>
          <cell r="F41" t="str">
            <v>Carlos Salaue</v>
          </cell>
          <cell r="I41" t="str">
            <v>Hernan Bugueño</v>
          </cell>
          <cell r="J41">
            <v>5470</v>
          </cell>
          <cell r="N41">
            <v>0.6</v>
          </cell>
          <cell r="O41">
            <v>0.4</v>
          </cell>
          <cell r="P41">
            <v>36831</v>
          </cell>
          <cell r="Q41">
            <v>37043</v>
          </cell>
          <cell r="R41">
            <v>37165</v>
          </cell>
          <cell r="S41">
            <v>216</v>
          </cell>
          <cell r="T41">
            <v>222.6</v>
          </cell>
          <cell r="U41">
            <v>20</v>
          </cell>
          <cell r="V41">
            <v>150.1</v>
          </cell>
          <cell r="W41">
            <v>213.9</v>
          </cell>
          <cell r="X41">
            <v>215.59</v>
          </cell>
          <cell r="Y41">
            <v>222.478453741978</v>
          </cell>
          <cell r="Z41">
            <v>68.720418561109994</v>
          </cell>
          <cell r="AA41">
            <v>51.089999999999996</v>
          </cell>
          <cell r="AB41">
            <v>19.878453741977996</v>
          </cell>
          <cell r="AC41">
            <v>68.720418561109994</v>
          </cell>
        </row>
        <row r="42">
          <cell r="B42" t="str">
            <v>A00M313</v>
          </cell>
          <cell r="C42" t="str">
            <v>DIV</v>
          </cell>
          <cell r="D42" t="str">
            <v>DIV</v>
          </cell>
          <cell r="E42" t="str">
            <v>Mejoramiento Condiciones de Operación Pte. Grua Nave Lixiviación.</v>
          </cell>
          <cell r="F42" t="str">
            <v>Pablo Fernandez</v>
          </cell>
          <cell r="I42" t="str">
            <v>Rodrigo Yañez</v>
          </cell>
          <cell r="J42">
            <v>5470</v>
          </cell>
          <cell r="M42">
            <v>0.05</v>
          </cell>
          <cell r="N42">
            <v>0.9</v>
          </cell>
          <cell r="O42">
            <v>0.05</v>
          </cell>
          <cell r="P42">
            <v>36678</v>
          </cell>
          <cell r="Q42">
            <v>36861</v>
          </cell>
          <cell r="R42">
            <v>36951</v>
          </cell>
          <cell r="S42">
            <v>101.6</v>
          </cell>
          <cell r="T42">
            <v>93.1</v>
          </cell>
          <cell r="U42">
            <v>93.1</v>
          </cell>
          <cell r="V42">
            <v>93.1</v>
          </cell>
          <cell r="W42">
            <v>16.2</v>
          </cell>
          <cell r="X42">
            <v>86.09</v>
          </cell>
          <cell r="Y42">
            <v>92.942068636499997</v>
          </cell>
          <cell r="Z42">
            <v>98.489038070130007</v>
          </cell>
          <cell r="AA42">
            <v>86.09</v>
          </cell>
          <cell r="AB42">
            <v>92.942068636499997</v>
          </cell>
          <cell r="AC42">
            <v>98.489038070130007</v>
          </cell>
        </row>
        <row r="43">
          <cell r="B43" t="str">
            <v>A00M315</v>
          </cell>
          <cell r="C43" t="str">
            <v>DIV</v>
          </cell>
          <cell r="D43" t="str">
            <v>DIV</v>
          </cell>
          <cell r="E43" t="str">
            <v>Mejoramiento Lubricanteras Planta Chancado Primario</v>
          </cell>
          <cell r="F43" t="str">
            <v>Pablo Fernandez</v>
          </cell>
          <cell r="I43" t="str">
            <v>Johan Rios</v>
          </cell>
          <cell r="J43">
            <v>5470</v>
          </cell>
          <cell r="M43">
            <v>0.15</v>
          </cell>
          <cell r="O43">
            <v>0.85</v>
          </cell>
          <cell r="P43">
            <v>36617</v>
          </cell>
          <cell r="Q43">
            <v>36861</v>
          </cell>
          <cell r="R43">
            <v>36861</v>
          </cell>
          <cell r="S43">
            <v>227</v>
          </cell>
          <cell r="T43">
            <v>156.30000000000001</v>
          </cell>
          <cell r="U43">
            <v>156.30000000000001</v>
          </cell>
          <cell r="V43">
            <v>156.30000000000001</v>
          </cell>
          <cell r="W43">
            <v>0</v>
          </cell>
          <cell r="X43">
            <v>0</v>
          </cell>
          <cell r="Y43">
            <v>0</v>
          </cell>
          <cell r="Z43">
            <v>0</v>
          </cell>
          <cell r="AA43">
            <v>0</v>
          </cell>
          <cell r="AB43">
            <v>0</v>
          </cell>
          <cell r="AC43">
            <v>0</v>
          </cell>
        </row>
        <row r="44">
          <cell r="B44" t="str">
            <v>A00M318</v>
          </cell>
          <cell r="C44" t="str">
            <v>DIV</v>
          </cell>
          <cell r="D44" t="str">
            <v>DIV</v>
          </cell>
          <cell r="E44" t="str">
            <v>Overhaul Sistema de Tratamiento Aguas Servidas MS</v>
          </cell>
          <cell r="F44" t="str">
            <v>Carlos Salaue</v>
          </cell>
          <cell r="I44" t="str">
            <v>Hernan Bugueño</v>
          </cell>
          <cell r="J44">
            <v>5470</v>
          </cell>
          <cell r="M44">
            <v>0.2</v>
          </cell>
          <cell r="N44">
            <v>0.2</v>
          </cell>
          <cell r="O44">
            <v>0.6</v>
          </cell>
          <cell r="P44">
            <v>36770</v>
          </cell>
          <cell r="Q44">
            <v>36951</v>
          </cell>
          <cell r="R44">
            <v>37012</v>
          </cell>
          <cell r="S44">
            <v>224.9</v>
          </cell>
          <cell r="T44">
            <v>244.3</v>
          </cell>
          <cell r="U44">
            <v>244</v>
          </cell>
          <cell r="V44">
            <v>244.3</v>
          </cell>
          <cell r="W44">
            <v>87.4</v>
          </cell>
          <cell r="X44">
            <v>224.17000000000002</v>
          </cell>
          <cell r="Y44">
            <v>244.35973092379999</v>
          </cell>
          <cell r="Z44">
            <v>248.86314354788001</v>
          </cell>
          <cell r="AA44">
            <v>224.17000000000002</v>
          </cell>
          <cell r="AB44">
            <v>244.35973092379999</v>
          </cell>
          <cell r="AC44">
            <v>248.86314354788001</v>
          </cell>
        </row>
        <row r="45">
          <cell r="B45" t="str">
            <v>A00M319</v>
          </cell>
          <cell r="C45" t="str">
            <v>DIV</v>
          </cell>
          <cell r="D45" t="str">
            <v>DIV</v>
          </cell>
          <cell r="E45" t="str">
            <v>Cambio Compreso Filtro Larox PAS</v>
          </cell>
          <cell r="F45" t="str">
            <v>Pablo Fernandez</v>
          </cell>
          <cell r="I45" t="str">
            <v>Rodrigo Yañez</v>
          </cell>
          <cell r="J45">
            <v>5470</v>
          </cell>
          <cell r="N45">
            <v>0.9</v>
          </cell>
          <cell r="O45">
            <v>0.1</v>
          </cell>
          <cell r="P45">
            <v>36739</v>
          </cell>
          <cell r="Q45">
            <v>36892</v>
          </cell>
          <cell r="R45">
            <v>36951</v>
          </cell>
          <cell r="S45">
            <v>42.3</v>
          </cell>
          <cell r="T45">
            <v>39</v>
          </cell>
          <cell r="U45">
            <v>39</v>
          </cell>
          <cell r="V45">
            <v>39</v>
          </cell>
          <cell r="W45">
            <v>7.7</v>
          </cell>
          <cell r="X45">
            <v>39.47</v>
          </cell>
          <cell r="Y45">
            <v>39.443895622900001</v>
          </cell>
          <cell r="Z45">
            <v>35.145386392500001</v>
          </cell>
          <cell r="AA45">
            <v>39.47</v>
          </cell>
          <cell r="AB45">
            <v>39.443895622900001</v>
          </cell>
          <cell r="AC45">
            <v>35.145386392500001</v>
          </cell>
        </row>
        <row r="46">
          <cell r="B46" t="str">
            <v>A00M321</v>
          </cell>
          <cell r="C46" t="str">
            <v>DIV</v>
          </cell>
          <cell r="D46" t="str">
            <v>DIV</v>
          </cell>
          <cell r="E46" t="str">
            <v>Reparación de Emergencia Alimentación Tolva Norte Ch. Primario.</v>
          </cell>
          <cell r="F46" t="str">
            <v>Carlos Salue</v>
          </cell>
          <cell r="I46" t="str">
            <v>Hernan Bugueño</v>
          </cell>
          <cell r="J46">
            <v>5470</v>
          </cell>
          <cell r="M46">
            <v>0.04</v>
          </cell>
          <cell r="N46">
            <v>0.25</v>
          </cell>
          <cell r="O46">
            <v>0.71</v>
          </cell>
          <cell r="P46">
            <v>36708</v>
          </cell>
          <cell r="Q46">
            <v>36831</v>
          </cell>
          <cell r="R46">
            <v>36831</v>
          </cell>
          <cell r="S46">
            <v>230</v>
          </cell>
          <cell r="T46">
            <v>173.4</v>
          </cell>
          <cell r="U46">
            <v>173.4</v>
          </cell>
          <cell r="V46">
            <v>173.4</v>
          </cell>
          <cell r="W46">
            <v>0</v>
          </cell>
          <cell r="X46">
            <v>0</v>
          </cell>
          <cell r="Y46">
            <v>0</v>
          </cell>
          <cell r="Z46">
            <v>0</v>
          </cell>
          <cell r="AA46">
            <v>0</v>
          </cell>
          <cell r="AB46">
            <v>0</v>
          </cell>
          <cell r="AC46">
            <v>0</v>
          </cell>
        </row>
        <row r="47">
          <cell r="B47" t="str">
            <v>A00M322</v>
          </cell>
          <cell r="C47" t="str">
            <v>DIV</v>
          </cell>
          <cell r="D47" t="str">
            <v>DIV</v>
          </cell>
          <cell r="E47" t="str">
            <v>Mejoramiento Sistema de Lubricación Molino SAG</v>
          </cell>
          <cell r="F47" t="str">
            <v>Carlos Salue</v>
          </cell>
          <cell r="I47" t="str">
            <v>Hernan Bugueño</v>
          </cell>
          <cell r="J47">
            <v>5470</v>
          </cell>
          <cell r="N47">
            <v>0.85</v>
          </cell>
          <cell r="O47">
            <v>0.15</v>
          </cell>
          <cell r="P47">
            <v>36831</v>
          </cell>
          <cell r="Q47">
            <v>37043</v>
          </cell>
          <cell r="R47">
            <v>37043</v>
          </cell>
          <cell r="S47">
            <v>193</v>
          </cell>
          <cell r="T47">
            <v>178</v>
          </cell>
          <cell r="U47">
            <v>167.7</v>
          </cell>
          <cell r="V47">
            <v>167.7</v>
          </cell>
          <cell r="W47">
            <v>182.6</v>
          </cell>
          <cell r="X47">
            <v>184.71</v>
          </cell>
          <cell r="Y47">
            <v>161.45895716154001</v>
          </cell>
          <cell r="Z47">
            <v>150.48689575809004</v>
          </cell>
          <cell r="AA47">
            <v>184.71</v>
          </cell>
          <cell r="AB47">
            <v>161.45895716154001</v>
          </cell>
          <cell r="AC47">
            <v>150.48689575809004</v>
          </cell>
        </row>
        <row r="48">
          <cell r="B48" t="str">
            <v>A01M101</v>
          </cell>
          <cell r="C48" t="str">
            <v>DIV</v>
          </cell>
          <cell r="D48" t="str">
            <v>DIV</v>
          </cell>
          <cell r="E48" t="str">
            <v>Ing. Básica Ampliación del Sistema de Drenaje Muro Emb.Ovejería</v>
          </cell>
          <cell r="F48" t="str">
            <v>Marcel Didier</v>
          </cell>
          <cell r="I48" t="str">
            <v xml:space="preserve"> </v>
          </cell>
          <cell r="M48">
            <v>1</v>
          </cell>
          <cell r="P48">
            <v>36892</v>
          </cell>
          <cell r="Q48">
            <v>37012</v>
          </cell>
          <cell r="R48">
            <v>37104</v>
          </cell>
          <cell r="S48">
            <v>92.9</v>
          </cell>
          <cell r="T48">
            <v>87.4</v>
          </cell>
          <cell r="U48">
            <v>78.099999999999994</v>
          </cell>
          <cell r="V48">
            <v>75.7</v>
          </cell>
          <cell r="W48">
            <v>93</v>
          </cell>
          <cell r="X48">
            <v>93</v>
          </cell>
          <cell r="Y48">
            <v>86.916679364819998</v>
          </cell>
          <cell r="Z48">
            <v>2.95796442411</v>
          </cell>
          <cell r="AA48">
            <v>73.400000000000006</v>
          </cell>
          <cell r="AB48">
            <v>77.616679364820001</v>
          </cell>
          <cell r="AC48">
            <v>2.95796442411</v>
          </cell>
        </row>
        <row r="49">
          <cell r="B49" t="str">
            <v>A01M103</v>
          </cell>
          <cell r="C49" t="str">
            <v>DIV</v>
          </cell>
          <cell r="D49" t="str">
            <v>DIV</v>
          </cell>
          <cell r="E49" t="str">
            <v>Prueba Semi Industrial Tratamiento Efluentes PAS</v>
          </cell>
          <cell r="F49" t="str">
            <v>Pablo Fernandez</v>
          </cell>
          <cell r="G49">
            <v>5807</v>
          </cell>
          <cell r="I49" t="str">
            <v>Christian Castro</v>
          </cell>
          <cell r="J49">
            <v>5251</v>
          </cell>
          <cell r="M49">
            <v>1</v>
          </cell>
          <cell r="P49">
            <v>37062</v>
          </cell>
          <cell r="Q49">
            <v>37104</v>
          </cell>
          <cell r="R49">
            <v>37135</v>
          </cell>
          <cell r="S49">
            <v>149</v>
          </cell>
          <cell r="T49">
            <v>155.9</v>
          </cell>
          <cell r="U49">
            <v>117.1</v>
          </cell>
          <cell r="V49">
            <v>132</v>
          </cell>
          <cell r="W49">
            <v>149</v>
          </cell>
          <cell r="X49">
            <v>149</v>
          </cell>
          <cell r="Y49">
            <v>155.96884392856001</v>
          </cell>
          <cell r="Z49">
            <v>0</v>
          </cell>
          <cell r="AA49">
            <v>121.8</v>
          </cell>
          <cell r="AB49">
            <v>117.16884392855999</v>
          </cell>
          <cell r="AC49">
            <v>0</v>
          </cell>
        </row>
        <row r="50">
          <cell r="B50" t="str">
            <v>A01M104</v>
          </cell>
          <cell r="C50" t="str">
            <v>DIV</v>
          </cell>
          <cell r="D50" t="str">
            <v>DIV</v>
          </cell>
          <cell r="E50" t="str">
            <v>Ingeniería Básica Segunda Torre de Captación Aguas Claras Ovejería</v>
          </cell>
          <cell r="F50" t="str">
            <v>Marcel Didier</v>
          </cell>
          <cell r="I50" t="str">
            <v>Marko Ayala</v>
          </cell>
          <cell r="J50">
            <v>5424</v>
          </cell>
          <cell r="M50">
            <v>1</v>
          </cell>
          <cell r="P50">
            <v>36982</v>
          </cell>
          <cell r="Q50">
            <v>37104</v>
          </cell>
          <cell r="R50">
            <v>37104</v>
          </cell>
          <cell r="S50">
            <v>68</v>
          </cell>
          <cell r="T50">
            <v>65.099999999999994</v>
          </cell>
          <cell r="U50">
            <v>59.1</v>
          </cell>
          <cell r="V50">
            <v>62.7</v>
          </cell>
          <cell r="W50">
            <v>68</v>
          </cell>
          <cell r="X50">
            <v>68</v>
          </cell>
          <cell r="Y50">
            <v>65.086658572200008</v>
          </cell>
          <cell r="Z50">
            <v>2.62930171032</v>
          </cell>
          <cell r="AA50">
            <v>60.199999999999996</v>
          </cell>
          <cell r="AB50">
            <v>59.086658572200001</v>
          </cell>
          <cell r="AC50">
            <v>2.62930171032</v>
          </cell>
        </row>
        <row r="51">
          <cell r="B51" t="str">
            <v>A01M201</v>
          </cell>
          <cell r="C51" t="str">
            <v>DIV</v>
          </cell>
          <cell r="D51" t="str">
            <v>EXT</v>
          </cell>
          <cell r="E51" t="str">
            <v>Ingeniería Básica Proyecto Limpieza Aguas Mina, Planta SX-EW</v>
          </cell>
          <cell r="F51" t="str">
            <v>Patricio Fernández C.</v>
          </cell>
          <cell r="I51" t="str">
            <v>Fernando Arancibia</v>
          </cell>
          <cell r="J51">
            <v>5018</v>
          </cell>
          <cell r="M51">
            <v>1</v>
          </cell>
          <cell r="P51">
            <v>37104</v>
          </cell>
          <cell r="Q51">
            <v>37288</v>
          </cell>
          <cell r="R51">
            <v>37288</v>
          </cell>
          <cell r="S51">
            <v>1558</v>
          </cell>
          <cell r="T51">
            <v>1558</v>
          </cell>
          <cell r="U51">
            <v>0</v>
          </cell>
          <cell r="V51">
            <v>0</v>
          </cell>
          <cell r="W51">
            <v>1237.8</v>
          </cell>
          <cell r="X51">
            <v>1557.8</v>
          </cell>
          <cell r="Y51">
            <v>1237.8</v>
          </cell>
          <cell r="Z51">
            <v>0</v>
          </cell>
          <cell r="AA51">
            <v>0</v>
          </cell>
          <cell r="AB51">
            <v>0</v>
          </cell>
          <cell r="AC51">
            <v>0</v>
          </cell>
        </row>
        <row r="52">
          <cell r="B52" t="str">
            <v>A01M301</v>
          </cell>
          <cell r="C52" t="str">
            <v>DIV</v>
          </cell>
          <cell r="D52" t="str">
            <v>DIV</v>
          </cell>
          <cell r="E52" t="str">
            <v>Reposición Sistema Almacenamiento y Suministro Combustible Refugio Sur Sur</v>
          </cell>
          <cell r="F52" t="str">
            <v>Carlos Salue</v>
          </cell>
          <cell r="M52">
            <v>0.2</v>
          </cell>
          <cell r="O52">
            <v>0.8</v>
          </cell>
          <cell r="P52">
            <v>36951</v>
          </cell>
          <cell r="Q52">
            <v>37226</v>
          </cell>
          <cell r="R52">
            <v>37226</v>
          </cell>
          <cell r="S52">
            <v>109.9</v>
          </cell>
          <cell r="T52">
            <v>112.4</v>
          </cell>
          <cell r="U52">
            <v>18.600000000000001</v>
          </cell>
          <cell r="V52">
            <v>13.1</v>
          </cell>
          <cell r="W52">
            <v>110</v>
          </cell>
          <cell r="X52">
            <v>110</v>
          </cell>
          <cell r="Y52">
            <v>112.35988091385501</v>
          </cell>
          <cell r="Z52">
            <v>2.62930171032</v>
          </cell>
          <cell r="AA52">
            <v>16.2</v>
          </cell>
          <cell r="AB52">
            <v>18.559880913855</v>
          </cell>
          <cell r="AC52">
            <v>2.62930171032</v>
          </cell>
        </row>
        <row r="53">
          <cell r="B53" t="str">
            <v>A01M303</v>
          </cell>
          <cell r="C53" t="str">
            <v>DIV</v>
          </cell>
          <cell r="D53" t="str">
            <v>DIV</v>
          </cell>
          <cell r="E53" t="str">
            <v>Reemplazo Equipo Cargador de Anfo Mina Subterránea</v>
          </cell>
          <cell r="F53" t="str">
            <v>Juan Caceres A.</v>
          </cell>
          <cell r="G53">
            <v>5035</v>
          </cell>
          <cell r="I53" t="str">
            <v>Jaime Alamos P.</v>
          </cell>
          <cell r="J53">
            <v>5780</v>
          </cell>
          <cell r="N53">
            <v>1</v>
          </cell>
          <cell r="P53">
            <v>37104</v>
          </cell>
          <cell r="Q53">
            <v>37316</v>
          </cell>
          <cell r="R53">
            <v>37316</v>
          </cell>
          <cell r="S53">
            <v>258</v>
          </cell>
          <cell r="T53">
            <v>258</v>
          </cell>
          <cell r="V53">
            <v>4</v>
          </cell>
          <cell r="W53">
            <v>4</v>
          </cell>
          <cell r="X53">
            <v>4</v>
          </cell>
          <cell r="Y53">
            <v>4</v>
          </cell>
          <cell r="Z53">
            <v>0</v>
          </cell>
          <cell r="AA53">
            <v>0</v>
          </cell>
          <cell r="AB53">
            <v>0</v>
          </cell>
          <cell r="AC53">
            <v>0</v>
          </cell>
        </row>
        <row r="54">
          <cell r="B54" t="str">
            <v>A01M304</v>
          </cell>
          <cell r="C54" t="str">
            <v>DIV</v>
          </cell>
          <cell r="D54" t="str">
            <v>DIV</v>
          </cell>
          <cell r="E54" t="str">
            <v>Reparación Tolva 150 Ton Planta Chancado Grueso</v>
          </cell>
          <cell r="F54" t="str">
            <v>Carlos Salaue</v>
          </cell>
          <cell r="G54">
            <v>5561</v>
          </cell>
          <cell r="I54" t="str">
            <v>Christian Castro</v>
          </cell>
          <cell r="J54">
            <v>5251</v>
          </cell>
          <cell r="N54">
            <v>0.34</v>
          </cell>
          <cell r="O54">
            <v>0.66</v>
          </cell>
          <cell r="P54">
            <v>37104</v>
          </cell>
          <cell r="Q54">
            <v>37226</v>
          </cell>
          <cell r="R54">
            <v>37226</v>
          </cell>
          <cell r="S54">
            <v>71</v>
          </cell>
          <cell r="W54">
            <v>70.900000000000006</v>
          </cell>
          <cell r="X54">
            <v>70.900000000000006</v>
          </cell>
          <cell r="Y54">
            <v>70.900000000000006</v>
          </cell>
          <cell r="Z54">
            <v>0</v>
          </cell>
          <cell r="AA54">
            <v>0</v>
          </cell>
          <cell r="AB54">
            <v>0</v>
          </cell>
          <cell r="AC54">
            <v>0</v>
          </cell>
        </row>
        <row r="55">
          <cell r="B55" t="str">
            <v>A01M305</v>
          </cell>
          <cell r="C55" t="str">
            <v>DIV</v>
          </cell>
          <cell r="D55" t="str">
            <v>DIV</v>
          </cell>
          <cell r="E55" t="str">
            <v>Reparación Tolva 2b Planta Chancado Grueso</v>
          </cell>
          <cell r="F55" t="str">
            <v>Carlos Salaue</v>
          </cell>
          <cell r="G55">
            <v>5561</v>
          </cell>
          <cell r="I55" t="str">
            <v>Christian Castro</v>
          </cell>
          <cell r="J55">
            <v>5251</v>
          </cell>
          <cell r="M55">
            <v>0</v>
          </cell>
          <cell r="N55">
            <v>0.3</v>
          </cell>
          <cell r="O55">
            <v>0.7</v>
          </cell>
          <cell r="P55">
            <v>37104</v>
          </cell>
          <cell r="Q55">
            <v>37226</v>
          </cell>
          <cell r="R55">
            <v>37226</v>
          </cell>
          <cell r="S55">
            <v>140.69999999999999</v>
          </cell>
          <cell r="W55">
            <v>140.69999999999999</v>
          </cell>
          <cell r="X55">
            <v>140.69999999999999</v>
          </cell>
          <cell r="Y55">
            <v>140.69999999999999</v>
          </cell>
          <cell r="Z55">
            <v>0</v>
          </cell>
          <cell r="AA55">
            <v>0</v>
          </cell>
          <cell r="AB55">
            <v>0</v>
          </cell>
          <cell r="AC55">
            <v>0</v>
          </cell>
        </row>
        <row r="56">
          <cell r="B56" t="str">
            <v>A01M307</v>
          </cell>
          <cell r="C56" t="str">
            <v>DIV</v>
          </cell>
          <cell r="D56" t="str">
            <v>DIV</v>
          </cell>
          <cell r="E56" t="str">
            <v>Habilitación Respaldo Eléctrico desde 220 KV a 66 KV</v>
          </cell>
          <cell r="F56" t="str">
            <v>Luis Espinoza Araya</v>
          </cell>
          <cell r="G56">
            <v>5835</v>
          </cell>
          <cell r="I56" t="str">
            <v>Mirta Fuenzalida</v>
          </cell>
          <cell r="J56">
            <v>5251</v>
          </cell>
          <cell r="M56">
            <v>0.19</v>
          </cell>
          <cell r="N56">
            <v>0.55000000000000004</v>
          </cell>
          <cell r="O56">
            <v>0.26</v>
          </cell>
          <cell r="P56">
            <v>37069</v>
          </cell>
          <cell r="Q56">
            <v>37347</v>
          </cell>
          <cell r="R56">
            <v>37347</v>
          </cell>
          <cell r="S56">
            <v>131</v>
          </cell>
          <cell r="T56">
            <v>133.5</v>
          </cell>
          <cell r="U56">
            <v>2.2999999999999998</v>
          </cell>
          <cell r="V56">
            <v>2.2999999999999998</v>
          </cell>
          <cell r="W56">
            <v>92.557000000000016</v>
          </cell>
          <cell r="X56">
            <v>133.102</v>
          </cell>
          <cell r="Y56">
            <v>133.98387005452801</v>
          </cell>
          <cell r="Z56">
            <v>0</v>
          </cell>
          <cell r="AA56">
            <v>1.94</v>
          </cell>
          <cell r="AB56">
            <v>2.7878700545279997</v>
          </cell>
          <cell r="AC56">
            <v>0</v>
          </cell>
        </row>
        <row r="57">
          <cell r="B57" t="str">
            <v>A01M308</v>
          </cell>
          <cell r="C57" t="str">
            <v>DIV</v>
          </cell>
          <cell r="D57" t="str">
            <v>DIV</v>
          </cell>
          <cell r="E57" t="str">
            <v>Reemplazo Reactor Lixiviación Planta Area Superficie</v>
          </cell>
          <cell r="F57" t="str">
            <v>Pablo Fernandez</v>
          </cell>
          <cell r="I57" t="str">
            <v>Rodrigo Yañez</v>
          </cell>
          <cell r="J57">
            <v>5470</v>
          </cell>
          <cell r="M57">
            <v>0.05</v>
          </cell>
          <cell r="N57">
            <v>0.6</v>
          </cell>
          <cell r="O57">
            <v>0.35</v>
          </cell>
          <cell r="P57">
            <v>36951</v>
          </cell>
          <cell r="Q57">
            <v>37104</v>
          </cell>
          <cell r="R57">
            <v>37165</v>
          </cell>
          <cell r="S57">
            <v>108.6</v>
          </cell>
          <cell r="T57">
            <v>108.4</v>
          </cell>
          <cell r="U57">
            <v>8.3000000000000007</v>
          </cell>
          <cell r="V57">
            <v>40.799999999999997</v>
          </cell>
          <cell r="W57">
            <v>108.8</v>
          </cell>
          <cell r="X57">
            <v>108.8</v>
          </cell>
          <cell r="Y57">
            <v>106.25385560277999</v>
          </cell>
          <cell r="Z57">
            <v>0</v>
          </cell>
          <cell r="AA57">
            <v>63.3</v>
          </cell>
          <cell r="AB57">
            <v>8.6538556027800002</v>
          </cell>
          <cell r="AC57">
            <v>0</v>
          </cell>
        </row>
        <row r="58">
          <cell r="B58" t="str">
            <v>A01M310</v>
          </cell>
          <cell r="C58" t="str">
            <v>DIV</v>
          </cell>
          <cell r="D58" t="str">
            <v>DIV</v>
          </cell>
          <cell r="E58" t="str">
            <v>Overhaul Molino de Barras Nº2</v>
          </cell>
          <cell r="F58" t="str">
            <v>Carlos Salaue</v>
          </cell>
          <cell r="I58" t="str">
            <v>Christian Castro</v>
          </cell>
          <cell r="J58">
            <v>5470</v>
          </cell>
          <cell r="O58">
            <v>1</v>
          </cell>
          <cell r="P58">
            <v>36982</v>
          </cell>
          <cell r="Q58">
            <v>37012</v>
          </cell>
          <cell r="R58">
            <v>37043</v>
          </cell>
          <cell r="S58">
            <v>32.6</v>
          </cell>
          <cell r="T58">
            <v>35.4</v>
          </cell>
          <cell r="U58">
            <v>35.4</v>
          </cell>
          <cell r="V58">
            <v>35.4</v>
          </cell>
          <cell r="W58">
            <v>32.67</v>
          </cell>
          <cell r="X58">
            <v>32.67</v>
          </cell>
          <cell r="Y58">
            <v>35.479803379530004</v>
          </cell>
          <cell r="Z58">
            <v>29.360535765240002</v>
          </cell>
          <cell r="AA58">
            <v>32.67</v>
          </cell>
          <cell r="AB58">
            <v>35.479803379530004</v>
          </cell>
          <cell r="AC58">
            <v>29.360535765240002</v>
          </cell>
        </row>
        <row r="59">
          <cell r="B59" t="str">
            <v>A01M312</v>
          </cell>
          <cell r="C59" t="str">
            <v>DIV</v>
          </cell>
          <cell r="D59" t="str">
            <v>DIV</v>
          </cell>
          <cell r="E59" t="str">
            <v>Habilitación Sistema Retiro Colpas OP-4</v>
          </cell>
          <cell r="F59" t="str">
            <v>Carlos Salaue</v>
          </cell>
          <cell r="I59" t="str">
            <v>Christian Castro</v>
          </cell>
          <cell r="J59">
            <v>5470</v>
          </cell>
          <cell r="N59">
            <v>0.85</v>
          </cell>
          <cell r="O59">
            <v>0.15</v>
          </cell>
          <cell r="P59">
            <v>37012</v>
          </cell>
          <cell r="Q59">
            <v>37135</v>
          </cell>
          <cell r="R59">
            <v>37135</v>
          </cell>
          <cell r="S59" t="str">
            <v>100.7</v>
          </cell>
          <cell r="T59">
            <v>103.4</v>
          </cell>
          <cell r="U59">
            <v>14.4</v>
          </cell>
          <cell r="V59">
            <v>14.4</v>
          </cell>
          <cell r="W59">
            <v>100.5</v>
          </cell>
          <cell r="X59">
            <v>100.5</v>
          </cell>
          <cell r="Y59">
            <v>103.02541370647999</v>
          </cell>
          <cell r="Z59">
            <v>0</v>
          </cell>
          <cell r="AA59">
            <v>11.499999999999998</v>
          </cell>
          <cell r="AB59">
            <v>14.025413706479998</v>
          </cell>
          <cell r="AC59">
            <v>0</v>
          </cell>
        </row>
        <row r="60">
          <cell r="B60" t="str">
            <v>A01M317</v>
          </cell>
          <cell r="C60" t="str">
            <v>DIV</v>
          </cell>
          <cell r="D60" t="str">
            <v>DIV</v>
          </cell>
          <cell r="E60" t="str">
            <v>Galpón para Almacenamiento Cemento de Cobre y Molibdeno en PAS</v>
          </cell>
          <cell r="F60" t="str">
            <v>Pablo Fernandez</v>
          </cell>
          <cell r="G60">
            <v>5807</v>
          </cell>
          <cell r="I60" t="str">
            <v>Rodrigo Yañez</v>
          </cell>
          <cell r="J60">
            <v>5251</v>
          </cell>
          <cell r="M60">
            <v>7.0000000000000007E-2</v>
          </cell>
          <cell r="N60">
            <v>0.23</v>
          </cell>
          <cell r="O60">
            <v>0.7</v>
          </cell>
          <cell r="P60">
            <v>37226</v>
          </cell>
          <cell r="Q60">
            <v>37226</v>
          </cell>
          <cell r="R60">
            <v>37196</v>
          </cell>
          <cell r="S60">
            <v>153</v>
          </cell>
          <cell r="T60">
            <v>154.99100000000001</v>
          </cell>
          <cell r="U60">
            <v>3.7</v>
          </cell>
          <cell r="V60">
            <v>3.7</v>
          </cell>
          <cell r="W60">
            <v>155.19999999999999</v>
          </cell>
          <cell r="X60">
            <v>155.19999999999999</v>
          </cell>
          <cell r="Y60">
            <v>155.09333212352001</v>
          </cell>
          <cell r="Z60">
            <v>0</v>
          </cell>
          <cell r="AA60">
            <v>6</v>
          </cell>
          <cell r="AB60">
            <v>3.6933321235200003</v>
          </cell>
          <cell r="AC60">
            <v>0</v>
          </cell>
        </row>
        <row r="61">
          <cell r="B61" t="str">
            <v>A01M321</v>
          </cell>
          <cell r="C61" t="str">
            <v>DIV</v>
          </cell>
          <cell r="D61" t="str">
            <v>DIV</v>
          </cell>
          <cell r="E61" t="str">
            <v>Mejoramiento Seguridad Canaleta Conducción Relaves Emb. Ovejería</v>
          </cell>
          <cell r="F61" t="str">
            <v>Marcel Didier</v>
          </cell>
          <cell r="I61" t="str">
            <v>Marko Ayala</v>
          </cell>
          <cell r="J61">
            <v>5424</v>
          </cell>
          <cell r="N61">
            <v>0.61</v>
          </cell>
          <cell r="O61">
            <v>0.39</v>
          </cell>
          <cell r="P61">
            <v>36982</v>
          </cell>
          <cell r="Q61">
            <v>37226</v>
          </cell>
          <cell r="R61">
            <v>37196</v>
          </cell>
          <cell r="S61">
            <v>484.6</v>
          </cell>
          <cell r="T61">
            <v>484</v>
          </cell>
          <cell r="U61">
            <v>175</v>
          </cell>
          <cell r="V61">
            <v>431</v>
          </cell>
          <cell r="W61">
            <v>484.61099999999993</v>
          </cell>
          <cell r="X61">
            <v>484.61099999999993</v>
          </cell>
          <cell r="Y61">
            <v>483.46920369769998</v>
          </cell>
          <cell r="Z61">
            <v>1.0955423793000001</v>
          </cell>
          <cell r="AA61">
            <v>202.798</v>
          </cell>
          <cell r="AB61">
            <v>175.46920369770001</v>
          </cell>
          <cell r="AC61">
            <v>1.0955423793000001</v>
          </cell>
        </row>
        <row r="62">
          <cell r="B62" t="str">
            <v>A01M322</v>
          </cell>
          <cell r="C62" t="str">
            <v>DIV</v>
          </cell>
          <cell r="D62" t="str">
            <v>DIV</v>
          </cell>
          <cell r="E62" t="str">
            <v>Reemplazo Cámara de Combustión Horno de Secado Co.Cu.</v>
          </cell>
          <cell r="F62" t="str">
            <v>Pablo Fernandez</v>
          </cell>
          <cell r="I62" t="str">
            <v>Rodrigo Yañez</v>
          </cell>
          <cell r="J62">
            <v>5470</v>
          </cell>
          <cell r="N62">
            <v>0.55000000000000004</v>
          </cell>
          <cell r="O62">
            <v>0.45</v>
          </cell>
          <cell r="P62">
            <v>36982</v>
          </cell>
          <cell r="Q62">
            <v>37196</v>
          </cell>
          <cell r="R62">
            <v>37165</v>
          </cell>
          <cell r="S62">
            <v>177.6</v>
          </cell>
          <cell r="T62">
            <v>182.2</v>
          </cell>
          <cell r="U62">
            <v>159.80000000000001</v>
          </cell>
          <cell r="V62">
            <v>159.80000000000001</v>
          </cell>
          <cell r="W62">
            <v>177.6</v>
          </cell>
          <cell r="X62">
            <v>177.6</v>
          </cell>
          <cell r="Y62">
            <v>182.24560526466001</v>
          </cell>
          <cell r="Z62">
            <v>0</v>
          </cell>
          <cell r="AA62">
            <v>137</v>
          </cell>
          <cell r="AB62">
            <v>159.74560526466001</v>
          </cell>
          <cell r="AC62">
            <v>0</v>
          </cell>
        </row>
        <row r="63">
          <cell r="B63" t="str">
            <v>A01M323</v>
          </cell>
          <cell r="C63" t="str">
            <v>DIV</v>
          </cell>
          <cell r="D63" t="str">
            <v>DIV</v>
          </cell>
          <cell r="E63" t="str">
            <v>Mejoramiento Condiciones habitabilidad Refugio Sur-Sur</v>
          </cell>
          <cell r="F63" t="str">
            <v>Carlos Salaue</v>
          </cell>
          <cell r="G63">
            <v>5561</v>
          </cell>
          <cell r="I63" t="str">
            <v>Christian Castro</v>
          </cell>
          <cell r="J63">
            <v>5251</v>
          </cell>
          <cell r="O63">
            <v>1</v>
          </cell>
          <cell r="P63">
            <v>37043</v>
          </cell>
          <cell r="Q63">
            <v>37226</v>
          </cell>
          <cell r="R63">
            <v>37196</v>
          </cell>
          <cell r="S63">
            <v>151.1</v>
          </cell>
          <cell r="T63">
            <v>165.1</v>
          </cell>
          <cell r="U63">
            <v>91.2</v>
          </cell>
          <cell r="V63">
            <v>91.2</v>
          </cell>
          <cell r="W63">
            <v>150.97</v>
          </cell>
          <cell r="X63">
            <v>150.97</v>
          </cell>
          <cell r="Y63">
            <v>165.04992877277999</v>
          </cell>
          <cell r="Z63">
            <v>0</v>
          </cell>
          <cell r="AA63">
            <v>100.3</v>
          </cell>
          <cell r="AB63">
            <v>90.949928772780012</v>
          </cell>
          <cell r="AC63">
            <v>0</v>
          </cell>
        </row>
        <row r="64">
          <cell r="B64" t="str">
            <v>A01MDIVI</v>
          </cell>
          <cell r="C64" t="str">
            <v>DIV</v>
          </cell>
          <cell r="D64" t="str">
            <v>DIV</v>
          </cell>
          <cell r="E64" t="str">
            <v>Proyectos Divisionales por autorizar</v>
          </cell>
          <cell r="O64">
            <v>1</v>
          </cell>
          <cell r="P64">
            <v>37104</v>
          </cell>
          <cell r="Q64">
            <v>37226</v>
          </cell>
          <cell r="R64">
            <v>37226</v>
          </cell>
          <cell r="S64">
            <v>1300</v>
          </cell>
          <cell r="T64">
            <v>1300</v>
          </cell>
          <cell r="U64">
            <v>0</v>
          </cell>
          <cell r="V64">
            <v>0</v>
          </cell>
          <cell r="W64">
            <v>1300</v>
          </cell>
          <cell r="X64">
            <v>1300</v>
          </cell>
          <cell r="Y64">
            <v>1300</v>
          </cell>
          <cell r="Z64">
            <v>0</v>
          </cell>
          <cell r="AA64">
            <v>0</v>
          </cell>
          <cell r="AB64">
            <v>0</v>
          </cell>
          <cell r="AC64">
            <v>0</v>
          </cell>
        </row>
        <row r="65">
          <cell r="B65" t="str">
            <v>A01MEXT</v>
          </cell>
          <cell r="C65" t="str">
            <v>DIV</v>
          </cell>
          <cell r="D65" t="str">
            <v>EXT</v>
          </cell>
          <cell r="E65" t="str">
            <v>Proyectos Estraordinarios por autorizar</v>
          </cell>
          <cell r="O65">
            <v>1</v>
          </cell>
          <cell r="P65">
            <v>37104</v>
          </cell>
          <cell r="Q65">
            <v>37226</v>
          </cell>
          <cell r="R65">
            <v>37226</v>
          </cell>
          <cell r="S65">
            <v>5862</v>
          </cell>
          <cell r="T65">
            <v>5862</v>
          </cell>
          <cell r="U65">
            <v>0</v>
          </cell>
          <cell r="V65">
            <v>0</v>
          </cell>
          <cell r="W65">
            <v>5862</v>
          </cell>
          <cell r="X65">
            <v>5862</v>
          </cell>
          <cell r="Y65">
            <v>5862</v>
          </cell>
          <cell r="Z65">
            <v>0</v>
          </cell>
          <cell r="AA65">
            <v>0</v>
          </cell>
          <cell r="AB65">
            <v>0</v>
          </cell>
          <cell r="AC65">
            <v>0</v>
          </cell>
        </row>
        <row r="66">
          <cell r="B66" t="str">
            <v>A00M417</v>
          </cell>
          <cell r="C66" t="str">
            <v>NOR</v>
          </cell>
          <cell r="D66" t="str">
            <v>PRI</v>
          </cell>
          <cell r="E66" t="str">
            <v>Obras Emergencia Línea 220 KV Alta Montaña</v>
          </cell>
          <cell r="F66" t="str">
            <v>Sergio Hadad H.</v>
          </cell>
          <cell r="I66" t="str">
            <v>Marcos Ayala</v>
          </cell>
          <cell r="J66">
            <v>5424</v>
          </cell>
          <cell r="M66">
            <v>0.1046</v>
          </cell>
          <cell r="N66">
            <v>0.30730000000000002</v>
          </cell>
          <cell r="O66">
            <v>0.58809999999999996</v>
          </cell>
          <cell r="P66">
            <v>36557</v>
          </cell>
          <cell r="Q66">
            <v>37012</v>
          </cell>
          <cell r="R66">
            <v>36982</v>
          </cell>
          <cell r="S66">
            <v>9610.2000000000007</v>
          </cell>
          <cell r="T66">
            <v>10393.5</v>
          </cell>
          <cell r="U66">
            <v>11411.57</v>
          </cell>
          <cell r="V66">
            <v>10331.040000000001</v>
          </cell>
          <cell r="W66">
            <v>8788</v>
          </cell>
          <cell r="X66">
            <v>10499.64</v>
          </cell>
          <cell r="Y66">
            <v>10439.796509175285</v>
          </cell>
          <cell r="Z66">
            <v>9057.2415530626986</v>
          </cell>
          <cell r="AA66">
            <v>10499.64</v>
          </cell>
          <cell r="AB66">
            <v>11458.796509175285</v>
          </cell>
          <cell r="AC66">
            <v>9057.2415530626986</v>
          </cell>
        </row>
        <row r="67">
          <cell r="B67" t="str">
            <v>A01M401</v>
          </cell>
          <cell r="C67" t="str">
            <v>NOR</v>
          </cell>
          <cell r="D67" t="str">
            <v>PRI</v>
          </cell>
          <cell r="E67" t="str">
            <v>Proyecto Optimización Caso Base División andina</v>
          </cell>
          <cell r="F67" t="str">
            <v>Sergio Hadad H.</v>
          </cell>
          <cell r="I67" t="str">
            <v xml:space="preserve">Mauricio Coupier </v>
          </cell>
          <cell r="J67">
            <v>5251</v>
          </cell>
          <cell r="M67">
            <v>3.9E-2</v>
          </cell>
          <cell r="N67">
            <v>0.20200000000000001</v>
          </cell>
          <cell r="O67">
            <v>0.75800000000000001</v>
          </cell>
          <cell r="P67">
            <v>37048</v>
          </cell>
          <cell r="Q67">
            <v>37712</v>
          </cell>
          <cell r="R67">
            <v>37712</v>
          </cell>
          <cell r="S67">
            <v>36200</v>
          </cell>
          <cell r="T67">
            <v>36200</v>
          </cell>
          <cell r="U67">
            <v>1239</v>
          </cell>
          <cell r="V67">
            <v>14354</v>
          </cell>
          <cell r="W67">
            <v>11275</v>
          </cell>
          <cell r="X67">
            <v>37160</v>
          </cell>
          <cell r="Y67">
            <v>11273.9544801416</v>
          </cell>
          <cell r="Z67">
            <v>0</v>
          </cell>
          <cell r="AA67">
            <v>2233</v>
          </cell>
          <cell r="AB67">
            <v>1578.9544801416</v>
          </cell>
          <cell r="AC67">
            <v>0</v>
          </cell>
        </row>
        <row r="68">
          <cell r="B68" t="str">
            <v>A01M403</v>
          </cell>
          <cell r="C68" t="str">
            <v>NOR</v>
          </cell>
          <cell r="D68" t="str">
            <v>OTR</v>
          </cell>
          <cell r="E68" t="str">
            <v>Ampliación Sistema Monitoreo en Línea Equipos Críticos Co.</v>
          </cell>
          <cell r="F68" t="str">
            <v>Luis Espinoza Araya</v>
          </cell>
          <cell r="M68">
            <v>0.1</v>
          </cell>
          <cell r="N68">
            <v>0.6</v>
          </cell>
          <cell r="O68">
            <v>0.3</v>
          </cell>
          <cell r="P68">
            <v>36951</v>
          </cell>
          <cell r="Q68">
            <v>37530</v>
          </cell>
          <cell r="R68">
            <v>37530</v>
          </cell>
          <cell r="S68">
            <v>882</v>
          </cell>
          <cell r="T68">
            <v>914.8</v>
          </cell>
          <cell r="U68">
            <v>30.2</v>
          </cell>
          <cell r="V68">
            <v>30.2</v>
          </cell>
          <cell r="W68">
            <v>654.20000000000005</v>
          </cell>
          <cell r="X68">
            <v>654.20000000000005</v>
          </cell>
          <cell r="Y68">
            <v>607.4452186400099</v>
          </cell>
          <cell r="Z68">
            <v>7.5592424171700001</v>
          </cell>
          <cell r="AA68">
            <v>95.1</v>
          </cell>
          <cell r="AB68">
            <v>30.245218640009998</v>
          </cell>
          <cell r="AC68">
            <v>7.5592424171700001</v>
          </cell>
        </row>
        <row r="69">
          <cell r="B69" t="str">
            <v>A01M407</v>
          </cell>
          <cell r="C69" t="str">
            <v>DIV</v>
          </cell>
          <cell r="D69" t="str">
            <v>DIV</v>
          </cell>
          <cell r="E69" t="str">
            <v>Reemplazo Equipos Utilitarios Mina Subterránea</v>
          </cell>
          <cell r="F69" t="str">
            <v>Juan Caceres</v>
          </cell>
          <cell r="I69" t="str">
            <v>Claudio Solis</v>
          </cell>
          <cell r="N69">
            <v>1</v>
          </cell>
          <cell r="P69">
            <v>36951</v>
          </cell>
          <cell r="Q69">
            <v>37226</v>
          </cell>
          <cell r="R69">
            <v>37226</v>
          </cell>
          <cell r="S69">
            <v>309</v>
          </cell>
          <cell r="T69">
            <v>321</v>
          </cell>
          <cell r="U69">
            <v>14</v>
          </cell>
          <cell r="V69">
            <v>20</v>
          </cell>
          <cell r="W69">
            <v>308</v>
          </cell>
          <cell r="X69">
            <v>308</v>
          </cell>
          <cell r="Y69">
            <v>309.69432512304002</v>
          </cell>
          <cell r="Z69">
            <v>6.5732542758000001</v>
          </cell>
          <cell r="AA69">
            <v>13</v>
          </cell>
          <cell r="AB69">
            <v>15.69432512304</v>
          </cell>
          <cell r="AC69">
            <v>6.5732542758000001</v>
          </cell>
        </row>
        <row r="70">
          <cell r="B70" t="str">
            <v>A01M412</v>
          </cell>
          <cell r="C70" t="str">
            <v>NOR</v>
          </cell>
          <cell r="D70" t="str">
            <v>OTR</v>
          </cell>
          <cell r="E70" t="str">
            <v>Instalación Sistema detección Presencia Personal M.S.</v>
          </cell>
          <cell r="F70" t="str">
            <v>Manuel Ramos</v>
          </cell>
          <cell r="I70" t="str">
            <v>Claudio Solis</v>
          </cell>
          <cell r="M70">
            <v>7.0000000000000007E-2</v>
          </cell>
          <cell r="N70">
            <v>0.71</v>
          </cell>
          <cell r="O70">
            <v>0.22</v>
          </cell>
          <cell r="P70">
            <v>36923</v>
          </cell>
          <cell r="Q70">
            <v>37347</v>
          </cell>
          <cell r="R70">
            <v>37347</v>
          </cell>
          <cell r="S70">
            <v>986.5</v>
          </cell>
          <cell r="T70">
            <v>998</v>
          </cell>
          <cell r="U70">
            <v>14</v>
          </cell>
          <cell r="V70">
            <v>20</v>
          </cell>
          <cell r="W70">
            <v>766.1</v>
          </cell>
          <cell r="X70">
            <v>766.1</v>
          </cell>
          <cell r="Y70">
            <v>746.54805503760008</v>
          </cell>
          <cell r="Z70">
            <v>7.6687966550999995</v>
          </cell>
          <cell r="AA70">
            <v>29.599999999999998</v>
          </cell>
          <cell r="AB70">
            <v>13.4480550376</v>
          </cell>
          <cell r="AC70">
            <v>7.6687966550999995</v>
          </cell>
        </row>
        <row r="71">
          <cell r="B71" t="str">
            <v>A01M415</v>
          </cell>
          <cell r="C71" t="str">
            <v>NOR</v>
          </cell>
          <cell r="D71" t="str">
            <v>PRI</v>
          </cell>
          <cell r="E71" t="str">
            <v>Reemplazo perforadora eléctrica DMH</v>
          </cell>
          <cell r="F71" t="str">
            <v>Juan Caceres</v>
          </cell>
          <cell r="N71">
            <v>1</v>
          </cell>
          <cell r="P71">
            <v>37104</v>
          </cell>
          <cell r="Q71">
            <v>37226</v>
          </cell>
          <cell r="R71">
            <v>37104</v>
          </cell>
          <cell r="S71">
            <v>1004</v>
          </cell>
          <cell r="T71">
            <v>1004</v>
          </cell>
          <cell r="U71">
            <v>0</v>
          </cell>
          <cell r="V71">
            <v>0</v>
          </cell>
          <cell r="W71">
            <v>1004</v>
          </cell>
          <cell r="X71">
            <v>1004</v>
          </cell>
          <cell r="Y71">
            <v>1004</v>
          </cell>
          <cell r="Z71">
            <v>0</v>
          </cell>
          <cell r="AA71">
            <v>0</v>
          </cell>
          <cell r="AB71">
            <v>0</v>
          </cell>
          <cell r="AC71">
            <v>0</v>
          </cell>
        </row>
        <row r="72">
          <cell r="B72" t="str">
            <v>A01M416</v>
          </cell>
          <cell r="C72" t="str">
            <v>NOR</v>
          </cell>
          <cell r="D72" t="str">
            <v>PRI</v>
          </cell>
          <cell r="E72" t="str">
            <v>Mejoramiento Obras Conducción Aguas Mina Concentrador</v>
          </cell>
          <cell r="F72" t="str">
            <v>Marcel Didier</v>
          </cell>
          <cell r="I72" t="str">
            <v>Marcos Ayala</v>
          </cell>
          <cell r="J72">
            <v>5424</v>
          </cell>
          <cell r="M72">
            <v>6.8099999999999994E-2</v>
          </cell>
          <cell r="N72">
            <v>0.25590000000000002</v>
          </cell>
          <cell r="O72">
            <v>0.67600000000000005</v>
          </cell>
          <cell r="P72">
            <v>36861</v>
          </cell>
          <cell r="Q72">
            <v>37226</v>
          </cell>
          <cell r="R72">
            <v>37226</v>
          </cell>
          <cell r="S72">
            <v>2602</v>
          </cell>
          <cell r="T72">
            <v>2211.9499999999998</v>
          </cell>
          <cell r="U72">
            <v>916.6</v>
          </cell>
          <cell r="V72">
            <v>952.67</v>
          </cell>
          <cell r="W72">
            <v>2583.9999999999995</v>
          </cell>
          <cell r="X72">
            <v>2583.9999999999995</v>
          </cell>
          <cell r="Y72">
            <v>2212.1096825598001</v>
          </cell>
          <cell r="Z72">
            <v>569.81246144939996</v>
          </cell>
          <cell r="AA72">
            <v>1196.2599999999998</v>
          </cell>
          <cell r="AB72">
            <v>915.10968255980004</v>
          </cell>
          <cell r="AC72">
            <v>569.81246144939996</v>
          </cell>
        </row>
        <row r="73">
          <cell r="B73" t="str">
            <v>A00M330</v>
          </cell>
          <cell r="C73" t="str">
            <v>DIV</v>
          </cell>
          <cell r="D73" t="str">
            <v>DIV</v>
          </cell>
          <cell r="E73" t="str">
            <v>Habilitación de Emergencia Cntrl de Avalanchas MR</v>
          </cell>
          <cell r="F73" t="str">
            <v>Juan Figueroa</v>
          </cell>
          <cell r="I73" t="str">
            <v>Claudio Solis</v>
          </cell>
          <cell r="J73">
            <v>5047</v>
          </cell>
          <cell r="M73">
            <v>0.24</v>
          </cell>
          <cell r="N73">
            <v>0.45</v>
          </cell>
          <cell r="O73">
            <v>0.31</v>
          </cell>
          <cell r="P73">
            <v>36770</v>
          </cell>
          <cell r="Q73">
            <v>36770</v>
          </cell>
          <cell r="R73">
            <v>36770</v>
          </cell>
          <cell r="S73">
            <v>42.5</v>
          </cell>
          <cell r="T73">
            <v>45.4</v>
          </cell>
          <cell r="U73">
            <v>45.4</v>
          </cell>
          <cell r="V73">
            <v>45.4</v>
          </cell>
          <cell r="W73">
            <v>0</v>
          </cell>
          <cell r="X73">
            <v>0</v>
          </cell>
          <cell r="Y73">
            <v>0</v>
          </cell>
          <cell r="Z73">
            <v>0</v>
          </cell>
          <cell r="AA73">
            <v>0</v>
          </cell>
          <cell r="AB73">
            <v>0</v>
          </cell>
          <cell r="AC73">
            <v>0</v>
          </cell>
        </row>
        <row r="74">
          <cell r="B74" t="str">
            <v>A00M331</v>
          </cell>
          <cell r="C74" t="str">
            <v>DIV</v>
          </cell>
          <cell r="D74" t="str">
            <v>DIV</v>
          </cell>
          <cell r="E74" t="str">
            <v>Overhaul Motor Sincrónico Molino de Bolas</v>
          </cell>
          <cell r="F74" t="str">
            <v>Carlos Salue</v>
          </cell>
          <cell r="I74" t="str">
            <v>Hernan Bugueño</v>
          </cell>
          <cell r="J74">
            <v>5470</v>
          </cell>
          <cell r="N74">
            <v>1</v>
          </cell>
          <cell r="P74">
            <v>36770</v>
          </cell>
          <cell r="Q74">
            <v>36861</v>
          </cell>
          <cell r="R74">
            <v>36861</v>
          </cell>
          <cell r="S74">
            <v>50.1</v>
          </cell>
          <cell r="T74">
            <v>44.9</v>
          </cell>
          <cell r="U74">
            <v>44.9</v>
          </cell>
          <cell r="V74">
            <v>44.9</v>
          </cell>
          <cell r="W74">
            <v>0</v>
          </cell>
          <cell r="X74">
            <v>0</v>
          </cell>
          <cell r="Y74">
            <v>0</v>
          </cell>
          <cell r="Z74">
            <v>0</v>
          </cell>
          <cell r="AA74">
            <v>0</v>
          </cell>
          <cell r="AB74">
            <v>0</v>
          </cell>
          <cell r="AC74">
            <v>0</v>
          </cell>
        </row>
        <row r="75">
          <cell r="B75" t="str">
            <v>A99M101</v>
          </cell>
          <cell r="C75" t="str">
            <v>DIV</v>
          </cell>
          <cell r="D75" t="str">
            <v>DIV</v>
          </cell>
          <cell r="E75" t="str">
            <v>Ing. Básica Sis. Elev. Agua Los Leones a Co.</v>
          </cell>
          <cell r="F75" t="str">
            <v>Jorge Muñoz N.</v>
          </cell>
          <cell r="G75">
            <v>5447</v>
          </cell>
          <cell r="I75" t="str">
            <v>Cristian Anex</v>
          </cell>
          <cell r="J75">
            <v>5249</v>
          </cell>
          <cell r="M75">
            <v>1</v>
          </cell>
          <cell r="P75">
            <v>36404</v>
          </cell>
          <cell r="Q75">
            <v>36495</v>
          </cell>
          <cell r="R75">
            <v>36495</v>
          </cell>
          <cell r="S75">
            <v>131.6</v>
          </cell>
          <cell r="T75">
            <v>96.9</v>
          </cell>
          <cell r="U75">
            <v>96.9</v>
          </cell>
          <cell r="V75">
            <v>96.9</v>
          </cell>
          <cell r="W75">
            <v>0</v>
          </cell>
          <cell r="X75">
            <v>0</v>
          </cell>
          <cell r="Y75">
            <v>0</v>
          </cell>
          <cell r="Z75">
            <v>0</v>
          </cell>
          <cell r="AA75">
            <v>0</v>
          </cell>
          <cell r="AB75">
            <v>0</v>
          </cell>
          <cell r="AC75">
            <v>0</v>
          </cell>
        </row>
        <row r="76">
          <cell r="B76" t="str">
            <v>A99M102</v>
          </cell>
          <cell r="C76" t="str">
            <v>DIV</v>
          </cell>
          <cell r="D76" t="str">
            <v>DIV</v>
          </cell>
          <cell r="E76" t="str">
            <v>Ingeniería Básica Canalización Aguas Lluvias PAS</v>
          </cell>
          <cell r="F76" t="str">
            <v>Carlos Gomez</v>
          </cell>
          <cell r="G76">
            <v>5886</v>
          </cell>
          <cell r="I76" t="str">
            <v>Rodrigo Yañez</v>
          </cell>
          <cell r="J76">
            <v>5470</v>
          </cell>
          <cell r="K76" t="str">
            <v>Rodrigo Yañez</v>
          </cell>
          <cell r="L76">
            <v>5470</v>
          </cell>
          <cell r="M76">
            <v>1</v>
          </cell>
          <cell r="N76">
            <v>0</v>
          </cell>
          <cell r="O76">
            <v>0</v>
          </cell>
          <cell r="P76">
            <v>36404</v>
          </cell>
          <cell r="Q76">
            <v>36495</v>
          </cell>
          <cell r="R76">
            <v>36495</v>
          </cell>
          <cell r="S76">
            <v>18</v>
          </cell>
          <cell r="T76">
            <v>15.2</v>
          </cell>
          <cell r="U76">
            <v>15.2</v>
          </cell>
          <cell r="V76">
            <v>15.2</v>
          </cell>
          <cell r="W76">
            <v>0</v>
          </cell>
          <cell r="X76">
            <v>0</v>
          </cell>
          <cell r="Y76">
            <v>0</v>
          </cell>
          <cell r="Z76">
            <v>0</v>
          </cell>
          <cell r="AA76">
            <v>0</v>
          </cell>
          <cell r="AB76">
            <v>0</v>
          </cell>
          <cell r="AC76">
            <v>0</v>
          </cell>
        </row>
        <row r="77">
          <cell r="B77" t="str">
            <v>A99M103</v>
          </cell>
          <cell r="C77" t="str">
            <v>DIV</v>
          </cell>
          <cell r="D77" t="str">
            <v>DIV</v>
          </cell>
          <cell r="E77" t="str">
            <v>Eval. Planta Piloto inyección aire PAS</v>
          </cell>
          <cell r="F77" t="str">
            <v>Luis Castelli</v>
          </cell>
          <cell r="G77">
            <v>5144</v>
          </cell>
          <cell r="I77" t="str">
            <v>Barner Muñoz</v>
          </cell>
          <cell r="M77">
            <v>0.502</v>
          </cell>
          <cell r="N77">
            <v>0.35699999999999998</v>
          </cell>
          <cell r="O77">
            <v>0.14099999999999999</v>
          </cell>
          <cell r="P77">
            <v>36495</v>
          </cell>
          <cell r="Q77">
            <v>36800</v>
          </cell>
          <cell r="R77">
            <v>36861</v>
          </cell>
          <cell r="S77">
            <v>142</v>
          </cell>
          <cell r="T77">
            <v>142.4</v>
          </cell>
          <cell r="U77">
            <v>142.4</v>
          </cell>
          <cell r="V77">
            <v>142.4</v>
          </cell>
          <cell r="W77">
            <v>0</v>
          </cell>
          <cell r="X77">
            <v>0</v>
          </cell>
          <cell r="Y77">
            <v>0</v>
          </cell>
          <cell r="Z77">
            <v>0</v>
          </cell>
          <cell r="AA77">
            <v>0</v>
          </cell>
          <cell r="AB77">
            <v>0</v>
          </cell>
          <cell r="AC77">
            <v>0</v>
          </cell>
        </row>
        <row r="78">
          <cell r="B78" t="str">
            <v>A99M301</v>
          </cell>
          <cell r="C78" t="str">
            <v>DIV</v>
          </cell>
          <cell r="D78" t="str">
            <v>DIV</v>
          </cell>
          <cell r="E78" t="str">
            <v>Cambio Pesómetro Puerto Ventanas</v>
          </cell>
          <cell r="F78" t="str">
            <v>Carlos Gomez</v>
          </cell>
          <cell r="G78">
            <v>5886</v>
          </cell>
          <cell r="H78" t="str">
            <v>Ingendesa</v>
          </cell>
          <cell r="I78" t="str">
            <v>Johan Rios</v>
          </cell>
          <cell r="J78">
            <v>5612</v>
          </cell>
          <cell r="M78">
            <v>0.14000000000000001</v>
          </cell>
          <cell r="N78">
            <v>0.56000000000000005</v>
          </cell>
          <cell r="O78">
            <v>0.3</v>
          </cell>
          <cell r="P78">
            <v>36281</v>
          </cell>
          <cell r="Q78">
            <v>36404</v>
          </cell>
          <cell r="R78">
            <v>36495</v>
          </cell>
          <cell r="S78">
            <v>96</v>
          </cell>
          <cell r="T78">
            <v>88.3</v>
          </cell>
          <cell r="U78">
            <v>88.3</v>
          </cell>
          <cell r="V78">
            <v>88.3</v>
          </cell>
          <cell r="W78">
            <v>0</v>
          </cell>
          <cell r="X78">
            <v>0</v>
          </cell>
          <cell r="Y78">
            <v>0</v>
          </cell>
          <cell r="Z78">
            <v>0</v>
          </cell>
          <cell r="AA78">
            <v>0</v>
          </cell>
          <cell r="AB78">
            <v>0</v>
          </cell>
          <cell r="AC78">
            <v>0</v>
          </cell>
        </row>
        <row r="79">
          <cell r="B79" t="str">
            <v>A99M307</v>
          </cell>
          <cell r="C79" t="str">
            <v>DIV</v>
          </cell>
          <cell r="D79" t="str">
            <v>DIV</v>
          </cell>
          <cell r="E79" t="str">
            <v>Mejoramiento Condiciones MedioAmbiental PAS</v>
          </cell>
          <cell r="F79" t="str">
            <v>Eduardo Marcos</v>
          </cell>
          <cell r="G79">
            <v>5338</v>
          </cell>
          <cell r="I79" t="str">
            <v>Rodrigo Yañez</v>
          </cell>
          <cell r="J79">
            <v>5470</v>
          </cell>
          <cell r="K79" t="str">
            <v>Rodrigo Yañez</v>
          </cell>
          <cell r="M79">
            <v>0.15</v>
          </cell>
          <cell r="N79">
            <v>0.6</v>
          </cell>
          <cell r="O79">
            <v>0.25</v>
          </cell>
          <cell r="P79">
            <v>36434</v>
          </cell>
          <cell r="Q79">
            <v>36557</v>
          </cell>
          <cell r="R79">
            <v>36739</v>
          </cell>
          <cell r="S79">
            <v>126.3</v>
          </cell>
          <cell r="T79">
            <v>131.30000000000001</v>
          </cell>
          <cell r="U79">
            <v>131.30000000000001</v>
          </cell>
          <cell r="V79">
            <v>131.30000000000001</v>
          </cell>
          <cell r="W79">
            <v>0</v>
          </cell>
          <cell r="X79">
            <v>0</v>
          </cell>
          <cell r="Y79">
            <v>0</v>
          </cell>
          <cell r="Z79">
            <v>0</v>
          </cell>
          <cell r="AA79">
            <v>0</v>
          </cell>
          <cell r="AB79">
            <v>0</v>
          </cell>
          <cell r="AC79">
            <v>0</v>
          </cell>
        </row>
        <row r="80">
          <cell r="B80" t="str">
            <v>A99M309</v>
          </cell>
          <cell r="C80" t="str">
            <v>DIV</v>
          </cell>
          <cell r="D80" t="str">
            <v>DIV</v>
          </cell>
          <cell r="E80" t="str">
            <v>Adquisición Martillo Fijo para PT4</v>
          </cell>
          <cell r="F80" t="str">
            <v>Robert Mayne - Nichols</v>
          </cell>
          <cell r="G80">
            <v>5035</v>
          </cell>
          <cell r="I80" t="str">
            <v>Jaime Alamos</v>
          </cell>
          <cell r="J80">
            <v>5137</v>
          </cell>
          <cell r="N80">
            <v>1</v>
          </cell>
          <cell r="P80">
            <v>36495</v>
          </cell>
          <cell r="Q80">
            <v>36586</v>
          </cell>
          <cell r="R80">
            <v>36586</v>
          </cell>
          <cell r="S80">
            <v>96</v>
          </cell>
          <cell r="T80">
            <v>52</v>
          </cell>
          <cell r="U80">
            <v>52</v>
          </cell>
          <cell r="V80">
            <v>52</v>
          </cell>
          <cell r="W80">
            <v>0</v>
          </cell>
          <cell r="X80">
            <v>0</v>
          </cell>
          <cell r="Y80">
            <v>0</v>
          </cell>
          <cell r="Z80">
            <v>0</v>
          </cell>
          <cell r="AA80">
            <v>0</v>
          </cell>
          <cell r="AB80">
            <v>0</v>
          </cell>
          <cell r="AC80">
            <v>0</v>
          </cell>
        </row>
        <row r="81">
          <cell r="B81" t="str">
            <v>A99M310</v>
          </cell>
          <cell r="C81" t="str">
            <v>DIV</v>
          </cell>
          <cell r="D81" t="str">
            <v>DIV</v>
          </cell>
          <cell r="E81" t="str">
            <v>Reemplazo Equipos Meteorológicos Lagunitas</v>
          </cell>
          <cell r="F81" t="str">
            <v>René León</v>
          </cell>
          <cell r="G81">
            <v>6658</v>
          </cell>
          <cell r="I81" t="str">
            <v>Rodrigo Yañez</v>
          </cell>
          <cell r="J81">
            <v>5470</v>
          </cell>
          <cell r="N81">
            <v>0.95</v>
          </cell>
          <cell r="O81">
            <v>0.05</v>
          </cell>
          <cell r="P81">
            <v>36495</v>
          </cell>
          <cell r="Q81">
            <v>36617</v>
          </cell>
          <cell r="R81">
            <v>36617</v>
          </cell>
          <cell r="S81">
            <v>81</v>
          </cell>
          <cell r="T81">
            <v>72</v>
          </cell>
          <cell r="U81">
            <v>71</v>
          </cell>
          <cell r="V81">
            <v>72</v>
          </cell>
          <cell r="W81">
            <v>0</v>
          </cell>
          <cell r="X81">
            <v>0</v>
          </cell>
          <cell r="Y81">
            <v>0</v>
          </cell>
          <cell r="Z81">
            <v>0</v>
          </cell>
          <cell r="AA81">
            <v>0</v>
          </cell>
          <cell r="AB81">
            <v>0</v>
          </cell>
          <cell r="AC81">
            <v>0</v>
          </cell>
        </row>
        <row r="82">
          <cell r="B82" t="str">
            <v>A99M312</v>
          </cell>
          <cell r="C82" t="str">
            <v>DIV</v>
          </cell>
          <cell r="D82" t="str">
            <v>DIV</v>
          </cell>
          <cell r="E82" t="str">
            <v>Mejoramiento Seguridad Op. Espesadores PAS</v>
          </cell>
          <cell r="F82" t="str">
            <v>Eduardo Marcos</v>
          </cell>
          <cell r="G82">
            <v>5338</v>
          </cell>
          <cell r="I82" t="str">
            <v>Rodrigo Yañez</v>
          </cell>
          <cell r="J82">
            <v>5470</v>
          </cell>
          <cell r="M82">
            <v>0.06</v>
          </cell>
          <cell r="N82">
            <v>0.28000000000000003</v>
          </cell>
          <cell r="O82">
            <v>0.66</v>
          </cell>
          <cell r="P82">
            <v>36495</v>
          </cell>
          <cell r="Q82">
            <v>36708</v>
          </cell>
          <cell r="R82">
            <v>36861</v>
          </cell>
          <cell r="S82">
            <v>137.5</v>
          </cell>
          <cell r="T82">
            <v>144.9</v>
          </cell>
          <cell r="U82">
            <v>144.9</v>
          </cell>
          <cell r="V82">
            <v>144.9</v>
          </cell>
          <cell r="W82">
            <v>0</v>
          </cell>
          <cell r="X82">
            <v>0</v>
          </cell>
          <cell r="Y82">
            <v>0</v>
          </cell>
          <cell r="Z82">
            <v>0</v>
          </cell>
          <cell r="AA82">
            <v>0</v>
          </cell>
          <cell r="AB82">
            <v>0</v>
          </cell>
          <cell r="AC82">
            <v>0</v>
          </cell>
        </row>
        <row r="83">
          <cell r="B83" t="str">
            <v>A99M314</v>
          </cell>
          <cell r="C83" t="str">
            <v>DIV</v>
          </cell>
          <cell r="D83" t="str">
            <v>DIV</v>
          </cell>
          <cell r="E83" t="str">
            <v>Instalación Torres Anclaje adicionales Linea 220 KV</v>
          </cell>
          <cell r="F83" t="str">
            <v>Luis Espinoza Araya</v>
          </cell>
          <cell r="G83">
            <v>5835</v>
          </cell>
          <cell r="I83" t="str">
            <v>Fernando Arancibia</v>
          </cell>
          <cell r="J83">
            <v>5013</v>
          </cell>
          <cell r="M83">
            <v>0</v>
          </cell>
          <cell r="N83">
            <v>0.308</v>
          </cell>
          <cell r="O83">
            <v>0.69199999999999995</v>
          </cell>
          <cell r="P83">
            <v>36495</v>
          </cell>
          <cell r="Q83">
            <v>36647</v>
          </cell>
          <cell r="R83">
            <v>36617</v>
          </cell>
          <cell r="S83">
            <v>212</v>
          </cell>
          <cell r="T83">
            <v>233</v>
          </cell>
          <cell r="U83">
            <v>233</v>
          </cell>
          <cell r="V83">
            <v>233</v>
          </cell>
          <cell r="W83">
            <v>0</v>
          </cell>
          <cell r="X83">
            <v>0</v>
          </cell>
          <cell r="Y83">
            <v>0</v>
          </cell>
          <cell r="Z83">
            <v>0</v>
          </cell>
          <cell r="AA83">
            <v>0</v>
          </cell>
          <cell r="AB83">
            <v>0</v>
          </cell>
          <cell r="AC83">
            <v>0</v>
          </cell>
        </row>
        <row r="84">
          <cell r="B84" t="str">
            <v>A99M407</v>
          </cell>
          <cell r="C84" t="str">
            <v>NOR</v>
          </cell>
          <cell r="D84" t="str">
            <v>PRI</v>
          </cell>
          <cell r="E84" t="str">
            <v>Reemplazo Jumbos Radiales</v>
          </cell>
          <cell r="F84" t="str">
            <v>Juan Figueroa</v>
          </cell>
          <cell r="G84">
            <v>5035</v>
          </cell>
          <cell r="H84" t="str">
            <v>Ingendesa</v>
          </cell>
          <cell r="I84" t="str">
            <v>Jaime Alamos</v>
          </cell>
          <cell r="J84">
            <v>5137</v>
          </cell>
          <cell r="M84">
            <v>0</v>
          </cell>
          <cell r="N84">
            <v>1</v>
          </cell>
          <cell r="P84">
            <v>36161</v>
          </cell>
          <cell r="Q84">
            <v>36495</v>
          </cell>
          <cell r="R84">
            <v>36861</v>
          </cell>
          <cell r="S84">
            <v>1563</v>
          </cell>
          <cell r="T84">
            <v>1350.7</v>
          </cell>
          <cell r="U84">
            <v>1350.7</v>
          </cell>
          <cell r="V84">
            <v>1350.7</v>
          </cell>
          <cell r="W84">
            <v>0</v>
          </cell>
          <cell r="X84">
            <v>0</v>
          </cell>
          <cell r="Y84">
            <v>0</v>
          </cell>
          <cell r="Z84">
            <v>0</v>
          </cell>
          <cell r="AA84">
            <v>0</v>
          </cell>
          <cell r="AB84">
            <v>0</v>
          </cell>
          <cell r="AC84">
            <v>0</v>
          </cell>
        </row>
        <row r="85">
          <cell r="B85">
            <v>980601</v>
          </cell>
          <cell r="C85" t="str">
            <v>DIV</v>
          </cell>
          <cell r="D85" t="str">
            <v>DIV</v>
          </cell>
          <cell r="E85" t="str">
            <v>Adq.Sistema GPS para apoyo Faenas Camino Industrial</v>
          </cell>
          <cell r="F85" t="str">
            <v>Pablo Fernandez</v>
          </cell>
          <cell r="G85">
            <v>5807</v>
          </cell>
          <cell r="H85" t="str">
            <v>B&amp;R</v>
          </cell>
          <cell r="I85" t="str">
            <v>Carlos G.</v>
          </cell>
          <cell r="J85" t="str">
            <v>5548</v>
          </cell>
          <cell r="K85" t="str">
            <v>Cristian Morris</v>
          </cell>
          <cell r="L85">
            <v>5548</v>
          </cell>
          <cell r="M85">
            <v>0</v>
          </cell>
          <cell r="N85">
            <v>1</v>
          </cell>
          <cell r="O85">
            <v>0</v>
          </cell>
          <cell r="P85">
            <v>35855</v>
          </cell>
          <cell r="Q85">
            <v>35976</v>
          </cell>
          <cell r="R85">
            <v>36037</v>
          </cell>
          <cell r="S85">
            <v>201</v>
          </cell>
          <cell r="T85">
            <v>171</v>
          </cell>
          <cell r="U85">
            <v>171</v>
          </cell>
          <cell r="V85">
            <v>171</v>
          </cell>
          <cell r="W85">
            <v>0</v>
          </cell>
          <cell r="X85">
            <v>0</v>
          </cell>
          <cell r="Y85">
            <v>0</v>
          </cell>
          <cell r="Z85">
            <v>0</v>
          </cell>
          <cell r="AA85">
            <v>0</v>
          </cell>
          <cell r="AB85">
            <v>0</v>
          </cell>
          <cell r="AC85">
            <v>0</v>
          </cell>
        </row>
        <row r="86">
          <cell r="B86">
            <v>980602</v>
          </cell>
          <cell r="C86" t="str">
            <v>NOR</v>
          </cell>
          <cell r="D86" t="str">
            <v>OTR</v>
          </cell>
          <cell r="E86" t="str">
            <v>Adquisición Equipos Snowcat</v>
          </cell>
          <cell r="F86" t="str">
            <v>Pablo Fernandez</v>
          </cell>
          <cell r="G86">
            <v>5807</v>
          </cell>
          <cell r="H86" t="str">
            <v>B&amp;R</v>
          </cell>
          <cell r="I86" t="str">
            <v>Carlos G.</v>
          </cell>
          <cell r="J86" t="str">
            <v>5548</v>
          </cell>
          <cell r="K86" t="str">
            <v>Juan Andia</v>
          </cell>
          <cell r="L86">
            <v>5548</v>
          </cell>
          <cell r="M86">
            <v>0</v>
          </cell>
          <cell r="N86">
            <v>1</v>
          </cell>
          <cell r="O86">
            <v>0</v>
          </cell>
          <cell r="P86">
            <v>36130</v>
          </cell>
          <cell r="Q86">
            <v>36342</v>
          </cell>
          <cell r="R86">
            <v>36281</v>
          </cell>
          <cell r="S86">
            <v>616</v>
          </cell>
          <cell r="T86">
            <v>570</v>
          </cell>
          <cell r="U86">
            <v>570</v>
          </cell>
          <cell r="V86">
            <v>570</v>
          </cell>
          <cell r="W86">
            <v>0</v>
          </cell>
          <cell r="X86">
            <v>0</v>
          </cell>
          <cell r="Y86">
            <v>0</v>
          </cell>
          <cell r="Z86">
            <v>0</v>
          </cell>
          <cell r="AA86">
            <v>0</v>
          </cell>
          <cell r="AB86">
            <v>0</v>
          </cell>
          <cell r="AC86">
            <v>0</v>
          </cell>
        </row>
        <row r="87">
          <cell r="B87">
            <v>980604</v>
          </cell>
          <cell r="C87" t="str">
            <v>DIV</v>
          </cell>
          <cell r="D87" t="str">
            <v>DIV</v>
          </cell>
          <cell r="E87" t="str">
            <v>Reemplazo Equipo de Absorción Atomica Lab. Central</v>
          </cell>
          <cell r="F87" t="str">
            <v>Luis Espinoza Araya</v>
          </cell>
          <cell r="G87">
            <v>5835</v>
          </cell>
          <cell r="H87" t="str">
            <v>Ingendesa</v>
          </cell>
          <cell r="I87" t="str">
            <v>Roberto Arnes</v>
          </cell>
          <cell r="J87">
            <v>5612</v>
          </cell>
          <cell r="K87" t="str">
            <v>Roberto Arnes</v>
          </cell>
          <cell r="L87">
            <v>5612</v>
          </cell>
          <cell r="M87">
            <v>0</v>
          </cell>
          <cell r="N87">
            <v>1</v>
          </cell>
          <cell r="O87">
            <v>0</v>
          </cell>
          <cell r="P87">
            <v>35886</v>
          </cell>
          <cell r="Q87">
            <v>36038</v>
          </cell>
          <cell r="R87">
            <v>36037</v>
          </cell>
          <cell r="S87">
            <v>41.2</v>
          </cell>
          <cell r="T87">
            <v>43.6</v>
          </cell>
          <cell r="U87">
            <v>43.6</v>
          </cell>
          <cell r="V87">
            <v>43.6</v>
          </cell>
          <cell r="W87">
            <v>0</v>
          </cell>
          <cell r="X87">
            <v>0</v>
          </cell>
          <cell r="Y87">
            <v>0</v>
          </cell>
          <cell r="Z87">
            <v>0</v>
          </cell>
          <cell r="AA87">
            <v>0</v>
          </cell>
          <cell r="AB87">
            <v>0</v>
          </cell>
          <cell r="AC87">
            <v>0</v>
          </cell>
        </row>
        <row r="88">
          <cell r="B88">
            <v>980605</v>
          </cell>
          <cell r="C88" t="str">
            <v>DIV</v>
          </cell>
          <cell r="D88" t="str">
            <v>EXT</v>
          </cell>
          <cell r="E88" t="str">
            <v>Emergencia Alcantarilla Km-28</v>
          </cell>
          <cell r="F88" t="str">
            <v>Pablo Fernandez</v>
          </cell>
          <cell r="G88">
            <v>5807</v>
          </cell>
          <cell r="H88" t="str">
            <v>B&amp;R</v>
          </cell>
          <cell r="I88" t="str">
            <v>Carlos G.</v>
          </cell>
          <cell r="J88" t="str">
            <v>5548</v>
          </cell>
          <cell r="K88" t="str">
            <v>Pedro Miquio</v>
          </cell>
          <cell r="L88">
            <v>5548</v>
          </cell>
          <cell r="M88">
            <v>5.62E-2</v>
          </cell>
          <cell r="O88">
            <v>0.94379999999999997</v>
          </cell>
          <cell r="P88">
            <v>36130</v>
          </cell>
          <cell r="Q88">
            <v>36130</v>
          </cell>
          <cell r="R88">
            <v>36160</v>
          </cell>
          <cell r="S88">
            <v>532.4</v>
          </cell>
          <cell r="T88">
            <v>479</v>
          </cell>
          <cell r="U88">
            <v>479</v>
          </cell>
          <cell r="V88">
            <v>479</v>
          </cell>
          <cell r="W88">
            <v>0</v>
          </cell>
          <cell r="X88">
            <v>0</v>
          </cell>
          <cell r="Y88">
            <v>0</v>
          </cell>
          <cell r="Z88">
            <v>0</v>
          </cell>
          <cell r="AA88">
            <v>0</v>
          </cell>
          <cell r="AB88">
            <v>0</v>
          </cell>
          <cell r="AC88">
            <v>0</v>
          </cell>
        </row>
        <row r="89">
          <cell r="B89">
            <v>980808</v>
          </cell>
          <cell r="C89" t="str">
            <v>DIV</v>
          </cell>
          <cell r="D89" t="str">
            <v>DIV</v>
          </cell>
          <cell r="E89" t="str">
            <v>Pozo Ciego Contención Derrames P.A.S.</v>
          </cell>
          <cell r="F89" t="str">
            <v>Carlos Gomez</v>
          </cell>
          <cell r="G89">
            <v>5886</v>
          </cell>
          <cell r="H89" t="str">
            <v>Ingendesa</v>
          </cell>
          <cell r="I89" t="str">
            <v>Roberto Arnes</v>
          </cell>
          <cell r="J89">
            <v>5612</v>
          </cell>
          <cell r="K89" t="str">
            <v>Rodrigo Yañez</v>
          </cell>
          <cell r="L89">
            <v>5612</v>
          </cell>
          <cell r="M89">
            <v>0</v>
          </cell>
          <cell r="N89">
            <v>0.1</v>
          </cell>
          <cell r="O89">
            <v>0.9</v>
          </cell>
          <cell r="P89">
            <v>36100</v>
          </cell>
          <cell r="Q89">
            <v>36250</v>
          </cell>
          <cell r="R89">
            <v>36372</v>
          </cell>
          <cell r="S89">
            <v>234</v>
          </cell>
          <cell r="T89">
            <v>254.6</v>
          </cell>
          <cell r="U89">
            <v>254.6</v>
          </cell>
          <cell r="V89">
            <v>254.6</v>
          </cell>
          <cell r="W89">
            <v>0</v>
          </cell>
          <cell r="X89">
            <v>0</v>
          </cell>
          <cell r="Y89">
            <v>0</v>
          </cell>
          <cell r="Z89">
            <v>0</v>
          </cell>
          <cell r="AA89">
            <v>0</v>
          </cell>
          <cell r="AB89">
            <v>0</v>
          </cell>
          <cell r="AC89">
            <v>0</v>
          </cell>
        </row>
        <row r="90">
          <cell r="B90">
            <v>980809</v>
          </cell>
          <cell r="C90" t="str">
            <v>NOR</v>
          </cell>
          <cell r="D90" t="str">
            <v>PRI</v>
          </cell>
          <cell r="E90" t="str">
            <v>Obras de Emergencia Sequía Años 1998-1999</v>
          </cell>
          <cell r="F90" t="str">
            <v>Jorge Muñoz N.</v>
          </cell>
          <cell r="G90">
            <v>5447</v>
          </cell>
          <cell r="H90" t="str">
            <v>B&amp;R</v>
          </cell>
          <cell r="I90" t="str">
            <v>Carlos G.</v>
          </cell>
          <cell r="J90" t="str">
            <v>5548</v>
          </cell>
          <cell r="N90">
            <v>0.18329999999999999</v>
          </cell>
          <cell r="O90">
            <v>0.81669999999999998</v>
          </cell>
          <cell r="P90">
            <v>35796</v>
          </cell>
          <cell r="Q90">
            <v>36373</v>
          </cell>
          <cell r="R90">
            <v>36647</v>
          </cell>
          <cell r="S90">
            <v>2021.6</v>
          </cell>
          <cell r="T90">
            <v>2164</v>
          </cell>
          <cell r="U90">
            <v>2164</v>
          </cell>
          <cell r="V90">
            <v>2164</v>
          </cell>
          <cell r="W90">
            <v>0</v>
          </cell>
          <cell r="X90">
            <v>0</v>
          </cell>
          <cell r="Y90">
            <v>0</v>
          </cell>
          <cell r="Z90">
            <v>0</v>
          </cell>
          <cell r="AA90">
            <v>0</v>
          </cell>
          <cell r="AB90">
            <v>0</v>
          </cell>
          <cell r="AC90">
            <v>0</v>
          </cell>
        </row>
        <row r="91">
          <cell r="B91">
            <v>981001</v>
          </cell>
          <cell r="C91" t="str">
            <v>NOR</v>
          </cell>
          <cell r="D91" t="str">
            <v>PRI</v>
          </cell>
          <cell r="E91" t="str">
            <v>Adquisición Camiones de 50 Ton. Mina Subterránea 1998</v>
          </cell>
          <cell r="F91" t="str">
            <v>Robert Mayne - Nichols</v>
          </cell>
          <cell r="G91">
            <v>5035</v>
          </cell>
          <cell r="H91" t="str">
            <v>Ingendesa</v>
          </cell>
          <cell r="I91" t="str">
            <v>Jose Luis Silva</v>
          </cell>
          <cell r="J91">
            <v>5137</v>
          </cell>
          <cell r="K91" t="str">
            <v>Carlos Rivera</v>
          </cell>
          <cell r="L91" t="str">
            <v>5570-71</v>
          </cell>
          <cell r="N91">
            <v>1</v>
          </cell>
          <cell r="P91">
            <v>35796</v>
          </cell>
          <cell r="Q91">
            <v>36160</v>
          </cell>
          <cell r="R91">
            <v>36159</v>
          </cell>
          <cell r="S91">
            <v>2465</v>
          </cell>
          <cell r="T91">
            <v>2128</v>
          </cell>
          <cell r="U91">
            <v>2128</v>
          </cell>
          <cell r="V91">
            <v>2128</v>
          </cell>
          <cell r="W91">
            <v>0</v>
          </cell>
          <cell r="X91">
            <v>0</v>
          </cell>
          <cell r="Y91">
            <v>0</v>
          </cell>
          <cell r="Z91">
            <v>0</v>
          </cell>
          <cell r="AA91">
            <v>0</v>
          </cell>
          <cell r="AB91">
            <v>0</v>
          </cell>
          <cell r="AC91">
            <v>0</v>
          </cell>
        </row>
        <row r="92">
          <cell r="B92">
            <v>981003</v>
          </cell>
          <cell r="C92" t="str">
            <v>NOR</v>
          </cell>
          <cell r="D92" t="str">
            <v>OTR</v>
          </cell>
          <cell r="E92" t="str">
            <v>Reemplazo Jumbo S.L.H.D.W. Jump 116 M Mina Subt.</v>
          </cell>
          <cell r="F92" t="str">
            <v>Robert Mayne - Nichols</v>
          </cell>
          <cell r="G92">
            <v>5035</v>
          </cell>
          <cell r="H92" t="str">
            <v>Ingendesa</v>
          </cell>
          <cell r="I92" t="str">
            <v>Jose Luis Silva</v>
          </cell>
          <cell r="J92">
            <v>5137</v>
          </cell>
          <cell r="K92" t="str">
            <v>Carlos Rivera</v>
          </cell>
          <cell r="L92" t="str">
            <v>5570-71</v>
          </cell>
          <cell r="N92">
            <v>1</v>
          </cell>
          <cell r="P92">
            <v>35796</v>
          </cell>
          <cell r="Q92">
            <v>36038</v>
          </cell>
          <cell r="R92">
            <v>35946</v>
          </cell>
          <cell r="S92">
            <v>439</v>
          </cell>
          <cell r="T92">
            <v>15</v>
          </cell>
          <cell r="U92">
            <v>15</v>
          </cell>
          <cell r="V92">
            <v>15</v>
          </cell>
          <cell r="W92">
            <v>0</v>
          </cell>
          <cell r="X92">
            <v>0</v>
          </cell>
          <cell r="Y92">
            <v>0</v>
          </cell>
          <cell r="Z92">
            <v>0</v>
          </cell>
          <cell r="AA92">
            <v>0</v>
          </cell>
          <cell r="AB92">
            <v>0</v>
          </cell>
          <cell r="AC92">
            <v>0</v>
          </cell>
        </row>
        <row r="93">
          <cell r="B93">
            <v>981004</v>
          </cell>
          <cell r="C93" t="str">
            <v>NOR</v>
          </cell>
          <cell r="D93" t="str">
            <v>OTR</v>
          </cell>
          <cell r="E93" t="str">
            <v xml:space="preserve">Automatización Control Sistema de Ventilación </v>
          </cell>
          <cell r="F93" t="str">
            <v>Carlos Orellana</v>
          </cell>
          <cell r="G93">
            <v>5044</v>
          </cell>
          <cell r="H93" t="str">
            <v>Ingendesa</v>
          </cell>
          <cell r="I93" t="str">
            <v>Jose Luis Silva</v>
          </cell>
          <cell r="J93">
            <v>5137</v>
          </cell>
          <cell r="K93" t="str">
            <v>Carlos Rivera</v>
          </cell>
          <cell r="L93">
            <v>5137</v>
          </cell>
          <cell r="M93">
            <v>0.05</v>
          </cell>
          <cell r="N93">
            <v>0.2</v>
          </cell>
          <cell r="O93">
            <v>0.75</v>
          </cell>
          <cell r="P93">
            <v>35796</v>
          </cell>
          <cell r="Q93">
            <v>36160</v>
          </cell>
          <cell r="R93">
            <v>36524</v>
          </cell>
          <cell r="S93">
            <v>1158</v>
          </cell>
          <cell r="T93">
            <v>781</v>
          </cell>
          <cell r="U93">
            <v>781</v>
          </cell>
          <cell r="V93">
            <v>781</v>
          </cell>
          <cell r="W93">
            <v>0</v>
          </cell>
          <cell r="X93">
            <v>0</v>
          </cell>
          <cell r="Y93">
            <v>0</v>
          </cell>
          <cell r="Z93">
            <v>0</v>
          </cell>
          <cell r="AA93">
            <v>0</v>
          </cell>
          <cell r="AB93">
            <v>0</v>
          </cell>
          <cell r="AC93">
            <v>0</v>
          </cell>
        </row>
        <row r="94">
          <cell r="B94">
            <v>981005</v>
          </cell>
          <cell r="C94" t="str">
            <v>NOR</v>
          </cell>
          <cell r="D94" t="str">
            <v>OTR</v>
          </cell>
          <cell r="E94" t="str">
            <v>Reemplazo Cargadores L.H.D. de Desarrollo Mina Subt.</v>
          </cell>
          <cell r="F94" t="str">
            <v>Robert Mayne - Nichols</v>
          </cell>
          <cell r="G94">
            <v>5035</v>
          </cell>
          <cell r="H94" t="str">
            <v>Ingendesa</v>
          </cell>
          <cell r="I94" t="str">
            <v>Jose Luis Silva</v>
          </cell>
          <cell r="J94">
            <v>5137</v>
          </cell>
          <cell r="K94" t="str">
            <v>Carlos Rivera</v>
          </cell>
          <cell r="L94" t="str">
            <v>5570-71</v>
          </cell>
          <cell r="M94">
            <v>0</v>
          </cell>
          <cell r="N94">
            <v>1</v>
          </cell>
          <cell r="O94">
            <v>0</v>
          </cell>
          <cell r="P94">
            <v>35796</v>
          </cell>
          <cell r="Q94">
            <v>36007</v>
          </cell>
          <cell r="R94">
            <v>36098</v>
          </cell>
          <cell r="S94">
            <v>945</v>
          </cell>
          <cell r="T94">
            <v>786</v>
          </cell>
          <cell r="U94">
            <v>786</v>
          </cell>
          <cell r="V94">
            <v>786</v>
          </cell>
          <cell r="W94">
            <v>0</v>
          </cell>
          <cell r="X94">
            <v>0</v>
          </cell>
          <cell r="Y94">
            <v>0</v>
          </cell>
          <cell r="Z94">
            <v>0</v>
          </cell>
          <cell r="AA94">
            <v>0</v>
          </cell>
          <cell r="AB94">
            <v>0</v>
          </cell>
          <cell r="AC94">
            <v>0</v>
          </cell>
        </row>
        <row r="95">
          <cell r="B95">
            <v>981006</v>
          </cell>
          <cell r="C95" t="str">
            <v>NOR</v>
          </cell>
          <cell r="D95" t="str">
            <v>OTR</v>
          </cell>
          <cell r="E95" t="str">
            <v>Racionalización Red de Aire Comprimido Mina Subt.</v>
          </cell>
          <cell r="F95" t="str">
            <v>Robert Mayne - Nichols</v>
          </cell>
          <cell r="G95">
            <v>5035</v>
          </cell>
          <cell r="H95" t="str">
            <v>Ingendesa</v>
          </cell>
          <cell r="I95" t="str">
            <v>Jose Luis Silva</v>
          </cell>
          <cell r="J95">
            <v>5137</v>
          </cell>
          <cell r="K95" t="str">
            <v>Carlos Rivera</v>
          </cell>
          <cell r="L95" t="str">
            <v>5570-71</v>
          </cell>
          <cell r="N95">
            <v>1</v>
          </cell>
          <cell r="P95">
            <v>35796</v>
          </cell>
          <cell r="Q95">
            <v>36160</v>
          </cell>
          <cell r="R95">
            <v>36160</v>
          </cell>
          <cell r="S95">
            <v>861</v>
          </cell>
          <cell r="T95">
            <v>877</v>
          </cell>
          <cell r="U95">
            <v>877</v>
          </cell>
          <cell r="V95">
            <v>877</v>
          </cell>
          <cell r="W95">
            <v>0</v>
          </cell>
          <cell r="X95">
            <v>0</v>
          </cell>
          <cell r="Y95">
            <v>0</v>
          </cell>
          <cell r="Z95">
            <v>0</v>
          </cell>
          <cell r="AA95">
            <v>0</v>
          </cell>
          <cell r="AB95">
            <v>0</v>
          </cell>
          <cell r="AC95">
            <v>0</v>
          </cell>
        </row>
        <row r="96">
          <cell r="B96">
            <v>981007</v>
          </cell>
          <cell r="C96" t="str">
            <v>NOR</v>
          </cell>
          <cell r="D96" t="str">
            <v>PRI</v>
          </cell>
          <cell r="E96" t="str">
            <v>Reemplazo Jumbos Frontales Mina Subterránea</v>
          </cell>
          <cell r="F96" t="str">
            <v>Robert Mayne - Nichols</v>
          </cell>
          <cell r="G96">
            <v>5035</v>
          </cell>
          <cell r="H96" t="str">
            <v>Ingendesa</v>
          </cell>
          <cell r="I96" t="str">
            <v>Jose Luis Silva</v>
          </cell>
          <cell r="J96">
            <v>5137</v>
          </cell>
          <cell r="K96" t="str">
            <v>Carlos Rivera</v>
          </cell>
          <cell r="L96" t="str">
            <v>5570-71</v>
          </cell>
          <cell r="N96">
            <v>1</v>
          </cell>
          <cell r="P96">
            <v>35796</v>
          </cell>
          <cell r="Q96">
            <v>36038</v>
          </cell>
          <cell r="R96">
            <v>36006</v>
          </cell>
          <cell r="S96">
            <v>1083</v>
          </cell>
          <cell r="T96">
            <v>843</v>
          </cell>
          <cell r="U96">
            <v>843</v>
          </cell>
          <cell r="V96">
            <v>843</v>
          </cell>
          <cell r="W96">
            <v>0</v>
          </cell>
          <cell r="X96">
            <v>0</v>
          </cell>
          <cell r="Y96">
            <v>0</v>
          </cell>
          <cell r="Z96">
            <v>0</v>
          </cell>
          <cell r="AA96">
            <v>0</v>
          </cell>
          <cell r="AB96">
            <v>0</v>
          </cell>
          <cell r="AC96">
            <v>0</v>
          </cell>
        </row>
        <row r="97">
          <cell r="B97">
            <v>981012</v>
          </cell>
          <cell r="C97" t="str">
            <v>NOR</v>
          </cell>
          <cell r="D97" t="str">
            <v>PRI</v>
          </cell>
          <cell r="E97" t="str">
            <v>Adquisición LHD 7 yd3 Mina Subterránea 1998</v>
          </cell>
          <cell r="F97" t="str">
            <v>Robert Mayne - Nichols</v>
          </cell>
          <cell r="G97">
            <v>5035</v>
          </cell>
          <cell r="H97" t="str">
            <v>Ingendesa</v>
          </cell>
          <cell r="I97" t="str">
            <v>Jose Luis Silva</v>
          </cell>
          <cell r="J97">
            <v>5137</v>
          </cell>
          <cell r="K97" t="str">
            <v>Carlos Rivera</v>
          </cell>
          <cell r="L97" t="str">
            <v>5570-71</v>
          </cell>
          <cell r="N97">
            <v>1</v>
          </cell>
          <cell r="P97">
            <v>35796</v>
          </cell>
          <cell r="Q97">
            <v>36160</v>
          </cell>
          <cell r="R97">
            <v>36099</v>
          </cell>
          <cell r="S97">
            <v>1534</v>
          </cell>
          <cell r="T97">
            <v>1217</v>
          </cell>
          <cell r="U97">
            <v>1217</v>
          </cell>
          <cell r="V97">
            <v>1217</v>
          </cell>
          <cell r="W97">
            <v>0</v>
          </cell>
          <cell r="X97">
            <v>0</v>
          </cell>
          <cell r="Y97">
            <v>0</v>
          </cell>
          <cell r="Z97">
            <v>0</v>
          </cell>
          <cell r="AA97">
            <v>0</v>
          </cell>
          <cell r="AB97">
            <v>0</v>
          </cell>
          <cell r="AC97">
            <v>0</v>
          </cell>
        </row>
        <row r="98">
          <cell r="B98">
            <v>981013</v>
          </cell>
          <cell r="C98" t="str">
            <v>NOR</v>
          </cell>
          <cell r="D98" t="str">
            <v>OTR</v>
          </cell>
          <cell r="E98" t="str">
            <v xml:space="preserve">Reemplazo Martillo Picador Móvil Mina Subterránea </v>
          </cell>
          <cell r="F98" t="str">
            <v>Robert Mayne - Nichols</v>
          </cell>
          <cell r="G98">
            <v>5035</v>
          </cell>
          <cell r="H98" t="str">
            <v>Ingendesa</v>
          </cell>
          <cell r="I98" t="str">
            <v>Jose Luis Silva</v>
          </cell>
          <cell r="J98">
            <v>5137</v>
          </cell>
          <cell r="K98" t="str">
            <v>Carlos Rivera</v>
          </cell>
          <cell r="L98" t="str">
            <v>5570-71</v>
          </cell>
          <cell r="N98">
            <v>1</v>
          </cell>
          <cell r="P98">
            <v>35796</v>
          </cell>
          <cell r="Q98">
            <v>36038</v>
          </cell>
          <cell r="R98">
            <v>36159</v>
          </cell>
          <cell r="S98">
            <v>420</v>
          </cell>
          <cell r="T98">
            <v>272</v>
          </cell>
          <cell r="U98">
            <v>272</v>
          </cell>
          <cell r="V98">
            <v>272</v>
          </cell>
          <cell r="W98">
            <v>0</v>
          </cell>
          <cell r="X98">
            <v>0</v>
          </cell>
          <cell r="Y98">
            <v>0</v>
          </cell>
          <cell r="Z98">
            <v>0</v>
          </cell>
          <cell r="AA98">
            <v>0</v>
          </cell>
          <cell r="AB98">
            <v>0</v>
          </cell>
          <cell r="AC98">
            <v>0</v>
          </cell>
        </row>
        <row r="99">
          <cell r="B99" t="str">
            <v>940103-2</v>
          </cell>
          <cell r="C99" t="str">
            <v>NOR</v>
          </cell>
          <cell r="D99" t="str">
            <v>PRI</v>
          </cell>
          <cell r="E99" t="str">
            <v xml:space="preserve">Linea AT 220 KV - S/E SAG </v>
          </cell>
          <cell r="F99" t="str">
            <v xml:space="preserve">Gerhard Von Borries </v>
          </cell>
          <cell r="G99" t="str">
            <v>5015</v>
          </cell>
          <cell r="H99" t="str">
            <v>Andina</v>
          </cell>
          <cell r="I99" t="str">
            <v>Jose Valenzuela</v>
          </cell>
          <cell r="J99">
            <v>5806</v>
          </cell>
          <cell r="K99" t="str">
            <v>Alonso Rojas</v>
          </cell>
          <cell r="L99">
            <v>5018</v>
          </cell>
          <cell r="M99">
            <v>3.4099999999999998E-2</v>
          </cell>
          <cell r="N99">
            <v>0.16889999999999999</v>
          </cell>
          <cell r="O99">
            <v>0.79700000000000004</v>
          </cell>
          <cell r="P99">
            <v>35704</v>
          </cell>
          <cell r="Q99">
            <v>35704</v>
          </cell>
          <cell r="R99">
            <v>36099</v>
          </cell>
          <cell r="S99">
            <v>20401</v>
          </cell>
          <cell r="T99">
            <v>33791</v>
          </cell>
          <cell r="U99">
            <v>33791</v>
          </cell>
          <cell r="V99">
            <v>33791</v>
          </cell>
          <cell r="W99">
            <v>0</v>
          </cell>
          <cell r="X99">
            <v>0</v>
          </cell>
          <cell r="Y99">
            <v>0</v>
          </cell>
          <cell r="Z99">
            <v>0</v>
          </cell>
          <cell r="AA99">
            <v>0</v>
          </cell>
          <cell r="AB99">
            <v>0</v>
          </cell>
          <cell r="AC99">
            <v>0</v>
          </cell>
        </row>
        <row r="100">
          <cell r="B100" t="str">
            <v>981002-1</v>
          </cell>
          <cell r="C100" t="str">
            <v>NOR</v>
          </cell>
          <cell r="D100" t="str">
            <v>OTR</v>
          </cell>
          <cell r="E100" t="str">
            <v>Implementación Sistema Automático de Control de Producción</v>
          </cell>
          <cell r="F100" t="str">
            <v>Robert Mayne - Nichols</v>
          </cell>
          <cell r="G100">
            <v>5035</v>
          </cell>
          <cell r="H100" t="str">
            <v>Ingendesa</v>
          </cell>
          <cell r="I100" t="str">
            <v>Jose Luis Silva</v>
          </cell>
          <cell r="J100">
            <v>5137</v>
          </cell>
          <cell r="K100" t="str">
            <v>Carlos Rivera</v>
          </cell>
          <cell r="L100">
            <v>5570</v>
          </cell>
          <cell r="M100">
            <v>4.8000000000000001E-2</v>
          </cell>
          <cell r="N100">
            <v>0.76700000000000002</v>
          </cell>
          <cell r="O100">
            <v>0.185</v>
          </cell>
          <cell r="P100">
            <v>35796</v>
          </cell>
          <cell r="Q100">
            <v>36525</v>
          </cell>
          <cell r="R100">
            <v>36525</v>
          </cell>
          <cell r="S100">
            <v>799</v>
          </cell>
          <cell r="T100">
            <v>535</v>
          </cell>
          <cell r="U100">
            <v>535</v>
          </cell>
          <cell r="V100">
            <v>535</v>
          </cell>
          <cell r="W100">
            <v>0</v>
          </cell>
          <cell r="X100">
            <v>0</v>
          </cell>
          <cell r="Y100">
            <v>0</v>
          </cell>
          <cell r="Z100">
            <v>0</v>
          </cell>
          <cell r="AA100">
            <v>0</v>
          </cell>
          <cell r="AB100">
            <v>0</v>
          </cell>
          <cell r="AC100">
            <v>0</v>
          </cell>
        </row>
        <row r="101">
          <cell r="B101" t="str">
            <v>981501-1</v>
          </cell>
          <cell r="C101" t="str">
            <v>NOR</v>
          </cell>
          <cell r="D101" t="str">
            <v>PRI</v>
          </cell>
          <cell r="E101" t="str">
            <v xml:space="preserve">Exploración Sector Don Luis </v>
          </cell>
          <cell r="F101" t="str">
            <v>Celso Aguilar</v>
          </cell>
          <cell r="G101">
            <v>5581</v>
          </cell>
          <cell r="H101" t="str">
            <v>Ingendesa</v>
          </cell>
          <cell r="I101" t="str">
            <v>Roberto Arnes</v>
          </cell>
          <cell r="J101">
            <v>5612</v>
          </cell>
          <cell r="K101" t="str">
            <v>Rodrigo Yañez</v>
          </cell>
          <cell r="L101">
            <v>5612</v>
          </cell>
          <cell r="M101">
            <v>0</v>
          </cell>
          <cell r="N101">
            <v>3.5999999999999997E-2</v>
          </cell>
          <cell r="O101">
            <v>0.96399999999999997</v>
          </cell>
          <cell r="P101">
            <v>35855</v>
          </cell>
          <cell r="Q101">
            <v>36891</v>
          </cell>
          <cell r="R101">
            <v>36891</v>
          </cell>
          <cell r="S101">
            <v>3351.5</v>
          </cell>
          <cell r="T101">
            <v>3251</v>
          </cell>
          <cell r="U101">
            <v>3251</v>
          </cell>
          <cell r="V101">
            <v>3251</v>
          </cell>
          <cell r="W101">
            <v>0</v>
          </cell>
          <cell r="X101">
            <v>0</v>
          </cell>
          <cell r="Y101">
            <v>0</v>
          </cell>
          <cell r="Z101">
            <v>0</v>
          </cell>
          <cell r="AA101">
            <v>0</v>
          </cell>
          <cell r="AB101">
            <v>0</v>
          </cell>
          <cell r="AC101">
            <v>0</v>
          </cell>
        </row>
        <row r="102">
          <cell r="B102" t="str">
            <v>981501-2</v>
          </cell>
          <cell r="C102" t="str">
            <v>NOR</v>
          </cell>
          <cell r="D102" t="str">
            <v>PRI</v>
          </cell>
          <cell r="E102" t="str">
            <v>Exploración Cuerpos de Alta Ley</v>
          </cell>
          <cell r="F102" t="str">
            <v>Celso Aguilar</v>
          </cell>
          <cell r="G102">
            <v>5581</v>
          </cell>
          <cell r="H102" t="str">
            <v>Ingendesa</v>
          </cell>
          <cell r="I102" t="str">
            <v>Roberto Arnes</v>
          </cell>
          <cell r="J102">
            <v>5612</v>
          </cell>
          <cell r="K102" t="str">
            <v>Rodrigo Yañez</v>
          </cell>
          <cell r="L102">
            <v>5612</v>
          </cell>
          <cell r="M102">
            <v>0</v>
          </cell>
          <cell r="N102">
            <v>3.5999999999999997E-2</v>
          </cell>
          <cell r="O102">
            <v>0.96399999999999997</v>
          </cell>
          <cell r="P102">
            <v>35977</v>
          </cell>
          <cell r="Q102">
            <v>36525</v>
          </cell>
          <cell r="R102">
            <v>36525</v>
          </cell>
          <cell r="S102">
            <v>947</v>
          </cell>
          <cell r="T102">
            <v>791</v>
          </cell>
          <cell r="U102">
            <v>791</v>
          </cell>
          <cell r="V102">
            <v>791</v>
          </cell>
          <cell r="W102">
            <v>0</v>
          </cell>
          <cell r="X102">
            <v>0</v>
          </cell>
          <cell r="Y102">
            <v>0</v>
          </cell>
          <cell r="Z102">
            <v>0</v>
          </cell>
          <cell r="AA102">
            <v>0</v>
          </cell>
          <cell r="AB102">
            <v>0</v>
          </cell>
          <cell r="AC102">
            <v>0</v>
          </cell>
        </row>
        <row r="103">
          <cell r="B103" t="str">
            <v>A99M302</v>
          </cell>
          <cell r="C103" t="str">
            <v>DIV</v>
          </cell>
          <cell r="D103" t="str">
            <v>DIV</v>
          </cell>
          <cell r="E103" t="str">
            <v>Mecanización Carguio Polvorazo M.S.</v>
          </cell>
          <cell r="F103" t="str">
            <v>Robert Mayne - Nichols</v>
          </cell>
          <cell r="G103">
            <v>5035</v>
          </cell>
          <cell r="H103" t="str">
            <v>Ingendesa</v>
          </cell>
          <cell r="I103" t="str">
            <v>Jaime Alamos</v>
          </cell>
          <cell r="J103">
            <v>5137</v>
          </cell>
          <cell r="K103" t="str">
            <v>Carlos Rivera</v>
          </cell>
          <cell r="L103" t="str">
            <v>5570-71</v>
          </cell>
          <cell r="N103">
            <v>1</v>
          </cell>
          <cell r="P103">
            <v>36161</v>
          </cell>
          <cell r="Q103">
            <v>36312</v>
          </cell>
          <cell r="R103">
            <v>36312</v>
          </cell>
          <cell r="S103">
            <v>232</v>
          </cell>
          <cell r="T103">
            <v>197</v>
          </cell>
          <cell r="U103">
            <v>197</v>
          </cell>
          <cell r="V103">
            <v>197</v>
          </cell>
          <cell r="W103">
            <v>0</v>
          </cell>
          <cell r="X103">
            <v>0</v>
          </cell>
          <cell r="Y103">
            <v>0</v>
          </cell>
          <cell r="Z103">
            <v>0</v>
          </cell>
          <cell r="AA103">
            <v>0</v>
          </cell>
          <cell r="AB103">
            <v>0</v>
          </cell>
          <cell r="AC103">
            <v>0</v>
          </cell>
        </row>
        <row r="104">
          <cell r="B104" t="str">
            <v>A99M304</v>
          </cell>
          <cell r="C104" t="str">
            <v>DIV</v>
          </cell>
          <cell r="D104" t="str">
            <v>DIV</v>
          </cell>
          <cell r="E104" t="str">
            <v>Sistema Control Aut. Adición Nash</v>
          </cell>
          <cell r="F104" t="str">
            <v>Luis Espinoza Araya</v>
          </cell>
          <cell r="G104">
            <v>5835</v>
          </cell>
          <cell r="H104" t="str">
            <v>Ingendesa</v>
          </cell>
          <cell r="I104" t="str">
            <v>Fernando Arancibia</v>
          </cell>
          <cell r="J104">
            <v>5013</v>
          </cell>
          <cell r="M104">
            <v>0.13800000000000001</v>
          </cell>
          <cell r="N104">
            <v>0.63800000000000001</v>
          </cell>
          <cell r="O104">
            <v>0.224</v>
          </cell>
          <cell r="P104">
            <v>36373</v>
          </cell>
          <cell r="Q104">
            <v>36526</v>
          </cell>
          <cell r="R104">
            <v>36557</v>
          </cell>
          <cell r="S104">
            <v>75</v>
          </cell>
          <cell r="T104">
            <v>72</v>
          </cell>
          <cell r="U104">
            <v>72</v>
          </cell>
          <cell r="V104">
            <v>72</v>
          </cell>
          <cell r="W104">
            <v>0</v>
          </cell>
          <cell r="X104">
            <v>0</v>
          </cell>
          <cell r="Y104">
            <v>0</v>
          </cell>
          <cell r="Z104">
            <v>0</v>
          </cell>
          <cell r="AA104">
            <v>0</v>
          </cell>
          <cell r="AB104">
            <v>0</v>
          </cell>
          <cell r="AC104">
            <v>0</v>
          </cell>
        </row>
        <row r="105">
          <cell r="B105" t="str">
            <v>A99M305</v>
          </cell>
          <cell r="C105" t="str">
            <v>DIV</v>
          </cell>
          <cell r="D105" t="str">
            <v>DIV</v>
          </cell>
          <cell r="E105" t="str">
            <v>Implementación Sistema Ctrl en Línea Morrenas</v>
          </cell>
          <cell r="F105" t="str">
            <v>Reinaldo Apablaza</v>
          </cell>
          <cell r="G105">
            <v>5043</v>
          </cell>
          <cell r="I105" t="str">
            <v>Carlos Rivera</v>
          </cell>
          <cell r="J105">
            <v>5470</v>
          </cell>
          <cell r="M105">
            <v>4.5400000000000003E-2</v>
          </cell>
          <cell r="N105">
            <v>0.84</v>
          </cell>
          <cell r="O105">
            <v>0.11459999999999999</v>
          </cell>
          <cell r="P105">
            <v>36404</v>
          </cell>
          <cell r="Q105">
            <v>36556</v>
          </cell>
          <cell r="R105">
            <v>36617</v>
          </cell>
          <cell r="S105">
            <v>102</v>
          </cell>
          <cell r="T105">
            <v>92</v>
          </cell>
          <cell r="U105">
            <v>92</v>
          </cell>
          <cell r="V105">
            <v>92</v>
          </cell>
          <cell r="W105">
            <v>0</v>
          </cell>
          <cell r="X105">
            <v>0</v>
          </cell>
          <cell r="Y105">
            <v>0</v>
          </cell>
          <cell r="Z105">
            <v>0</v>
          </cell>
          <cell r="AA105">
            <v>0</v>
          </cell>
          <cell r="AB105">
            <v>0</v>
          </cell>
          <cell r="AC105">
            <v>0</v>
          </cell>
        </row>
        <row r="106">
          <cell r="B106" t="str">
            <v>A99M306</v>
          </cell>
          <cell r="C106" t="str">
            <v>DIV</v>
          </cell>
          <cell r="D106" t="str">
            <v>DIV</v>
          </cell>
          <cell r="E106" t="str">
            <v>Mejoramiento Sist. Bombeo y Recup. Derrames PAS</v>
          </cell>
          <cell r="F106" t="str">
            <v>Carlos Gomez</v>
          </cell>
          <cell r="G106">
            <v>5886</v>
          </cell>
          <cell r="I106" t="str">
            <v>Rodrigo Yañez</v>
          </cell>
          <cell r="J106">
            <v>5470</v>
          </cell>
          <cell r="N106">
            <v>0.55000000000000004</v>
          </cell>
          <cell r="O106">
            <v>0.45</v>
          </cell>
          <cell r="P106">
            <v>36465</v>
          </cell>
          <cell r="Q106">
            <v>36647</v>
          </cell>
          <cell r="R106">
            <v>36770</v>
          </cell>
          <cell r="S106">
            <v>106</v>
          </cell>
          <cell r="T106">
            <v>116</v>
          </cell>
          <cell r="U106">
            <v>116</v>
          </cell>
          <cell r="V106">
            <v>116</v>
          </cell>
          <cell r="W106">
            <v>0</v>
          </cell>
          <cell r="X106">
            <v>0</v>
          </cell>
          <cell r="Y106">
            <v>0</v>
          </cell>
          <cell r="Z106">
            <v>0</v>
          </cell>
          <cell r="AA106">
            <v>0</v>
          </cell>
          <cell r="AB106">
            <v>0</v>
          </cell>
          <cell r="AC106">
            <v>0</v>
          </cell>
        </row>
        <row r="107">
          <cell r="B107" t="str">
            <v>A99M401</v>
          </cell>
          <cell r="C107" t="str">
            <v>NOR</v>
          </cell>
          <cell r="D107" t="str">
            <v>PRI</v>
          </cell>
          <cell r="E107" t="str">
            <v>Adquisición Camiones 50 Ton Mina Subterránea 1999</v>
          </cell>
          <cell r="F107" t="str">
            <v>Robert Mayne - Nichols</v>
          </cell>
          <cell r="G107">
            <v>5035</v>
          </cell>
          <cell r="H107" t="str">
            <v>Ingendesa</v>
          </cell>
          <cell r="I107" t="str">
            <v>Jaime Alamos</v>
          </cell>
          <cell r="J107">
            <v>5047</v>
          </cell>
          <cell r="K107" t="str">
            <v>Carlos Rivera</v>
          </cell>
          <cell r="L107" t="str">
            <v>5570-71</v>
          </cell>
          <cell r="N107">
            <v>1</v>
          </cell>
          <cell r="P107">
            <v>36192</v>
          </cell>
          <cell r="Q107">
            <v>36342</v>
          </cell>
          <cell r="R107">
            <v>36373</v>
          </cell>
          <cell r="S107">
            <v>1521</v>
          </cell>
          <cell r="T107">
            <v>1352</v>
          </cell>
          <cell r="U107">
            <v>1352</v>
          </cell>
          <cell r="V107">
            <v>1352</v>
          </cell>
          <cell r="W107">
            <v>0</v>
          </cell>
          <cell r="X107">
            <v>0</v>
          </cell>
          <cell r="Y107">
            <v>0</v>
          </cell>
          <cell r="Z107">
            <v>0</v>
          </cell>
          <cell r="AA107">
            <v>0</v>
          </cell>
          <cell r="AB107">
            <v>0</v>
          </cell>
          <cell r="AC107">
            <v>0</v>
          </cell>
        </row>
        <row r="108">
          <cell r="B108" t="str">
            <v>A99M402</v>
          </cell>
          <cell r="C108" t="str">
            <v>NOR</v>
          </cell>
          <cell r="D108" t="str">
            <v>PRI</v>
          </cell>
          <cell r="E108" t="str">
            <v>Adquisición LHD 7 yd3 Mina Subterránea 1999</v>
          </cell>
          <cell r="F108" t="str">
            <v>Robert Mayne - Nichols</v>
          </cell>
          <cell r="G108">
            <v>5035</v>
          </cell>
          <cell r="H108" t="str">
            <v>Ingendesa</v>
          </cell>
          <cell r="I108" t="str">
            <v>Jaime Alamos</v>
          </cell>
          <cell r="J108">
            <v>5047</v>
          </cell>
          <cell r="K108" t="str">
            <v>Carlos Rivera</v>
          </cell>
          <cell r="L108" t="str">
            <v>5570-71</v>
          </cell>
          <cell r="M108">
            <v>0</v>
          </cell>
          <cell r="N108">
            <v>1</v>
          </cell>
          <cell r="O108">
            <v>0</v>
          </cell>
          <cell r="P108">
            <v>36192</v>
          </cell>
          <cell r="Q108">
            <v>36342</v>
          </cell>
          <cell r="R108">
            <v>36495</v>
          </cell>
          <cell r="S108">
            <v>1403</v>
          </cell>
          <cell r="T108">
            <v>1169</v>
          </cell>
          <cell r="U108">
            <v>1169</v>
          </cell>
          <cell r="V108">
            <v>1169</v>
          </cell>
          <cell r="W108">
            <v>0</v>
          </cell>
          <cell r="X108">
            <v>0</v>
          </cell>
          <cell r="Y108">
            <v>0</v>
          </cell>
          <cell r="Z108">
            <v>0</v>
          </cell>
          <cell r="AA108">
            <v>0</v>
          </cell>
          <cell r="AB108">
            <v>0</v>
          </cell>
          <cell r="AC108">
            <v>0</v>
          </cell>
        </row>
        <row r="109">
          <cell r="B109" t="str">
            <v>A99M403</v>
          </cell>
          <cell r="C109" t="str">
            <v>NOR</v>
          </cell>
          <cell r="D109" t="str">
            <v>OTR</v>
          </cell>
          <cell r="E109" t="str">
            <v>Adquisición Martillos Fijos Telecomandados</v>
          </cell>
          <cell r="F109" t="str">
            <v>Robert Mayne - Nichols</v>
          </cell>
          <cell r="G109">
            <v>5035</v>
          </cell>
          <cell r="H109" t="str">
            <v>Ingendesa</v>
          </cell>
          <cell r="I109" t="str">
            <v>Jaime Alamos</v>
          </cell>
          <cell r="J109">
            <v>5137</v>
          </cell>
          <cell r="K109" t="str">
            <v>Carlos Rivera</v>
          </cell>
          <cell r="L109" t="str">
            <v>5570-71</v>
          </cell>
          <cell r="N109">
            <v>1</v>
          </cell>
          <cell r="P109">
            <v>36244</v>
          </cell>
          <cell r="Q109">
            <v>36371</v>
          </cell>
          <cell r="R109">
            <v>36524</v>
          </cell>
          <cell r="S109">
            <v>620</v>
          </cell>
          <cell r="T109">
            <v>458</v>
          </cell>
          <cell r="U109">
            <v>458</v>
          </cell>
          <cell r="V109">
            <v>458</v>
          </cell>
          <cell r="W109">
            <v>0</v>
          </cell>
          <cell r="X109">
            <v>0</v>
          </cell>
          <cell r="Y109">
            <v>0</v>
          </cell>
          <cell r="Z109">
            <v>0</v>
          </cell>
          <cell r="AA109">
            <v>0</v>
          </cell>
          <cell r="AB109">
            <v>0</v>
          </cell>
          <cell r="AC109">
            <v>0</v>
          </cell>
        </row>
        <row r="110">
          <cell r="B110" t="str">
            <v>A99M406</v>
          </cell>
          <cell r="C110" t="str">
            <v>NOR</v>
          </cell>
          <cell r="D110" t="str">
            <v>OTR</v>
          </cell>
          <cell r="E110" t="str">
            <v>Mecanización Perforación Reducción Secundaria</v>
          </cell>
          <cell r="F110" t="str">
            <v>Robert Mayne - Nichols</v>
          </cell>
          <cell r="G110">
            <v>5035</v>
          </cell>
          <cell r="H110" t="str">
            <v>Ingendesa</v>
          </cell>
          <cell r="I110" t="str">
            <v>Jaime Alamos</v>
          </cell>
          <cell r="J110">
            <v>5137</v>
          </cell>
          <cell r="K110" t="str">
            <v>Carlos Rivera</v>
          </cell>
          <cell r="L110" t="str">
            <v>5570-71</v>
          </cell>
          <cell r="N110">
            <v>1</v>
          </cell>
          <cell r="P110">
            <v>36161</v>
          </cell>
          <cell r="Q110">
            <v>36192</v>
          </cell>
          <cell r="R110">
            <v>36312</v>
          </cell>
          <cell r="S110">
            <v>256</v>
          </cell>
          <cell r="T110">
            <v>181</v>
          </cell>
          <cell r="U110">
            <v>181</v>
          </cell>
          <cell r="V110">
            <v>181</v>
          </cell>
          <cell r="W110">
            <v>0</v>
          </cell>
          <cell r="X110">
            <v>0</v>
          </cell>
          <cell r="Y110">
            <v>0</v>
          </cell>
          <cell r="Z110">
            <v>0</v>
          </cell>
          <cell r="AA110">
            <v>0</v>
          </cell>
          <cell r="AB110">
            <v>0</v>
          </cell>
          <cell r="AC110">
            <v>0</v>
          </cell>
        </row>
      </sheetData>
      <sheetData sheetId="1" refreshError="1">
        <row r="6">
          <cell r="B6" t="str">
            <v>AD-930801</v>
          </cell>
          <cell r="C6" t="str">
            <v>930801-AD</v>
          </cell>
          <cell r="E6">
            <v>930801</v>
          </cell>
          <cell r="F6">
            <v>1999</v>
          </cell>
          <cell r="G6" t="str">
            <v>P</v>
          </cell>
          <cell r="H6" t="str">
            <v>AD</v>
          </cell>
          <cell r="U6">
            <v>100</v>
          </cell>
          <cell r="V6">
            <v>0</v>
          </cell>
          <cell r="W6">
            <v>0</v>
          </cell>
          <cell r="X6">
            <v>100</v>
          </cell>
          <cell r="Y6">
            <v>0</v>
          </cell>
          <cell r="Z6">
            <v>100</v>
          </cell>
        </row>
        <row r="7">
          <cell r="B7" t="str">
            <v>CO-930801</v>
          </cell>
          <cell r="C7" t="str">
            <v>930801-CO</v>
          </cell>
          <cell r="E7">
            <v>930801</v>
          </cell>
          <cell r="F7">
            <v>1999</v>
          </cell>
          <cell r="G7" t="str">
            <v>P</v>
          </cell>
          <cell r="H7" t="str">
            <v>CO</v>
          </cell>
          <cell r="U7">
            <v>100</v>
          </cell>
          <cell r="V7">
            <v>0</v>
          </cell>
          <cell r="W7">
            <v>0</v>
          </cell>
          <cell r="X7">
            <v>100</v>
          </cell>
          <cell r="Y7">
            <v>0</v>
          </cell>
          <cell r="Z7">
            <v>100</v>
          </cell>
        </row>
        <row r="8">
          <cell r="B8" t="str">
            <v>IN-930801</v>
          </cell>
          <cell r="C8" t="str">
            <v>930801-IN</v>
          </cell>
          <cell r="E8">
            <v>930801</v>
          </cell>
          <cell r="F8">
            <v>1999</v>
          </cell>
          <cell r="G8" t="str">
            <v>P</v>
          </cell>
          <cell r="H8" t="str">
            <v>IN</v>
          </cell>
          <cell r="U8">
            <v>100</v>
          </cell>
          <cell r="V8">
            <v>0</v>
          </cell>
          <cell r="W8">
            <v>0</v>
          </cell>
          <cell r="X8">
            <v>100</v>
          </cell>
          <cell r="Y8">
            <v>0</v>
          </cell>
          <cell r="Z8">
            <v>100</v>
          </cell>
        </row>
        <row r="9">
          <cell r="B9" t="str">
            <v>AD-940102</v>
          </cell>
          <cell r="C9" t="str">
            <v>940102-AD</v>
          </cell>
          <cell r="E9">
            <v>940102</v>
          </cell>
          <cell r="F9">
            <v>2000</v>
          </cell>
          <cell r="G9" t="str">
            <v>P</v>
          </cell>
          <cell r="H9" t="str">
            <v>AD</v>
          </cell>
          <cell r="U9">
            <v>100</v>
          </cell>
          <cell r="V9">
            <v>0</v>
          </cell>
          <cell r="W9">
            <v>0</v>
          </cell>
          <cell r="X9">
            <v>100</v>
          </cell>
          <cell r="Y9">
            <v>0</v>
          </cell>
          <cell r="Z9">
            <v>100</v>
          </cell>
        </row>
        <row r="10">
          <cell r="B10" t="str">
            <v>CO-940102</v>
          </cell>
          <cell r="C10" t="str">
            <v>940102-CO</v>
          </cell>
          <cell r="E10">
            <v>940102</v>
          </cell>
          <cell r="F10">
            <v>2000</v>
          </cell>
          <cell r="G10" t="str">
            <v>P</v>
          </cell>
          <cell r="H10" t="str">
            <v>CO</v>
          </cell>
          <cell r="U10">
            <v>100</v>
          </cell>
          <cell r="V10">
            <v>0</v>
          </cell>
          <cell r="W10">
            <v>0</v>
          </cell>
          <cell r="X10">
            <v>100</v>
          </cell>
          <cell r="Y10">
            <v>0</v>
          </cell>
          <cell r="Z10">
            <v>100</v>
          </cell>
        </row>
        <row r="11">
          <cell r="B11" t="str">
            <v>IN-940102</v>
          </cell>
          <cell r="C11" t="str">
            <v>940102-IN</v>
          </cell>
          <cell r="E11">
            <v>940102</v>
          </cell>
          <cell r="F11">
            <v>2000</v>
          </cell>
          <cell r="G11" t="str">
            <v>P</v>
          </cell>
          <cell r="H11" t="str">
            <v>IN</v>
          </cell>
          <cell r="U11">
            <v>100</v>
          </cell>
          <cell r="V11">
            <v>0</v>
          </cell>
          <cell r="W11">
            <v>0</v>
          </cell>
          <cell r="X11">
            <v>100</v>
          </cell>
          <cell r="Y11">
            <v>0</v>
          </cell>
          <cell r="Z11">
            <v>100</v>
          </cell>
        </row>
        <row r="12">
          <cell r="B12" t="str">
            <v>AD-940103</v>
          </cell>
          <cell r="C12" t="str">
            <v>940103-AD</v>
          </cell>
          <cell r="E12">
            <v>940103</v>
          </cell>
          <cell r="F12">
            <v>1999</v>
          </cell>
          <cell r="G12" t="str">
            <v>P</v>
          </cell>
          <cell r="H12" t="str">
            <v>AD</v>
          </cell>
          <cell r="U12">
            <v>100</v>
          </cell>
          <cell r="V12">
            <v>0</v>
          </cell>
          <cell r="W12">
            <v>0</v>
          </cell>
          <cell r="X12">
            <v>100</v>
          </cell>
          <cell r="Y12">
            <v>0</v>
          </cell>
          <cell r="Z12">
            <v>100</v>
          </cell>
        </row>
        <row r="13">
          <cell r="B13" t="str">
            <v>CO-940103</v>
          </cell>
          <cell r="C13" t="str">
            <v>940103-CO</v>
          </cell>
          <cell r="E13">
            <v>940103</v>
          </cell>
          <cell r="F13">
            <v>1999</v>
          </cell>
          <cell r="G13" t="str">
            <v>P</v>
          </cell>
          <cell r="H13" t="str">
            <v>CO</v>
          </cell>
          <cell r="U13">
            <v>100</v>
          </cell>
          <cell r="V13">
            <v>0</v>
          </cell>
          <cell r="W13">
            <v>0</v>
          </cell>
          <cell r="X13">
            <v>100</v>
          </cell>
          <cell r="Y13">
            <v>0</v>
          </cell>
          <cell r="Z13">
            <v>100</v>
          </cell>
        </row>
        <row r="14">
          <cell r="B14" t="str">
            <v>IN-940103</v>
          </cell>
          <cell r="C14" t="str">
            <v>940103-IN</v>
          </cell>
          <cell r="E14">
            <v>940103</v>
          </cell>
          <cell r="F14">
            <v>1999</v>
          </cell>
          <cell r="G14" t="str">
            <v>P</v>
          </cell>
          <cell r="H14" t="str">
            <v>IN</v>
          </cell>
          <cell r="U14">
            <v>100</v>
          </cell>
          <cell r="V14">
            <v>0</v>
          </cell>
          <cell r="W14">
            <v>0</v>
          </cell>
          <cell r="X14">
            <v>100</v>
          </cell>
          <cell r="Y14">
            <v>0</v>
          </cell>
          <cell r="Z14">
            <v>100</v>
          </cell>
        </row>
        <row r="15">
          <cell r="B15" t="str">
            <v>AD-950807</v>
          </cell>
          <cell r="C15" t="str">
            <v>950807-AD</v>
          </cell>
          <cell r="E15">
            <v>950807</v>
          </cell>
          <cell r="F15">
            <v>1999</v>
          </cell>
          <cell r="G15" t="str">
            <v>P</v>
          </cell>
          <cell r="H15" t="str">
            <v>AD</v>
          </cell>
          <cell r="U15">
            <v>100</v>
          </cell>
          <cell r="V15">
            <v>0</v>
          </cell>
          <cell r="W15">
            <v>0</v>
          </cell>
          <cell r="X15">
            <v>100</v>
          </cell>
          <cell r="Y15">
            <v>0</v>
          </cell>
          <cell r="Z15">
            <v>100</v>
          </cell>
        </row>
        <row r="16">
          <cell r="B16" t="str">
            <v>CO-950807</v>
          </cell>
          <cell r="C16" t="str">
            <v>950807-CO</v>
          </cell>
          <cell r="E16">
            <v>950807</v>
          </cell>
          <cell r="F16">
            <v>1999</v>
          </cell>
          <cell r="G16" t="str">
            <v>P</v>
          </cell>
          <cell r="H16" t="str">
            <v>CO</v>
          </cell>
          <cell r="U16">
            <v>100</v>
          </cell>
          <cell r="V16">
            <v>0</v>
          </cell>
          <cell r="W16">
            <v>0</v>
          </cell>
          <cell r="X16">
            <v>100</v>
          </cell>
          <cell r="Y16">
            <v>0</v>
          </cell>
          <cell r="Z16">
            <v>100</v>
          </cell>
        </row>
        <row r="17">
          <cell r="B17" t="str">
            <v>IN-950807</v>
          </cell>
          <cell r="C17" t="str">
            <v>950807-IN</v>
          </cell>
          <cell r="E17">
            <v>950807</v>
          </cell>
          <cell r="F17">
            <v>1999</v>
          </cell>
          <cell r="G17" t="str">
            <v>P</v>
          </cell>
          <cell r="H17" t="str">
            <v>IN</v>
          </cell>
          <cell r="U17">
            <v>100</v>
          </cell>
          <cell r="V17">
            <v>0</v>
          </cell>
          <cell r="W17">
            <v>0</v>
          </cell>
          <cell r="X17">
            <v>100</v>
          </cell>
          <cell r="Y17">
            <v>0</v>
          </cell>
          <cell r="Z17">
            <v>100</v>
          </cell>
        </row>
        <row r="18">
          <cell r="B18" t="str">
            <v>AD-961001</v>
          </cell>
          <cell r="C18" t="str">
            <v>961001-AD</v>
          </cell>
          <cell r="E18">
            <v>961001</v>
          </cell>
          <cell r="F18">
            <v>2000</v>
          </cell>
          <cell r="G18" t="str">
            <v>P</v>
          </cell>
          <cell r="H18" t="str">
            <v>AD</v>
          </cell>
          <cell r="U18">
            <v>100</v>
          </cell>
          <cell r="V18">
            <v>0</v>
          </cell>
          <cell r="W18">
            <v>0</v>
          </cell>
          <cell r="X18">
            <v>100</v>
          </cell>
          <cell r="Y18">
            <v>0</v>
          </cell>
          <cell r="Z18">
            <v>100</v>
          </cell>
        </row>
        <row r="19">
          <cell r="B19" t="str">
            <v>CO-961001</v>
          </cell>
          <cell r="C19" t="str">
            <v>961001-CO</v>
          </cell>
          <cell r="E19">
            <v>961001</v>
          </cell>
          <cell r="F19">
            <v>2000</v>
          </cell>
          <cell r="G19" t="str">
            <v>P</v>
          </cell>
          <cell r="H19" t="str">
            <v>CO</v>
          </cell>
          <cell r="U19">
            <v>100</v>
          </cell>
          <cell r="V19">
            <v>0</v>
          </cell>
          <cell r="W19">
            <v>0</v>
          </cell>
          <cell r="X19">
            <v>100</v>
          </cell>
          <cell r="Y19">
            <v>0</v>
          </cell>
          <cell r="Z19">
            <v>100</v>
          </cell>
        </row>
        <row r="20">
          <cell r="B20" t="str">
            <v>IN-961001</v>
          </cell>
          <cell r="C20" t="str">
            <v>961001-IN</v>
          </cell>
          <cell r="E20">
            <v>961001</v>
          </cell>
          <cell r="F20">
            <v>2000</v>
          </cell>
          <cell r="G20" t="str">
            <v>P</v>
          </cell>
          <cell r="H20" t="str">
            <v>IN</v>
          </cell>
          <cell r="U20">
            <v>100</v>
          </cell>
          <cell r="V20">
            <v>0</v>
          </cell>
          <cell r="W20">
            <v>0</v>
          </cell>
          <cell r="X20">
            <v>100</v>
          </cell>
          <cell r="Y20">
            <v>0</v>
          </cell>
          <cell r="Z20">
            <v>100</v>
          </cell>
        </row>
        <row r="21">
          <cell r="B21" t="str">
            <v>AD-970805</v>
          </cell>
          <cell r="C21" t="str">
            <v>970805-AD</v>
          </cell>
          <cell r="E21">
            <v>970805</v>
          </cell>
          <cell r="F21">
            <v>1999</v>
          </cell>
          <cell r="G21" t="str">
            <v>P</v>
          </cell>
          <cell r="H21" t="str">
            <v>AD</v>
          </cell>
          <cell r="U21">
            <v>100</v>
          </cell>
          <cell r="V21">
            <v>0</v>
          </cell>
          <cell r="W21">
            <v>0</v>
          </cell>
          <cell r="X21">
            <v>100</v>
          </cell>
          <cell r="Y21">
            <v>0</v>
          </cell>
          <cell r="Z21">
            <v>100</v>
          </cell>
        </row>
        <row r="22">
          <cell r="B22" t="str">
            <v>CO-970805</v>
          </cell>
          <cell r="C22" t="str">
            <v>970805-CO</v>
          </cell>
          <cell r="E22">
            <v>970805</v>
          </cell>
          <cell r="F22">
            <v>1999</v>
          </cell>
          <cell r="G22" t="str">
            <v>P</v>
          </cell>
          <cell r="H22" t="str">
            <v>CO</v>
          </cell>
          <cell r="U22">
            <v>100</v>
          </cell>
          <cell r="V22">
            <v>0</v>
          </cell>
          <cell r="W22">
            <v>0</v>
          </cell>
          <cell r="X22">
            <v>100</v>
          </cell>
          <cell r="Y22">
            <v>0</v>
          </cell>
          <cell r="Z22">
            <v>100</v>
          </cell>
        </row>
        <row r="23">
          <cell r="B23" t="str">
            <v>IN-970805</v>
          </cell>
          <cell r="C23" t="str">
            <v>970805-IN</v>
          </cell>
          <cell r="E23">
            <v>970805</v>
          </cell>
          <cell r="F23">
            <v>1999</v>
          </cell>
          <cell r="G23" t="str">
            <v>P</v>
          </cell>
          <cell r="H23" t="str">
            <v>IN</v>
          </cell>
          <cell r="U23">
            <v>100</v>
          </cell>
          <cell r="V23">
            <v>0</v>
          </cell>
          <cell r="W23">
            <v>0</v>
          </cell>
          <cell r="X23">
            <v>100</v>
          </cell>
          <cell r="Y23">
            <v>0</v>
          </cell>
          <cell r="Z23">
            <v>100</v>
          </cell>
        </row>
        <row r="24">
          <cell r="B24" t="str">
            <v>AD-980101</v>
          </cell>
          <cell r="C24" t="str">
            <v>980101-AD</v>
          </cell>
          <cell r="E24">
            <v>980101</v>
          </cell>
          <cell r="F24">
            <v>2000</v>
          </cell>
          <cell r="G24" t="str">
            <v>P</v>
          </cell>
          <cell r="H24" t="str">
            <v>AD</v>
          </cell>
          <cell r="U24">
            <v>100</v>
          </cell>
          <cell r="V24">
            <v>0</v>
          </cell>
          <cell r="W24">
            <v>0</v>
          </cell>
          <cell r="X24">
            <v>100</v>
          </cell>
          <cell r="Y24">
            <v>0</v>
          </cell>
          <cell r="Z24">
            <v>100</v>
          </cell>
        </row>
        <row r="25">
          <cell r="B25" t="str">
            <v>CO-980101</v>
          </cell>
          <cell r="C25" t="str">
            <v>980101-CO</v>
          </cell>
          <cell r="E25">
            <v>980101</v>
          </cell>
          <cell r="F25">
            <v>2000</v>
          </cell>
          <cell r="G25" t="str">
            <v>P</v>
          </cell>
          <cell r="H25" t="str">
            <v>CO</v>
          </cell>
          <cell r="U25">
            <v>100</v>
          </cell>
          <cell r="V25">
            <v>0</v>
          </cell>
          <cell r="W25">
            <v>0</v>
          </cell>
          <cell r="X25">
            <v>100</v>
          </cell>
          <cell r="Y25">
            <v>0</v>
          </cell>
          <cell r="Z25">
            <v>100</v>
          </cell>
        </row>
        <row r="26">
          <cell r="B26" t="str">
            <v>IN-980101</v>
          </cell>
          <cell r="C26" t="str">
            <v>980101-IN</v>
          </cell>
          <cell r="E26">
            <v>980101</v>
          </cell>
          <cell r="F26">
            <v>2000</v>
          </cell>
          <cell r="G26" t="str">
            <v>P</v>
          </cell>
          <cell r="H26" t="str">
            <v>IN</v>
          </cell>
          <cell r="U26">
            <v>100</v>
          </cell>
          <cell r="V26">
            <v>0</v>
          </cell>
          <cell r="W26">
            <v>0</v>
          </cell>
          <cell r="X26">
            <v>100</v>
          </cell>
          <cell r="Y26">
            <v>0</v>
          </cell>
          <cell r="Z26">
            <v>100</v>
          </cell>
        </row>
        <row r="27">
          <cell r="B27" t="str">
            <v>AD-980502</v>
          </cell>
          <cell r="C27" t="str">
            <v>980502-AD</v>
          </cell>
          <cell r="E27">
            <v>980502</v>
          </cell>
          <cell r="F27">
            <v>1999</v>
          </cell>
          <cell r="G27" t="str">
            <v>P</v>
          </cell>
          <cell r="H27" t="str">
            <v>AD</v>
          </cell>
          <cell r="U27">
            <v>100</v>
          </cell>
          <cell r="V27">
            <v>0</v>
          </cell>
          <cell r="W27">
            <v>0</v>
          </cell>
          <cell r="X27">
            <v>100</v>
          </cell>
          <cell r="Y27">
            <v>0</v>
          </cell>
          <cell r="Z27">
            <v>100</v>
          </cell>
        </row>
        <row r="28">
          <cell r="B28" t="str">
            <v>CO-980502</v>
          </cell>
          <cell r="C28" t="str">
            <v>980502-CO</v>
          </cell>
          <cell r="E28">
            <v>980502</v>
          </cell>
          <cell r="F28">
            <v>1999</v>
          </cell>
          <cell r="G28" t="str">
            <v>P</v>
          </cell>
          <cell r="H28" t="str">
            <v>CO</v>
          </cell>
          <cell r="U28">
            <v>100</v>
          </cell>
          <cell r="V28">
            <v>0</v>
          </cell>
          <cell r="W28">
            <v>0</v>
          </cell>
          <cell r="X28">
            <v>100</v>
          </cell>
          <cell r="Y28">
            <v>0</v>
          </cell>
          <cell r="Z28">
            <v>100</v>
          </cell>
        </row>
        <row r="29">
          <cell r="B29" t="str">
            <v>IN-980502</v>
          </cell>
          <cell r="C29" t="str">
            <v>980502-IN</v>
          </cell>
          <cell r="E29">
            <v>980502</v>
          </cell>
          <cell r="F29">
            <v>1999</v>
          </cell>
          <cell r="G29" t="str">
            <v>P</v>
          </cell>
          <cell r="H29" t="str">
            <v>IN</v>
          </cell>
          <cell r="U29">
            <v>100</v>
          </cell>
          <cell r="V29">
            <v>0</v>
          </cell>
          <cell r="W29">
            <v>0</v>
          </cell>
          <cell r="X29">
            <v>100</v>
          </cell>
          <cell r="Y29">
            <v>0</v>
          </cell>
          <cell r="Z29">
            <v>100</v>
          </cell>
        </row>
        <row r="30">
          <cell r="B30" t="str">
            <v>AD-980503</v>
          </cell>
          <cell r="C30" t="str">
            <v>980503-AD</v>
          </cell>
          <cell r="E30">
            <v>980503</v>
          </cell>
          <cell r="F30">
            <v>1999</v>
          </cell>
          <cell r="G30" t="str">
            <v>P</v>
          </cell>
          <cell r="H30" t="str">
            <v>AD</v>
          </cell>
          <cell r="U30">
            <v>100</v>
          </cell>
          <cell r="V30">
            <v>0</v>
          </cell>
          <cell r="W30">
            <v>0</v>
          </cell>
          <cell r="X30">
            <v>100</v>
          </cell>
          <cell r="Y30">
            <v>0</v>
          </cell>
          <cell r="Z30">
            <v>100</v>
          </cell>
        </row>
        <row r="31">
          <cell r="B31" t="str">
            <v>CO-980503</v>
          </cell>
          <cell r="C31" t="str">
            <v>980503-CO</v>
          </cell>
          <cell r="E31">
            <v>980503</v>
          </cell>
          <cell r="F31">
            <v>1999</v>
          </cell>
          <cell r="G31" t="str">
            <v>P</v>
          </cell>
          <cell r="H31" t="str">
            <v>CO</v>
          </cell>
          <cell r="U31">
            <v>100</v>
          </cell>
          <cell r="V31">
            <v>0</v>
          </cell>
          <cell r="W31">
            <v>0</v>
          </cell>
          <cell r="X31">
            <v>100</v>
          </cell>
          <cell r="Y31">
            <v>0</v>
          </cell>
          <cell r="Z31">
            <v>100</v>
          </cell>
        </row>
        <row r="32">
          <cell r="B32" t="str">
            <v>IN-980503</v>
          </cell>
          <cell r="C32" t="str">
            <v>980503-IN</v>
          </cell>
          <cell r="E32">
            <v>980503</v>
          </cell>
          <cell r="F32">
            <v>1999</v>
          </cell>
          <cell r="G32" t="str">
            <v>P</v>
          </cell>
          <cell r="H32" t="str">
            <v>IN</v>
          </cell>
          <cell r="U32">
            <v>100</v>
          </cell>
          <cell r="V32">
            <v>0</v>
          </cell>
          <cell r="W32">
            <v>0</v>
          </cell>
          <cell r="X32">
            <v>100</v>
          </cell>
          <cell r="Y32">
            <v>0</v>
          </cell>
          <cell r="Z32">
            <v>100</v>
          </cell>
        </row>
        <row r="33">
          <cell r="B33" t="str">
            <v>AD-980602</v>
          </cell>
          <cell r="C33" t="str">
            <v>980602-AD</v>
          </cell>
          <cell r="E33">
            <v>980602</v>
          </cell>
          <cell r="F33">
            <v>1999</v>
          </cell>
          <cell r="G33" t="str">
            <v>P</v>
          </cell>
          <cell r="H33" t="str">
            <v>AD</v>
          </cell>
          <cell r="U33">
            <v>100</v>
          </cell>
          <cell r="V33">
            <v>0</v>
          </cell>
          <cell r="W33">
            <v>0</v>
          </cell>
          <cell r="X33">
            <v>100</v>
          </cell>
          <cell r="Y33">
            <v>0</v>
          </cell>
          <cell r="Z33">
            <v>100</v>
          </cell>
        </row>
        <row r="34">
          <cell r="B34" t="str">
            <v>CO-980602</v>
          </cell>
          <cell r="C34" t="str">
            <v>980602-CO</v>
          </cell>
          <cell r="E34">
            <v>980602</v>
          </cell>
          <cell r="F34">
            <v>1999</v>
          </cell>
          <cell r="G34" t="str">
            <v>P</v>
          </cell>
          <cell r="H34" t="str">
            <v>CO</v>
          </cell>
          <cell r="U34">
            <v>100</v>
          </cell>
          <cell r="V34">
            <v>0</v>
          </cell>
          <cell r="W34">
            <v>0</v>
          </cell>
          <cell r="X34">
            <v>100</v>
          </cell>
          <cell r="Y34">
            <v>0</v>
          </cell>
          <cell r="Z34">
            <v>100</v>
          </cell>
        </row>
        <row r="35">
          <cell r="B35" t="str">
            <v>IN-980602</v>
          </cell>
          <cell r="C35" t="str">
            <v>980602-IN</v>
          </cell>
          <cell r="E35">
            <v>980602</v>
          </cell>
          <cell r="F35">
            <v>1999</v>
          </cell>
          <cell r="G35" t="str">
            <v>P</v>
          </cell>
          <cell r="H35" t="str">
            <v>IN</v>
          </cell>
          <cell r="U35">
            <v>100</v>
          </cell>
          <cell r="V35">
            <v>0</v>
          </cell>
          <cell r="W35">
            <v>0</v>
          </cell>
          <cell r="X35">
            <v>100</v>
          </cell>
          <cell r="Y35">
            <v>0</v>
          </cell>
          <cell r="Z35">
            <v>100</v>
          </cell>
        </row>
        <row r="36">
          <cell r="B36" t="str">
            <v>AD-980808</v>
          </cell>
          <cell r="C36" t="str">
            <v>980808-AD</v>
          </cell>
          <cell r="E36">
            <v>980808</v>
          </cell>
          <cell r="F36">
            <v>1999</v>
          </cell>
          <cell r="G36" t="str">
            <v>P</v>
          </cell>
          <cell r="H36" t="str">
            <v>AD</v>
          </cell>
          <cell r="U36">
            <v>100</v>
          </cell>
          <cell r="V36">
            <v>0</v>
          </cell>
          <cell r="W36">
            <v>0</v>
          </cell>
          <cell r="X36">
            <v>100</v>
          </cell>
          <cell r="Y36">
            <v>0</v>
          </cell>
          <cell r="Z36">
            <v>100</v>
          </cell>
        </row>
        <row r="37">
          <cell r="B37" t="str">
            <v>CO-980808</v>
          </cell>
          <cell r="C37" t="str">
            <v>980808-CO</v>
          </cell>
          <cell r="E37">
            <v>980808</v>
          </cell>
          <cell r="F37">
            <v>1999</v>
          </cell>
          <cell r="G37" t="str">
            <v>P</v>
          </cell>
          <cell r="H37" t="str">
            <v>CO</v>
          </cell>
          <cell r="U37">
            <v>100</v>
          </cell>
          <cell r="V37">
            <v>0</v>
          </cell>
          <cell r="W37">
            <v>0</v>
          </cell>
          <cell r="X37">
            <v>100</v>
          </cell>
          <cell r="Y37">
            <v>0</v>
          </cell>
          <cell r="Z37">
            <v>100</v>
          </cell>
        </row>
        <row r="38">
          <cell r="B38" t="str">
            <v>IN-980808</v>
          </cell>
          <cell r="C38" t="str">
            <v>980808-IN</v>
          </cell>
          <cell r="E38">
            <v>980808</v>
          </cell>
          <cell r="F38">
            <v>1999</v>
          </cell>
          <cell r="G38" t="str">
            <v>P</v>
          </cell>
          <cell r="H38" t="str">
            <v>IN</v>
          </cell>
          <cell r="U38">
            <v>100</v>
          </cell>
          <cell r="V38">
            <v>0</v>
          </cell>
          <cell r="W38">
            <v>0</v>
          </cell>
          <cell r="X38">
            <v>100</v>
          </cell>
          <cell r="Y38">
            <v>0</v>
          </cell>
          <cell r="Z38">
            <v>100</v>
          </cell>
        </row>
        <row r="39">
          <cell r="B39" t="str">
            <v>AD-980809</v>
          </cell>
          <cell r="C39" t="str">
            <v>980809-AD</v>
          </cell>
          <cell r="E39">
            <v>980809</v>
          </cell>
          <cell r="F39">
            <v>2000</v>
          </cell>
          <cell r="G39" t="str">
            <v>P</v>
          </cell>
          <cell r="H39" t="str">
            <v>AD</v>
          </cell>
          <cell r="U39">
            <v>100</v>
          </cell>
          <cell r="V39">
            <v>0</v>
          </cell>
          <cell r="W39">
            <v>0</v>
          </cell>
          <cell r="X39">
            <v>100</v>
          </cell>
          <cell r="Y39">
            <v>0</v>
          </cell>
          <cell r="Z39">
            <v>100</v>
          </cell>
        </row>
        <row r="40">
          <cell r="B40" t="str">
            <v>CO-980809</v>
          </cell>
          <cell r="C40" t="str">
            <v>980809-CO</v>
          </cell>
          <cell r="E40">
            <v>980809</v>
          </cell>
          <cell r="F40">
            <v>2000</v>
          </cell>
          <cell r="G40" t="str">
            <v>P</v>
          </cell>
          <cell r="H40" t="str">
            <v>CO</v>
          </cell>
          <cell r="U40">
            <v>100</v>
          </cell>
          <cell r="V40">
            <v>0</v>
          </cell>
          <cell r="W40">
            <v>0</v>
          </cell>
          <cell r="X40">
            <v>100</v>
          </cell>
          <cell r="Y40">
            <v>0</v>
          </cell>
          <cell r="Z40">
            <v>100</v>
          </cell>
        </row>
        <row r="41">
          <cell r="B41" t="str">
            <v>IN-980809</v>
          </cell>
          <cell r="C41" t="str">
            <v>980809-IN</v>
          </cell>
          <cell r="E41">
            <v>980809</v>
          </cell>
          <cell r="F41">
            <v>2000</v>
          </cell>
          <cell r="G41" t="str">
            <v>P</v>
          </cell>
          <cell r="H41" t="str">
            <v>IN</v>
          </cell>
          <cell r="U41">
            <v>100</v>
          </cell>
          <cell r="V41">
            <v>0</v>
          </cell>
          <cell r="W41">
            <v>0</v>
          </cell>
          <cell r="X41">
            <v>100</v>
          </cell>
          <cell r="Y41">
            <v>0</v>
          </cell>
          <cell r="Z41">
            <v>100</v>
          </cell>
        </row>
        <row r="42">
          <cell r="B42" t="str">
            <v>AD-981004</v>
          </cell>
          <cell r="C42" t="str">
            <v>981004-AD</v>
          </cell>
          <cell r="E42">
            <v>981004</v>
          </cell>
          <cell r="F42">
            <v>1999</v>
          </cell>
          <cell r="G42" t="str">
            <v>P</v>
          </cell>
          <cell r="H42" t="str">
            <v>AD</v>
          </cell>
          <cell r="U42">
            <v>100</v>
          </cell>
          <cell r="V42">
            <v>0</v>
          </cell>
          <cell r="W42">
            <v>0</v>
          </cell>
          <cell r="X42">
            <v>100</v>
          </cell>
          <cell r="Y42">
            <v>0</v>
          </cell>
          <cell r="Z42">
            <v>100</v>
          </cell>
        </row>
        <row r="43">
          <cell r="B43" t="str">
            <v>CO-981004</v>
          </cell>
          <cell r="C43" t="str">
            <v>981004-CO</v>
          </cell>
          <cell r="E43">
            <v>981004</v>
          </cell>
          <cell r="F43">
            <v>1999</v>
          </cell>
          <cell r="G43" t="str">
            <v>P</v>
          </cell>
          <cell r="H43" t="str">
            <v>CO</v>
          </cell>
          <cell r="U43">
            <v>100</v>
          </cell>
          <cell r="V43">
            <v>0</v>
          </cell>
          <cell r="W43">
            <v>0</v>
          </cell>
          <cell r="X43">
            <v>100</v>
          </cell>
          <cell r="Y43">
            <v>0</v>
          </cell>
          <cell r="Z43">
            <v>100</v>
          </cell>
        </row>
        <row r="44">
          <cell r="B44" t="str">
            <v>IN-981004</v>
          </cell>
          <cell r="C44" t="str">
            <v>981004-IN</v>
          </cell>
          <cell r="E44">
            <v>981004</v>
          </cell>
          <cell r="F44">
            <v>1999</v>
          </cell>
          <cell r="G44" t="str">
            <v>P</v>
          </cell>
          <cell r="H44" t="str">
            <v>IN</v>
          </cell>
          <cell r="U44">
            <v>100</v>
          </cell>
          <cell r="V44">
            <v>0</v>
          </cell>
          <cell r="W44">
            <v>0</v>
          </cell>
          <cell r="X44">
            <v>100</v>
          </cell>
          <cell r="Y44">
            <v>0</v>
          </cell>
          <cell r="Z44">
            <v>100</v>
          </cell>
        </row>
        <row r="45">
          <cell r="B45" t="str">
            <v>AD-A99M401</v>
          </cell>
          <cell r="C45" t="str">
            <v>A99M401-AD</v>
          </cell>
          <cell r="E45" t="str">
            <v>A99M401</v>
          </cell>
          <cell r="F45">
            <v>1999</v>
          </cell>
          <cell r="G45" t="str">
            <v>P</v>
          </cell>
          <cell r="H45" t="str">
            <v>AD</v>
          </cell>
          <cell r="U45">
            <v>100</v>
          </cell>
          <cell r="V45">
            <v>0</v>
          </cell>
          <cell r="W45">
            <v>0</v>
          </cell>
          <cell r="X45">
            <v>100</v>
          </cell>
          <cell r="Y45">
            <v>0</v>
          </cell>
          <cell r="Z45">
            <v>100</v>
          </cell>
        </row>
        <row r="46">
          <cell r="B46" t="str">
            <v>CO-A99M401</v>
          </cell>
          <cell r="C46" t="str">
            <v>A99M401-CO</v>
          </cell>
          <cell r="E46" t="str">
            <v>A99M401</v>
          </cell>
          <cell r="F46">
            <v>1999</v>
          </cell>
          <cell r="G46" t="str">
            <v>P</v>
          </cell>
          <cell r="H46" t="str">
            <v>CO</v>
          </cell>
          <cell r="U46">
            <v>100</v>
          </cell>
          <cell r="V46">
            <v>0</v>
          </cell>
          <cell r="W46">
            <v>0</v>
          </cell>
          <cell r="X46">
            <v>100</v>
          </cell>
          <cell r="Y46">
            <v>0</v>
          </cell>
          <cell r="Z46">
            <v>100</v>
          </cell>
        </row>
        <row r="47">
          <cell r="B47" t="str">
            <v>IN-A99M401</v>
          </cell>
          <cell r="C47" t="str">
            <v>A99M401-IN</v>
          </cell>
          <cell r="E47" t="str">
            <v>A99M401</v>
          </cell>
          <cell r="F47">
            <v>1999</v>
          </cell>
          <cell r="G47" t="str">
            <v>P</v>
          </cell>
          <cell r="H47" t="str">
            <v>IN</v>
          </cell>
          <cell r="U47">
            <v>100</v>
          </cell>
          <cell r="V47">
            <v>0</v>
          </cell>
          <cell r="W47">
            <v>0</v>
          </cell>
          <cell r="X47">
            <v>100</v>
          </cell>
          <cell r="Y47">
            <v>0</v>
          </cell>
          <cell r="Z47">
            <v>100</v>
          </cell>
        </row>
        <row r="48">
          <cell r="B48" t="str">
            <v>AD-A99M402</v>
          </cell>
          <cell r="C48" t="str">
            <v>A99M402-AD</v>
          </cell>
          <cell r="E48" t="str">
            <v>A99M402</v>
          </cell>
          <cell r="F48">
            <v>1999</v>
          </cell>
          <cell r="G48" t="str">
            <v>P</v>
          </cell>
          <cell r="H48" t="str">
            <v>AD</v>
          </cell>
          <cell r="U48">
            <v>100</v>
          </cell>
          <cell r="V48">
            <v>0</v>
          </cell>
          <cell r="W48">
            <v>0</v>
          </cell>
          <cell r="X48">
            <v>100</v>
          </cell>
          <cell r="Y48">
            <v>0</v>
          </cell>
          <cell r="Z48">
            <v>100</v>
          </cell>
        </row>
        <row r="49">
          <cell r="B49" t="str">
            <v>CO-A99M402</v>
          </cell>
          <cell r="C49" t="str">
            <v>A99M402-CO</v>
          </cell>
          <cell r="E49" t="str">
            <v>A99M402</v>
          </cell>
          <cell r="F49">
            <v>1999</v>
          </cell>
          <cell r="G49" t="str">
            <v>P</v>
          </cell>
          <cell r="H49" t="str">
            <v>CO</v>
          </cell>
          <cell r="U49">
            <v>100</v>
          </cell>
          <cell r="V49">
            <v>0</v>
          </cell>
          <cell r="W49">
            <v>0</v>
          </cell>
          <cell r="X49">
            <v>100</v>
          </cell>
          <cell r="Y49">
            <v>0</v>
          </cell>
          <cell r="Z49">
            <v>100</v>
          </cell>
        </row>
        <row r="50">
          <cell r="B50" t="str">
            <v>IN-A99M402</v>
          </cell>
          <cell r="C50" t="str">
            <v>A99M402-IN</v>
          </cell>
          <cell r="E50" t="str">
            <v>A99M402</v>
          </cell>
          <cell r="F50">
            <v>1999</v>
          </cell>
          <cell r="G50" t="str">
            <v>P</v>
          </cell>
          <cell r="H50" t="str">
            <v>IN</v>
          </cell>
          <cell r="U50">
            <v>100</v>
          </cell>
          <cell r="V50">
            <v>0</v>
          </cell>
          <cell r="W50">
            <v>0</v>
          </cell>
          <cell r="X50">
            <v>100</v>
          </cell>
          <cell r="Y50">
            <v>0</v>
          </cell>
          <cell r="Z50">
            <v>100</v>
          </cell>
        </row>
        <row r="51">
          <cell r="B51" t="str">
            <v>AD-A99M403</v>
          </cell>
          <cell r="C51" t="str">
            <v>A99M403-AD</v>
          </cell>
          <cell r="E51" t="str">
            <v>A99M403</v>
          </cell>
          <cell r="F51">
            <v>1999</v>
          </cell>
          <cell r="G51" t="str">
            <v>p</v>
          </cell>
          <cell r="H51" t="str">
            <v>AD</v>
          </cell>
          <cell r="U51">
            <v>100</v>
          </cell>
          <cell r="V51">
            <v>0</v>
          </cell>
          <cell r="W51">
            <v>0</v>
          </cell>
          <cell r="X51">
            <v>100</v>
          </cell>
          <cell r="Y51">
            <v>0</v>
          </cell>
          <cell r="Z51">
            <v>100</v>
          </cell>
        </row>
        <row r="52">
          <cell r="B52" t="str">
            <v>CO-A99M403</v>
          </cell>
          <cell r="C52" t="str">
            <v>A99M403-CO</v>
          </cell>
          <cell r="E52" t="str">
            <v>A99M403</v>
          </cell>
          <cell r="F52">
            <v>1999</v>
          </cell>
          <cell r="G52" t="str">
            <v>p</v>
          </cell>
          <cell r="H52" t="str">
            <v>CO</v>
          </cell>
          <cell r="U52">
            <v>100</v>
          </cell>
          <cell r="V52">
            <v>0</v>
          </cell>
          <cell r="W52">
            <v>0</v>
          </cell>
          <cell r="X52">
            <v>100</v>
          </cell>
          <cell r="Y52">
            <v>0</v>
          </cell>
          <cell r="Z52">
            <v>100</v>
          </cell>
        </row>
        <row r="53">
          <cell r="B53" t="str">
            <v>IN-A99M403</v>
          </cell>
          <cell r="C53" t="str">
            <v>A99M403-IN</v>
          </cell>
          <cell r="E53" t="str">
            <v>A99M403</v>
          </cell>
          <cell r="F53">
            <v>1999</v>
          </cell>
          <cell r="G53" t="str">
            <v>p</v>
          </cell>
          <cell r="H53" t="str">
            <v>IN</v>
          </cell>
          <cell r="U53">
            <v>100</v>
          </cell>
          <cell r="V53">
            <v>0</v>
          </cell>
          <cell r="W53">
            <v>0</v>
          </cell>
          <cell r="X53">
            <v>100</v>
          </cell>
          <cell r="Y53">
            <v>0</v>
          </cell>
          <cell r="Z53">
            <v>100</v>
          </cell>
        </row>
        <row r="54">
          <cell r="B54" t="str">
            <v>AD-A99M406</v>
          </cell>
          <cell r="C54" t="str">
            <v>A99M406-AD</v>
          </cell>
          <cell r="E54" t="str">
            <v>A99M406</v>
          </cell>
          <cell r="F54">
            <v>1999</v>
          </cell>
          <cell r="G54" t="str">
            <v>p</v>
          </cell>
          <cell r="H54" t="str">
            <v>AD</v>
          </cell>
          <cell r="U54">
            <v>100</v>
          </cell>
          <cell r="V54">
            <v>0</v>
          </cell>
          <cell r="W54">
            <v>0</v>
          </cell>
          <cell r="X54">
            <v>100</v>
          </cell>
          <cell r="Y54">
            <v>0</v>
          </cell>
          <cell r="Z54">
            <v>100</v>
          </cell>
        </row>
        <row r="55">
          <cell r="B55" t="str">
            <v>CO-A99M406</v>
          </cell>
          <cell r="C55" t="str">
            <v>A99M406-CO</v>
          </cell>
          <cell r="E55" t="str">
            <v>A99M406</v>
          </cell>
          <cell r="F55">
            <v>1999</v>
          </cell>
          <cell r="G55" t="str">
            <v>p</v>
          </cell>
          <cell r="H55" t="str">
            <v>CO</v>
          </cell>
          <cell r="U55">
            <v>100</v>
          </cell>
          <cell r="V55">
            <v>0</v>
          </cell>
          <cell r="W55">
            <v>0</v>
          </cell>
          <cell r="X55">
            <v>100</v>
          </cell>
          <cell r="Y55">
            <v>0</v>
          </cell>
          <cell r="Z55">
            <v>100</v>
          </cell>
        </row>
        <row r="56">
          <cell r="B56" t="str">
            <v>IN-A99M406</v>
          </cell>
          <cell r="C56" t="str">
            <v>A99M406-IN</v>
          </cell>
          <cell r="E56" t="str">
            <v>A99M406</v>
          </cell>
          <cell r="F56">
            <v>1999</v>
          </cell>
          <cell r="G56" t="str">
            <v>p</v>
          </cell>
          <cell r="H56" t="str">
            <v>IN</v>
          </cell>
          <cell r="U56">
            <v>100</v>
          </cell>
          <cell r="V56">
            <v>0</v>
          </cell>
          <cell r="W56">
            <v>0</v>
          </cell>
          <cell r="X56">
            <v>100</v>
          </cell>
          <cell r="Y56">
            <v>0</v>
          </cell>
          <cell r="Z56">
            <v>100</v>
          </cell>
        </row>
        <row r="57">
          <cell r="B57" t="str">
            <v>AD-A99M407</v>
          </cell>
          <cell r="C57" t="str">
            <v>A99M407-AD</v>
          </cell>
          <cell r="E57" t="str">
            <v>A99M407</v>
          </cell>
          <cell r="F57">
            <v>2000</v>
          </cell>
          <cell r="G57" t="str">
            <v>p</v>
          </cell>
          <cell r="H57" t="str">
            <v>AD</v>
          </cell>
          <cell r="U57">
            <v>100</v>
          </cell>
          <cell r="V57">
            <v>0</v>
          </cell>
          <cell r="W57">
            <v>0</v>
          </cell>
          <cell r="X57">
            <v>100</v>
          </cell>
          <cell r="Y57">
            <v>0</v>
          </cell>
          <cell r="Z57">
            <v>100</v>
          </cell>
        </row>
        <row r="58">
          <cell r="B58" t="str">
            <v>CO-A99M407</v>
          </cell>
          <cell r="C58" t="str">
            <v>A99M407-CO</v>
          </cell>
          <cell r="E58" t="str">
            <v>A99M407</v>
          </cell>
          <cell r="F58">
            <v>2000</v>
          </cell>
          <cell r="G58" t="str">
            <v>p</v>
          </cell>
          <cell r="H58" t="str">
            <v>CO</v>
          </cell>
          <cell r="U58">
            <v>100</v>
          </cell>
          <cell r="V58">
            <v>0</v>
          </cell>
          <cell r="W58">
            <v>0</v>
          </cell>
          <cell r="X58">
            <v>100</v>
          </cell>
          <cell r="Y58">
            <v>0</v>
          </cell>
          <cell r="Z58">
            <v>100</v>
          </cell>
        </row>
        <row r="59">
          <cell r="B59" t="str">
            <v>IN-A99M407</v>
          </cell>
          <cell r="C59" t="str">
            <v>A99M407-IN</v>
          </cell>
          <cell r="E59" t="str">
            <v>A99M407</v>
          </cell>
          <cell r="F59">
            <v>2000</v>
          </cell>
          <cell r="G59" t="str">
            <v>p</v>
          </cell>
          <cell r="H59" t="str">
            <v>IN</v>
          </cell>
          <cell r="U59">
            <v>100</v>
          </cell>
          <cell r="V59">
            <v>0</v>
          </cell>
          <cell r="W59">
            <v>0</v>
          </cell>
          <cell r="X59">
            <v>100</v>
          </cell>
          <cell r="Y59">
            <v>0</v>
          </cell>
          <cell r="Z59">
            <v>100</v>
          </cell>
        </row>
        <row r="60">
          <cell r="B60" t="str">
            <v>AD-A00M201</v>
          </cell>
          <cell r="C60" t="str">
            <v>A00M201-AD</v>
          </cell>
          <cell r="E60" t="str">
            <v>A00M201</v>
          </cell>
          <cell r="F60">
            <v>2000</v>
          </cell>
          <cell r="G60" t="str">
            <v>p</v>
          </cell>
          <cell r="H60" t="str">
            <v>AD</v>
          </cell>
          <cell r="U60">
            <v>100</v>
          </cell>
          <cell r="V60">
            <v>0</v>
          </cell>
          <cell r="W60">
            <v>0</v>
          </cell>
          <cell r="X60">
            <v>100</v>
          </cell>
          <cell r="Y60">
            <v>0</v>
          </cell>
          <cell r="Z60">
            <v>100</v>
          </cell>
        </row>
        <row r="61">
          <cell r="B61" t="str">
            <v>CO-A00M201</v>
          </cell>
          <cell r="C61" t="str">
            <v>A00M201-CO</v>
          </cell>
          <cell r="E61" t="str">
            <v>A00M201</v>
          </cell>
          <cell r="F61">
            <v>2000</v>
          </cell>
          <cell r="G61" t="str">
            <v>p</v>
          </cell>
          <cell r="H61" t="str">
            <v>CO</v>
          </cell>
          <cell r="U61">
            <v>100</v>
          </cell>
          <cell r="V61">
            <v>0</v>
          </cell>
          <cell r="W61">
            <v>0</v>
          </cell>
          <cell r="X61">
            <v>100</v>
          </cell>
          <cell r="Y61">
            <v>0</v>
          </cell>
          <cell r="Z61">
            <v>100</v>
          </cell>
        </row>
        <row r="62">
          <cell r="B62" t="str">
            <v>IN-A00M201</v>
          </cell>
          <cell r="C62" t="str">
            <v>A00M201-IN</v>
          </cell>
          <cell r="E62" t="str">
            <v>A00M201</v>
          </cell>
          <cell r="F62">
            <v>2000</v>
          </cell>
          <cell r="G62" t="str">
            <v>p</v>
          </cell>
          <cell r="H62" t="str">
            <v>IN</v>
          </cell>
          <cell r="U62">
            <v>100</v>
          </cell>
          <cell r="V62">
            <v>0</v>
          </cell>
          <cell r="W62">
            <v>0</v>
          </cell>
          <cell r="X62">
            <v>100</v>
          </cell>
          <cell r="Y62">
            <v>0</v>
          </cell>
          <cell r="Z62">
            <v>100</v>
          </cell>
        </row>
        <row r="63">
          <cell r="B63" t="str">
            <v>AD-A00M202</v>
          </cell>
          <cell r="C63" t="str">
            <v>A00M202-AD</v>
          </cell>
          <cell r="E63" t="str">
            <v>A00M202</v>
          </cell>
          <cell r="F63">
            <v>2001</v>
          </cell>
          <cell r="G63" t="str">
            <v>p</v>
          </cell>
          <cell r="H63" t="str">
            <v>AD</v>
          </cell>
          <cell r="V63">
            <v>0</v>
          </cell>
          <cell r="W63">
            <v>100</v>
          </cell>
          <cell r="X63">
            <v>100</v>
          </cell>
          <cell r="Y63">
            <v>0</v>
          </cell>
          <cell r="Z63">
            <v>0</v>
          </cell>
        </row>
        <row r="64">
          <cell r="B64" t="str">
            <v>CO-A00M202</v>
          </cell>
          <cell r="C64" t="str">
            <v>A00M202-CO</v>
          </cell>
          <cell r="E64" t="str">
            <v>A00M202</v>
          </cell>
          <cell r="F64">
            <v>2001</v>
          </cell>
          <cell r="G64" t="str">
            <v>p</v>
          </cell>
          <cell r="H64" t="str">
            <v>CO</v>
          </cell>
          <cell r="V64">
            <v>0</v>
          </cell>
          <cell r="W64">
            <v>100</v>
          </cell>
          <cell r="X64">
            <v>100</v>
          </cell>
          <cell r="Y64">
            <v>0</v>
          </cell>
          <cell r="Z64">
            <v>0</v>
          </cell>
        </row>
        <row r="65">
          <cell r="B65" t="str">
            <v>IN-A00M202</v>
          </cell>
          <cell r="C65" t="str">
            <v>A00M202-IN</v>
          </cell>
          <cell r="E65" t="str">
            <v>A00M202</v>
          </cell>
          <cell r="F65">
            <v>2001</v>
          </cell>
          <cell r="G65" t="str">
            <v>p</v>
          </cell>
          <cell r="H65" t="str">
            <v>IN</v>
          </cell>
          <cell r="I65">
            <v>14.01</v>
          </cell>
          <cell r="U65">
            <v>85.99</v>
          </cell>
          <cell r="V65">
            <v>14.01</v>
          </cell>
          <cell r="W65">
            <v>0</v>
          </cell>
          <cell r="X65">
            <v>100</v>
          </cell>
          <cell r="Y65">
            <v>14.01</v>
          </cell>
          <cell r="Z65">
            <v>100</v>
          </cell>
        </row>
        <row r="66">
          <cell r="B66" t="str">
            <v>AD-A00M401</v>
          </cell>
          <cell r="C66" t="str">
            <v>A00M401-AD</v>
          </cell>
          <cell r="E66" t="str">
            <v>A00M401</v>
          </cell>
          <cell r="F66">
            <v>2001</v>
          </cell>
          <cell r="G66" t="str">
            <v>p</v>
          </cell>
          <cell r="H66" t="str">
            <v>AD</v>
          </cell>
          <cell r="I66">
            <v>20</v>
          </cell>
          <cell r="U66">
            <v>80</v>
          </cell>
          <cell r="V66">
            <v>20</v>
          </cell>
          <cell r="W66">
            <v>0</v>
          </cell>
          <cell r="X66">
            <v>100</v>
          </cell>
          <cell r="Y66">
            <v>20</v>
          </cell>
          <cell r="Z66">
            <v>100</v>
          </cell>
        </row>
        <row r="67">
          <cell r="B67" t="str">
            <v>CO-A00M401</v>
          </cell>
          <cell r="C67" t="str">
            <v>A00M401-CO</v>
          </cell>
          <cell r="E67" t="str">
            <v>A00M401</v>
          </cell>
          <cell r="F67">
            <v>2001</v>
          </cell>
          <cell r="G67" t="str">
            <v>p</v>
          </cell>
          <cell r="H67" t="str">
            <v>CO</v>
          </cell>
          <cell r="V67">
            <v>0</v>
          </cell>
          <cell r="W67">
            <v>100</v>
          </cell>
          <cell r="X67">
            <v>100</v>
          </cell>
          <cell r="Y67">
            <v>0</v>
          </cell>
          <cell r="Z67">
            <v>0</v>
          </cell>
        </row>
        <row r="68">
          <cell r="B68" t="str">
            <v>IN-A00M401</v>
          </cell>
          <cell r="C68" t="str">
            <v>A00M401-IN</v>
          </cell>
          <cell r="E68" t="str">
            <v>A00M401</v>
          </cell>
          <cell r="F68">
            <v>2001</v>
          </cell>
          <cell r="G68" t="str">
            <v>p</v>
          </cell>
          <cell r="H68" t="str">
            <v>IN</v>
          </cell>
          <cell r="V68">
            <v>0</v>
          </cell>
          <cell r="W68">
            <v>100</v>
          </cell>
          <cell r="X68">
            <v>100</v>
          </cell>
          <cell r="Y68">
            <v>0</v>
          </cell>
          <cell r="Z68">
            <v>0</v>
          </cell>
        </row>
        <row r="69">
          <cell r="B69" t="str">
            <v>AD-A00M405</v>
          </cell>
          <cell r="C69" t="str">
            <v>A00M405-AD</v>
          </cell>
          <cell r="E69" t="str">
            <v>A00M405</v>
          </cell>
          <cell r="F69">
            <v>2001</v>
          </cell>
          <cell r="G69" t="str">
            <v>p</v>
          </cell>
          <cell r="H69" t="str">
            <v>AD</v>
          </cell>
          <cell r="U69">
            <v>100</v>
          </cell>
          <cell r="V69">
            <v>0</v>
          </cell>
          <cell r="W69">
            <v>0</v>
          </cell>
          <cell r="X69">
            <v>100</v>
          </cell>
          <cell r="Y69">
            <v>0</v>
          </cell>
          <cell r="Z69">
            <v>100</v>
          </cell>
        </row>
        <row r="70">
          <cell r="B70" t="str">
            <v>CO-A00M405</v>
          </cell>
          <cell r="C70" t="str">
            <v>A00M405-CO</v>
          </cell>
          <cell r="E70" t="str">
            <v>A00M405</v>
          </cell>
          <cell r="F70">
            <v>2001</v>
          </cell>
          <cell r="G70" t="str">
            <v>p</v>
          </cell>
          <cell r="H70" t="str">
            <v>CO</v>
          </cell>
          <cell r="I70">
            <v>4.2</v>
          </cell>
          <cell r="J70">
            <v>4</v>
          </cell>
          <cell r="K70">
            <v>1.7</v>
          </cell>
          <cell r="N70">
            <v>2</v>
          </cell>
          <cell r="O70">
            <v>4.0999999999999996</v>
          </cell>
          <cell r="U70">
            <v>84</v>
          </cell>
          <cell r="V70">
            <v>15.999999999999998</v>
          </cell>
          <cell r="W70">
            <v>0</v>
          </cell>
          <cell r="X70">
            <v>100</v>
          </cell>
          <cell r="Y70">
            <v>15.999999999999998</v>
          </cell>
          <cell r="Z70">
            <v>100</v>
          </cell>
        </row>
        <row r="71">
          <cell r="B71" t="str">
            <v>IN-A00M405</v>
          </cell>
          <cell r="C71" t="str">
            <v>A00M405-IN</v>
          </cell>
          <cell r="E71" t="str">
            <v>A00M405</v>
          </cell>
          <cell r="F71">
            <v>2001</v>
          </cell>
          <cell r="G71" t="str">
            <v>p</v>
          </cell>
          <cell r="H71" t="str">
            <v>IN</v>
          </cell>
          <cell r="I71">
            <v>1.2</v>
          </cell>
          <cell r="U71">
            <v>98.8</v>
          </cell>
          <cell r="V71">
            <v>1.2</v>
          </cell>
          <cell r="W71">
            <v>0</v>
          </cell>
          <cell r="X71">
            <v>100</v>
          </cell>
          <cell r="Y71">
            <v>1.2</v>
          </cell>
          <cell r="Z71">
            <v>100</v>
          </cell>
        </row>
        <row r="72">
          <cell r="B72" t="str">
            <v>AD-A00M406</v>
          </cell>
          <cell r="C72" t="str">
            <v>A00M406-AD</v>
          </cell>
          <cell r="E72" t="str">
            <v>A00M406</v>
          </cell>
          <cell r="F72">
            <v>2001</v>
          </cell>
          <cell r="G72" t="str">
            <v>p</v>
          </cell>
          <cell r="H72" t="str">
            <v>AD</v>
          </cell>
          <cell r="I72">
            <v>9</v>
          </cell>
          <cell r="J72">
            <v>9</v>
          </cell>
          <cell r="M72">
            <v>13.9</v>
          </cell>
          <cell r="N72">
            <v>10</v>
          </cell>
          <cell r="U72">
            <v>58.1</v>
          </cell>
          <cell r="V72">
            <v>41.9</v>
          </cell>
          <cell r="W72">
            <v>0</v>
          </cell>
          <cell r="X72">
            <v>100</v>
          </cell>
          <cell r="Y72">
            <v>41.9</v>
          </cell>
          <cell r="Z72">
            <v>100</v>
          </cell>
        </row>
        <row r="73">
          <cell r="B73" t="str">
            <v>CO-A00M406</v>
          </cell>
          <cell r="C73" t="str">
            <v>A00M406-CO</v>
          </cell>
          <cell r="E73" t="str">
            <v>A00M406</v>
          </cell>
          <cell r="F73">
            <v>2001</v>
          </cell>
          <cell r="G73" t="str">
            <v>p</v>
          </cell>
          <cell r="H73" t="str">
            <v>CO</v>
          </cell>
          <cell r="V73">
            <v>0</v>
          </cell>
          <cell r="W73">
            <v>100</v>
          </cell>
          <cell r="X73">
            <v>100</v>
          </cell>
          <cell r="Y73">
            <v>0</v>
          </cell>
          <cell r="Z73">
            <v>0</v>
          </cell>
        </row>
        <row r="74">
          <cell r="B74" t="str">
            <v>IN-A00M406</v>
          </cell>
          <cell r="C74" t="str">
            <v>A00M406-IN</v>
          </cell>
          <cell r="E74" t="str">
            <v>A00M406</v>
          </cell>
          <cell r="F74">
            <v>2001</v>
          </cell>
          <cell r="G74" t="str">
            <v>p</v>
          </cell>
          <cell r="H74" t="str">
            <v>IN</v>
          </cell>
          <cell r="I74">
            <v>15</v>
          </cell>
          <cell r="J74">
            <v>35</v>
          </cell>
          <cell r="K74">
            <v>8</v>
          </cell>
          <cell r="L74">
            <v>6</v>
          </cell>
          <cell r="U74">
            <v>36</v>
          </cell>
          <cell r="V74">
            <v>64</v>
          </cell>
          <cell r="W74">
            <v>0</v>
          </cell>
          <cell r="X74">
            <v>100</v>
          </cell>
          <cell r="Y74">
            <v>64</v>
          </cell>
          <cell r="Z74">
            <v>100</v>
          </cell>
        </row>
        <row r="75">
          <cell r="B75" t="str">
            <v>AD-A00M101</v>
          </cell>
          <cell r="C75" t="str">
            <v>A00M101-AD</v>
          </cell>
          <cell r="E75" t="str">
            <v>A00M101</v>
          </cell>
          <cell r="F75">
            <v>2000</v>
          </cell>
          <cell r="G75" t="str">
            <v>p</v>
          </cell>
          <cell r="H75" t="str">
            <v>AD</v>
          </cell>
          <cell r="U75">
            <v>100</v>
          </cell>
          <cell r="V75">
            <v>0</v>
          </cell>
          <cell r="W75">
            <v>0</v>
          </cell>
          <cell r="X75">
            <v>100</v>
          </cell>
          <cell r="Y75">
            <v>0</v>
          </cell>
          <cell r="Z75">
            <v>100</v>
          </cell>
        </row>
        <row r="76">
          <cell r="B76" t="str">
            <v>CO-A00M101</v>
          </cell>
          <cell r="C76" t="str">
            <v>A00M101-CO</v>
          </cell>
          <cell r="E76" t="str">
            <v>A00M101</v>
          </cell>
          <cell r="F76">
            <v>2000</v>
          </cell>
          <cell r="G76" t="str">
            <v>p</v>
          </cell>
          <cell r="H76" t="str">
            <v>CO</v>
          </cell>
          <cell r="U76">
            <v>100</v>
          </cell>
          <cell r="V76">
            <v>0</v>
          </cell>
          <cell r="W76">
            <v>0</v>
          </cell>
          <cell r="X76">
            <v>100</v>
          </cell>
          <cell r="Y76">
            <v>0</v>
          </cell>
          <cell r="Z76">
            <v>100</v>
          </cell>
        </row>
        <row r="77">
          <cell r="B77" t="str">
            <v>IN-A00M101</v>
          </cell>
          <cell r="C77" t="str">
            <v>A00M101-IN</v>
          </cell>
          <cell r="E77" t="str">
            <v>A00M101</v>
          </cell>
          <cell r="F77">
            <v>2000</v>
          </cell>
          <cell r="G77" t="str">
            <v>p</v>
          </cell>
          <cell r="H77" t="str">
            <v>IN</v>
          </cell>
          <cell r="U77">
            <v>100</v>
          </cell>
          <cell r="V77">
            <v>0</v>
          </cell>
          <cell r="W77">
            <v>0</v>
          </cell>
          <cell r="X77">
            <v>100</v>
          </cell>
          <cell r="Y77">
            <v>0</v>
          </cell>
          <cell r="Z77">
            <v>100</v>
          </cell>
        </row>
        <row r="78">
          <cell r="B78" t="str">
            <v>AD-A00M102</v>
          </cell>
          <cell r="C78" t="str">
            <v>A00M102-AD</v>
          </cell>
          <cell r="E78" t="str">
            <v>A00M102</v>
          </cell>
          <cell r="F78">
            <v>2001</v>
          </cell>
          <cell r="G78" t="str">
            <v>p</v>
          </cell>
          <cell r="H78" t="str">
            <v>AD</v>
          </cell>
          <cell r="V78">
            <v>0</v>
          </cell>
          <cell r="W78">
            <v>100</v>
          </cell>
          <cell r="X78">
            <v>100</v>
          </cell>
          <cell r="Y78">
            <v>0</v>
          </cell>
          <cell r="Z78">
            <v>0</v>
          </cell>
        </row>
        <row r="79">
          <cell r="B79" t="str">
            <v>CO-A00M102</v>
          </cell>
          <cell r="C79" t="str">
            <v>A00M102-CO</v>
          </cell>
          <cell r="E79" t="str">
            <v>A00M102</v>
          </cell>
          <cell r="F79">
            <v>2001</v>
          </cell>
          <cell r="G79" t="str">
            <v>p</v>
          </cell>
          <cell r="H79" t="str">
            <v>CO</v>
          </cell>
          <cell r="V79">
            <v>0</v>
          </cell>
          <cell r="W79">
            <v>100</v>
          </cell>
          <cell r="X79">
            <v>100</v>
          </cell>
          <cell r="Y79">
            <v>0</v>
          </cell>
          <cell r="Z79">
            <v>0</v>
          </cell>
        </row>
        <row r="80">
          <cell r="B80" t="str">
            <v>IN-A00M102</v>
          </cell>
          <cell r="C80" t="str">
            <v>A00M102-IN</v>
          </cell>
          <cell r="E80" t="str">
            <v>A00M102</v>
          </cell>
          <cell r="F80">
            <v>2001</v>
          </cell>
          <cell r="G80" t="str">
            <v>p</v>
          </cell>
          <cell r="H80" t="str">
            <v>IN</v>
          </cell>
          <cell r="I80">
            <v>40</v>
          </cell>
          <cell r="J80">
            <v>20</v>
          </cell>
          <cell r="K80">
            <v>10</v>
          </cell>
          <cell r="U80">
            <v>30</v>
          </cell>
          <cell r="V80">
            <v>70</v>
          </cell>
          <cell r="W80">
            <v>0</v>
          </cell>
          <cell r="X80">
            <v>100</v>
          </cell>
          <cell r="Y80">
            <v>70</v>
          </cell>
          <cell r="Z80">
            <v>100</v>
          </cell>
        </row>
        <row r="81">
          <cell r="B81" t="str">
            <v>AD-A00M103</v>
          </cell>
          <cell r="C81" t="str">
            <v>A00M103-AD</v>
          </cell>
          <cell r="E81" t="str">
            <v>A00M103</v>
          </cell>
          <cell r="F81">
            <v>2001</v>
          </cell>
          <cell r="G81" t="str">
            <v>p</v>
          </cell>
          <cell r="H81" t="str">
            <v>AD</v>
          </cell>
          <cell r="V81">
            <v>0</v>
          </cell>
          <cell r="W81">
            <v>100</v>
          </cell>
          <cell r="X81">
            <v>100</v>
          </cell>
          <cell r="Y81">
            <v>0</v>
          </cell>
          <cell r="Z81">
            <v>0</v>
          </cell>
        </row>
        <row r="82">
          <cell r="B82" t="str">
            <v>CO-A00M103</v>
          </cell>
          <cell r="C82" t="str">
            <v>A00M103-CO</v>
          </cell>
          <cell r="E82" t="str">
            <v>A00M103</v>
          </cell>
          <cell r="F82">
            <v>2001</v>
          </cell>
          <cell r="G82" t="str">
            <v>p</v>
          </cell>
          <cell r="H82" t="str">
            <v>CO</v>
          </cell>
          <cell r="V82">
            <v>0</v>
          </cell>
          <cell r="W82">
            <v>100</v>
          </cell>
          <cell r="X82">
            <v>100</v>
          </cell>
          <cell r="Y82">
            <v>0</v>
          </cell>
          <cell r="Z82">
            <v>0</v>
          </cell>
        </row>
        <row r="83">
          <cell r="B83" t="str">
            <v>IN-A00M103</v>
          </cell>
          <cell r="C83" t="str">
            <v>A00M103-IN</v>
          </cell>
          <cell r="E83" t="str">
            <v>A00M103</v>
          </cell>
          <cell r="F83">
            <v>2001</v>
          </cell>
          <cell r="G83" t="str">
            <v>p</v>
          </cell>
          <cell r="H83" t="str">
            <v>IN</v>
          </cell>
          <cell r="I83">
            <v>10</v>
          </cell>
          <cell r="J83">
            <v>15</v>
          </cell>
          <cell r="K83">
            <v>25</v>
          </cell>
          <cell r="L83">
            <v>31.1</v>
          </cell>
          <cell r="M83">
            <v>18.899999999999999</v>
          </cell>
          <cell r="V83">
            <v>100</v>
          </cell>
          <cell r="W83">
            <v>0</v>
          </cell>
          <cell r="X83">
            <v>100</v>
          </cell>
          <cell r="Y83">
            <v>100</v>
          </cell>
          <cell r="Z83">
            <v>100</v>
          </cell>
        </row>
        <row r="84">
          <cell r="B84" t="str">
            <v>AD-A00M301</v>
          </cell>
          <cell r="C84" t="str">
            <v>A00M301-AD</v>
          </cell>
          <cell r="E84" t="str">
            <v>A00M301</v>
          </cell>
          <cell r="F84">
            <v>2001</v>
          </cell>
          <cell r="G84" t="str">
            <v>p</v>
          </cell>
          <cell r="H84" t="str">
            <v>AD</v>
          </cell>
          <cell r="U84">
            <v>100</v>
          </cell>
          <cell r="V84">
            <v>0</v>
          </cell>
          <cell r="W84">
            <v>0</v>
          </cell>
          <cell r="X84">
            <v>100</v>
          </cell>
          <cell r="Y84">
            <v>0</v>
          </cell>
          <cell r="Z84">
            <v>100</v>
          </cell>
        </row>
        <row r="85">
          <cell r="B85" t="str">
            <v>CO-A00M301</v>
          </cell>
          <cell r="C85" t="str">
            <v>A00M301-CO</v>
          </cell>
          <cell r="E85" t="str">
            <v>A00M301</v>
          </cell>
          <cell r="F85">
            <v>2001</v>
          </cell>
          <cell r="G85" t="str">
            <v>p</v>
          </cell>
          <cell r="H85" t="str">
            <v>CO</v>
          </cell>
          <cell r="I85">
            <v>8.8000000000000007</v>
          </cell>
          <cell r="J85">
            <v>11.2</v>
          </cell>
          <cell r="U85">
            <v>80</v>
          </cell>
          <cell r="V85">
            <v>20</v>
          </cell>
          <cell r="W85">
            <v>0</v>
          </cell>
          <cell r="X85">
            <v>100</v>
          </cell>
          <cell r="Y85">
            <v>20</v>
          </cell>
          <cell r="Z85">
            <v>100</v>
          </cell>
        </row>
        <row r="86">
          <cell r="B86" t="str">
            <v>IN-A00M301</v>
          </cell>
          <cell r="C86" t="str">
            <v>A00M301-IN</v>
          </cell>
          <cell r="E86" t="str">
            <v>A00M301</v>
          </cell>
          <cell r="F86">
            <v>2001</v>
          </cell>
          <cell r="G86" t="str">
            <v>p</v>
          </cell>
          <cell r="H86" t="str">
            <v>IN</v>
          </cell>
          <cell r="U86">
            <v>100</v>
          </cell>
          <cell r="V86">
            <v>0</v>
          </cell>
          <cell r="W86">
            <v>0</v>
          </cell>
          <cell r="X86">
            <v>100</v>
          </cell>
          <cell r="Y86">
            <v>0</v>
          </cell>
          <cell r="Z86">
            <v>100</v>
          </cell>
        </row>
        <row r="87">
          <cell r="B87" t="str">
            <v>AD-A00M302</v>
          </cell>
          <cell r="C87" t="str">
            <v>A00M302-AD</v>
          </cell>
          <cell r="E87" t="str">
            <v>A00M302</v>
          </cell>
          <cell r="F87">
            <v>2001</v>
          </cell>
          <cell r="G87" t="str">
            <v>p</v>
          </cell>
          <cell r="H87" t="str">
            <v>AD</v>
          </cell>
          <cell r="U87">
            <v>100</v>
          </cell>
          <cell r="V87">
            <v>0</v>
          </cell>
          <cell r="W87">
            <v>0</v>
          </cell>
          <cell r="X87">
            <v>100</v>
          </cell>
          <cell r="Y87">
            <v>0</v>
          </cell>
          <cell r="Z87">
            <v>100</v>
          </cell>
        </row>
        <row r="88">
          <cell r="B88" t="str">
            <v>CO-A00M302</v>
          </cell>
          <cell r="C88" t="str">
            <v>A00M302-CO</v>
          </cell>
          <cell r="E88" t="str">
            <v>A00M302</v>
          </cell>
          <cell r="F88">
            <v>2001</v>
          </cell>
          <cell r="G88" t="str">
            <v>p</v>
          </cell>
          <cell r="H88" t="str">
            <v>CO</v>
          </cell>
          <cell r="I88">
            <v>4</v>
          </cell>
          <cell r="J88">
            <v>2.2000000000000002</v>
          </cell>
          <cell r="K88">
            <v>2.1</v>
          </cell>
          <cell r="L88">
            <v>2</v>
          </cell>
          <cell r="U88">
            <v>89.7</v>
          </cell>
          <cell r="V88">
            <v>10.3</v>
          </cell>
          <cell r="W88">
            <v>0</v>
          </cell>
          <cell r="X88">
            <v>100</v>
          </cell>
          <cell r="Y88">
            <v>10.3</v>
          </cell>
          <cell r="Z88">
            <v>100</v>
          </cell>
        </row>
        <row r="89">
          <cell r="B89" t="str">
            <v>IN-A00M302</v>
          </cell>
          <cell r="C89" t="str">
            <v>A00M302-IN</v>
          </cell>
          <cell r="E89" t="str">
            <v>A00M302</v>
          </cell>
          <cell r="F89">
            <v>2001</v>
          </cell>
          <cell r="G89" t="str">
            <v>p</v>
          </cell>
          <cell r="H89" t="str">
            <v>IN</v>
          </cell>
          <cell r="U89">
            <v>100</v>
          </cell>
          <cell r="V89">
            <v>0</v>
          </cell>
          <cell r="W89">
            <v>0</v>
          </cell>
          <cell r="X89">
            <v>100</v>
          </cell>
          <cell r="Y89">
            <v>0</v>
          </cell>
          <cell r="Z89">
            <v>100</v>
          </cell>
        </row>
        <row r="90">
          <cell r="B90" t="str">
            <v>AD-A00M303</v>
          </cell>
          <cell r="C90" t="str">
            <v>A00M303-AD</v>
          </cell>
          <cell r="E90" t="str">
            <v>A00M303</v>
          </cell>
          <cell r="F90">
            <v>2001</v>
          </cell>
          <cell r="G90" t="str">
            <v>p</v>
          </cell>
          <cell r="H90" t="str">
            <v>AD</v>
          </cell>
          <cell r="P90">
            <v>75</v>
          </cell>
          <cell r="Q90">
            <v>10</v>
          </cell>
          <cell r="U90">
            <v>15</v>
          </cell>
          <cell r="V90">
            <v>85</v>
          </cell>
          <cell r="W90">
            <v>0</v>
          </cell>
          <cell r="X90">
            <v>100</v>
          </cell>
          <cell r="Y90">
            <v>0</v>
          </cell>
          <cell r="Z90">
            <v>15</v>
          </cell>
        </row>
        <row r="91">
          <cell r="B91" t="str">
            <v>CO-A00M303</v>
          </cell>
          <cell r="C91" t="str">
            <v>A00M303-CO</v>
          </cell>
          <cell r="E91" t="str">
            <v>A00M303</v>
          </cell>
          <cell r="F91">
            <v>2001</v>
          </cell>
          <cell r="G91" t="str">
            <v>p</v>
          </cell>
          <cell r="H91" t="str">
            <v>CO</v>
          </cell>
          <cell r="V91">
            <v>0</v>
          </cell>
          <cell r="W91">
            <v>100</v>
          </cell>
          <cell r="X91">
            <v>100</v>
          </cell>
          <cell r="Y91">
            <v>0</v>
          </cell>
          <cell r="Z91">
            <v>0</v>
          </cell>
        </row>
        <row r="92">
          <cell r="B92" t="str">
            <v>IN-A00M303</v>
          </cell>
          <cell r="C92" t="str">
            <v>A00M303-IN</v>
          </cell>
          <cell r="E92" t="str">
            <v>A00M303</v>
          </cell>
          <cell r="F92">
            <v>2001</v>
          </cell>
          <cell r="G92" t="str">
            <v>p</v>
          </cell>
          <cell r="H92" t="str">
            <v>IN</v>
          </cell>
          <cell r="V92">
            <v>0</v>
          </cell>
          <cell r="W92">
            <v>100</v>
          </cell>
          <cell r="X92">
            <v>100</v>
          </cell>
          <cell r="Y92">
            <v>0</v>
          </cell>
          <cell r="Z92">
            <v>0</v>
          </cell>
        </row>
        <row r="93">
          <cell r="B93" t="str">
            <v>AD-A00M304</v>
          </cell>
          <cell r="C93" t="str">
            <v>A00M304-AD</v>
          </cell>
          <cell r="E93" t="str">
            <v>A00M304</v>
          </cell>
          <cell r="F93">
            <v>2000</v>
          </cell>
          <cell r="G93" t="str">
            <v>p</v>
          </cell>
          <cell r="H93" t="str">
            <v>AD</v>
          </cell>
          <cell r="U93">
            <v>100</v>
          </cell>
          <cell r="V93">
            <v>0</v>
          </cell>
          <cell r="W93">
            <v>0</v>
          </cell>
          <cell r="X93">
            <v>100</v>
          </cell>
          <cell r="Y93">
            <v>0</v>
          </cell>
          <cell r="Z93">
            <v>100</v>
          </cell>
        </row>
        <row r="94">
          <cell r="B94" t="str">
            <v>CO-A00M304</v>
          </cell>
          <cell r="C94" t="str">
            <v>A00M304-CO</v>
          </cell>
          <cell r="E94" t="str">
            <v>A00M304</v>
          </cell>
          <cell r="F94">
            <v>2000</v>
          </cell>
          <cell r="G94" t="str">
            <v>p</v>
          </cell>
          <cell r="H94" t="str">
            <v>CO</v>
          </cell>
          <cell r="U94">
            <v>100</v>
          </cell>
          <cell r="V94">
            <v>0</v>
          </cell>
          <cell r="W94">
            <v>0</v>
          </cell>
          <cell r="X94">
            <v>100</v>
          </cell>
          <cell r="Y94">
            <v>0</v>
          </cell>
          <cell r="Z94">
            <v>100</v>
          </cell>
        </row>
        <row r="95">
          <cell r="B95" t="str">
            <v>IN-A00M304</v>
          </cell>
          <cell r="C95" t="str">
            <v>A00M304-IN</v>
          </cell>
          <cell r="E95" t="str">
            <v>A00M304</v>
          </cell>
          <cell r="F95">
            <v>2000</v>
          </cell>
          <cell r="G95" t="str">
            <v>p</v>
          </cell>
          <cell r="H95" t="str">
            <v>IN</v>
          </cell>
          <cell r="U95">
            <v>100</v>
          </cell>
          <cell r="V95">
            <v>0</v>
          </cell>
          <cell r="W95">
            <v>0</v>
          </cell>
          <cell r="X95">
            <v>100</v>
          </cell>
          <cell r="Y95">
            <v>0</v>
          </cell>
          <cell r="Z95">
            <v>100</v>
          </cell>
        </row>
        <row r="96">
          <cell r="B96" t="str">
            <v>AD-A00M305</v>
          </cell>
          <cell r="C96" t="str">
            <v>A00M305-AD</v>
          </cell>
          <cell r="E96" t="str">
            <v>A00M305</v>
          </cell>
          <cell r="F96">
            <v>2001</v>
          </cell>
          <cell r="G96" t="str">
            <v>p</v>
          </cell>
          <cell r="H96" t="str">
            <v>AD</v>
          </cell>
          <cell r="J96">
            <v>100</v>
          </cell>
          <cell r="V96">
            <v>100</v>
          </cell>
          <cell r="W96">
            <v>0</v>
          </cell>
          <cell r="X96">
            <v>100</v>
          </cell>
          <cell r="Y96">
            <v>100</v>
          </cell>
          <cell r="Z96">
            <v>100</v>
          </cell>
        </row>
        <row r="97">
          <cell r="B97" t="str">
            <v>CO-A00M305</v>
          </cell>
          <cell r="C97" t="str">
            <v>A00M305-CO</v>
          </cell>
          <cell r="E97" t="str">
            <v>A00M305</v>
          </cell>
          <cell r="F97">
            <v>2001</v>
          </cell>
          <cell r="G97" t="str">
            <v>p</v>
          </cell>
          <cell r="H97" t="str">
            <v>CO</v>
          </cell>
          <cell r="I97">
            <v>37</v>
          </cell>
          <cell r="J97">
            <v>2</v>
          </cell>
          <cell r="U97">
            <v>61</v>
          </cell>
          <cell r="V97">
            <v>39</v>
          </cell>
          <cell r="W97">
            <v>0</v>
          </cell>
          <cell r="X97">
            <v>100</v>
          </cell>
          <cell r="Y97">
            <v>39</v>
          </cell>
          <cell r="Z97">
            <v>100</v>
          </cell>
        </row>
        <row r="98">
          <cell r="B98" t="str">
            <v>IN-A00M305</v>
          </cell>
          <cell r="C98" t="str">
            <v>A00M305-IN</v>
          </cell>
          <cell r="E98" t="str">
            <v>A00M305</v>
          </cell>
          <cell r="F98">
            <v>2001</v>
          </cell>
          <cell r="G98" t="str">
            <v>p</v>
          </cell>
          <cell r="H98" t="str">
            <v>IN</v>
          </cell>
          <cell r="V98">
            <v>0</v>
          </cell>
          <cell r="W98">
            <v>100</v>
          </cell>
          <cell r="X98">
            <v>100</v>
          </cell>
          <cell r="Y98">
            <v>0</v>
          </cell>
          <cell r="Z98">
            <v>0</v>
          </cell>
        </row>
        <row r="99">
          <cell r="B99" t="str">
            <v>AD-A00M306</v>
          </cell>
          <cell r="C99" t="str">
            <v>A00M306-AD</v>
          </cell>
          <cell r="E99" t="str">
            <v>A00M306</v>
          </cell>
          <cell r="F99">
            <v>2000</v>
          </cell>
          <cell r="G99" t="str">
            <v>p</v>
          </cell>
          <cell r="H99" t="str">
            <v>AD</v>
          </cell>
          <cell r="U99">
            <v>100</v>
          </cell>
          <cell r="V99">
            <v>0</v>
          </cell>
          <cell r="W99">
            <v>0</v>
          </cell>
          <cell r="X99">
            <v>100</v>
          </cell>
          <cell r="Y99">
            <v>0</v>
          </cell>
          <cell r="Z99">
            <v>100</v>
          </cell>
        </row>
        <row r="100">
          <cell r="B100" t="str">
            <v>CO-A00M306</v>
          </cell>
          <cell r="C100" t="str">
            <v>A00M306-CO</v>
          </cell>
          <cell r="E100" t="str">
            <v>A00M306</v>
          </cell>
          <cell r="F100">
            <v>2000</v>
          </cell>
          <cell r="G100" t="str">
            <v>p</v>
          </cell>
          <cell r="H100" t="str">
            <v>CO</v>
          </cell>
          <cell r="U100">
            <v>100</v>
          </cell>
          <cell r="V100">
            <v>0</v>
          </cell>
          <cell r="W100">
            <v>0</v>
          </cell>
          <cell r="X100">
            <v>100</v>
          </cell>
          <cell r="Y100">
            <v>0</v>
          </cell>
          <cell r="Z100">
            <v>100</v>
          </cell>
        </row>
        <row r="101">
          <cell r="B101" t="str">
            <v>IN-A00M306</v>
          </cell>
          <cell r="C101" t="str">
            <v>A00M306-IN</v>
          </cell>
          <cell r="E101" t="str">
            <v>A00M306</v>
          </cell>
          <cell r="F101">
            <v>2000</v>
          </cell>
          <cell r="G101" t="str">
            <v>p</v>
          </cell>
          <cell r="H101" t="str">
            <v>IN</v>
          </cell>
          <cell r="U101">
            <v>100</v>
          </cell>
          <cell r="V101">
            <v>0</v>
          </cell>
          <cell r="W101">
            <v>0</v>
          </cell>
          <cell r="X101">
            <v>100</v>
          </cell>
          <cell r="Y101">
            <v>0</v>
          </cell>
          <cell r="Z101">
            <v>100</v>
          </cell>
        </row>
        <row r="102">
          <cell r="B102" t="str">
            <v>AD-A00M310</v>
          </cell>
          <cell r="C102" t="str">
            <v>A00M310-AD</v>
          </cell>
          <cell r="E102" t="str">
            <v>A00M310</v>
          </cell>
          <cell r="F102">
            <v>2001</v>
          </cell>
          <cell r="G102" t="str">
            <v>p</v>
          </cell>
          <cell r="H102" t="str">
            <v>AD</v>
          </cell>
          <cell r="I102">
            <v>9.6</v>
          </cell>
          <cell r="J102">
            <v>7.2</v>
          </cell>
          <cell r="K102">
            <v>2.4</v>
          </cell>
          <cell r="U102">
            <v>80.8</v>
          </cell>
          <cell r="V102">
            <v>19.2</v>
          </cell>
          <cell r="W102">
            <v>0</v>
          </cell>
          <cell r="X102">
            <v>100</v>
          </cell>
          <cell r="Y102">
            <v>19.2</v>
          </cell>
          <cell r="Z102">
            <v>100</v>
          </cell>
        </row>
        <row r="103">
          <cell r="B103" t="str">
            <v>CO-A00M310</v>
          </cell>
          <cell r="C103" t="str">
            <v>A00M310-CO</v>
          </cell>
          <cell r="E103" t="str">
            <v>A00M310</v>
          </cell>
          <cell r="F103">
            <v>2001</v>
          </cell>
          <cell r="G103" t="str">
            <v>p</v>
          </cell>
          <cell r="H103" t="str">
            <v>CO</v>
          </cell>
          <cell r="I103">
            <v>5</v>
          </cell>
          <cell r="U103">
            <v>95</v>
          </cell>
          <cell r="V103">
            <v>5</v>
          </cell>
          <cell r="W103">
            <v>0</v>
          </cell>
          <cell r="X103">
            <v>100</v>
          </cell>
          <cell r="Y103">
            <v>5</v>
          </cell>
          <cell r="Z103">
            <v>100</v>
          </cell>
        </row>
        <row r="104">
          <cell r="B104" t="str">
            <v>IN-A00M310</v>
          </cell>
          <cell r="C104" t="str">
            <v>A00M310-IN</v>
          </cell>
          <cell r="E104" t="str">
            <v>A00M310</v>
          </cell>
          <cell r="F104">
            <v>2001</v>
          </cell>
          <cell r="G104" t="str">
            <v>p</v>
          </cell>
          <cell r="H104" t="str">
            <v>IN</v>
          </cell>
          <cell r="U104">
            <v>100</v>
          </cell>
          <cell r="V104">
            <v>0</v>
          </cell>
          <cell r="W104">
            <v>0</v>
          </cell>
          <cell r="X104">
            <v>100</v>
          </cell>
          <cell r="Y104">
            <v>0</v>
          </cell>
          <cell r="Z104">
            <v>100</v>
          </cell>
        </row>
        <row r="105">
          <cell r="B105" t="str">
            <v>AD-A00M312</v>
          </cell>
          <cell r="C105" t="str">
            <v>A00M312-AD</v>
          </cell>
          <cell r="E105" t="str">
            <v>A00M312</v>
          </cell>
          <cell r="F105">
            <v>2001</v>
          </cell>
          <cell r="G105" t="str">
            <v>p</v>
          </cell>
          <cell r="H105" t="str">
            <v>AD</v>
          </cell>
          <cell r="K105">
            <v>10</v>
          </cell>
          <cell r="O105">
            <v>10</v>
          </cell>
          <cell r="P105">
            <v>25</v>
          </cell>
          <cell r="Q105">
            <v>50</v>
          </cell>
          <cell r="U105">
            <v>5</v>
          </cell>
          <cell r="V105">
            <v>95</v>
          </cell>
          <cell r="W105">
            <v>0</v>
          </cell>
          <cell r="X105">
            <v>100</v>
          </cell>
          <cell r="Y105">
            <v>20</v>
          </cell>
          <cell r="Z105">
            <v>25</v>
          </cell>
        </row>
        <row r="106">
          <cell r="B106" t="str">
            <v>CO-A00M312</v>
          </cell>
          <cell r="C106" t="str">
            <v>A00M312-CO</v>
          </cell>
          <cell r="E106" t="str">
            <v>A00M312</v>
          </cell>
          <cell r="F106">
            <v>2001</v>
          </cell>
          <cell r="G106" t="str">
            <v>p</v>
          </cell>
          <cell r="H106" t="str">
            <v>CO</v>
          </cell>
          <cell r="O106">
            <v>5</v>
          </cell>
          <cell r="P106">
            <v>18</v>
          </cell>
          <cell r="Q106">
            <v>77</v>
          </cell>
          <cell r="V106">
            <v>100</v>
          </cell>
          <cell r="W106">
            <v>0</v>
          </cell>
          <cell r="X106">
            <v>100</v>
          </cell>
          <cell r="Y106">
            <v>5</v>
          </cell>
          <cell r="Z106">
            <v>5</v>
          </cell>
        </row>
        <row r="107">
          <cell r="B107" t="str">
            <v>IN-A00M312</v>
          </cell>
          <cell r="C107" t="str">
            <v>A00M312-IN</v>
          </cell>
          <cell r="E107" t="str">
            <v>A00M312</v>
          </cell>
          <cell r="F107">
            <v>2001</v>
          </cell>
          <cell r="G107" t="str">
            <v>p</v>
          </cell>
          <cell r="H107" t="str">
            <v>IN</v>
          </cell>
          <cell r="V107">
            <v>0</v>
          </cell>
          <cell r="W107">
            <v>100</v>
          </cell>
          <cell r="X107">
            <v>100</v>
          </cell>
          <cell r="Y107">
            <v>0</v>
          </cell>
          <cell r="Z107">
            <v>0</v>
          </cell>
        </row>
        <row r="108">
          <cell r="B108" t="str">
            <v>AD-A00M313</v>
          </cell>
          <cell r="C108" t="str">
            <v>A00M313-AD</v>
          </cell>
          <cell r="E108" t="str">
            <v>A00M313</v>
          </cell>
          <cell r="F108">
            <v>2001</v>
          </cell>
          <cell r="G108" t="str">
            <v>p</v>
          </cell>
          <cell r="H108" t="str">
            <v>AD</v>
          </cell>
          <cell r="I108">
            <v>10</v>
          </cell>
          <cell r="J108">
            <v>10</v>
          </cell>
          <cell r="K108">
            <v>5</v>
          </cell>
          <cell r="U108">
            <v>75</v>
          </cell>
          <cell r="V108">
            <v>25</v>
          </cell>
          <cell r="W108">
            <v>0</v>
          </cell>
          <cell r="X108">
            <v>100</v>
          </cell>
          <cell r="Y108">
            <v>25</v>
          </cell>
          <cell r="Z108">
            <v>100</v>
          </cell>
        </row>
        <row r="109">
          <cell r="B109" t="str">
            <v>CO-A00M313</v>
          </cell>
          <cell r="C109" t="str">
            <v>A00M313-CO</v>
          </cell>
          <cell r="E109" t="str">
            <v>A00M313</v>
          </cell>
          <cell r="F109">
            <v>2001</v>
          </cell>
          <cell r="G109" t="str">
            <v>p</v>
          </cell>
          <cell r="H109" t="str">
            <v>CO</v>
          </cell>
          <cell r="I109">
            <v>25</v>
          </cell>
          <cell r="J109">
            <v>25</v>
          </cell>
          <cell r="U109">
            <v>50</v>
          </cell>
          <cell r="V109">
            <v>50</v>
          </cell>
          <cell r="W109">
            <v>0</v>
          </cell>
          <cell r="X109">
            <v>100</v>
          </cell>
          <cell r="Y109">
            <v>50</v>
          </cell>
          <cell r="Z109">
            <v>100</v>
          </cell>
        </row>
        <row r="110">
          <cell r="B110" t="str">
            <v>IN-A00M313</v>
          </cell>
          <cell r="C110" t="str">
            <v>A00M313-IN</v>
          </cell>
          <cell r="E110" t="str">
            <v>A00M313</v>
          </cell>
          <cell r="F110">
            <v>2001</v>
          </cell>
          <cell r="G110" t="str">
            <v>p</v>
          </cell>
          <cell r="H110" t="str">
            <v>IN</v>
          </cell>
          <cell r="U110">
            <v>100</v>
          </cell>
          <cell r="V110">
            <v>0</v>
          </cell>
          <cell r="W110">
            <v>0</v>
          </cell>
          <cell r="X110">
            <v>100</v>
          </cell>
          <cell r="Y110">
            <v>0</v>
          </cell>
          <cell r="Z110">
            <v>100</v>
          </cell>
        </row>
        <row r="111">
          <cell r="B111" t="str">
            <v>AD-A00M315</v>
          </cell>
          <cell r="C111" t="str">
            <v>A00M315-AD</v>
          </cell>
          <cell r="E111" t="str">
            <v>A00M315</v>
          </cell>
          <cell r="F111">
            <v>2000</v>
          </cell>
          <cell r="G111" t="str">
            <v>p</v>
          </cell>
          <cell r="H111" t="str">
            <v>AD</v>
          </cell>
          <cell r="U111">
            <v>100</v>
          </cell>
          <cell r="V111">
            <v>0</v>
          </cell>
          <cell r="W111">
            <v>0</v>
          </cell>
          <cell r="X111">
            <v>100</v>
          </cell>
          <cell r="Y111">
            <v>0</v>
          </cell>
          <cell r="Z111">
            <v>100</v>
          </cell>
        </row>
        <row r="112">
          <cell r="B112" t="str">
            <v>CO-A00M315</v>
          </cell>
          <cell r="C112" t="str">
            <v>A00M315-CO</v>
          </cell>
          <cell r="E112" t="str">
            <v>A00M315</v>
          </cell>
          <cell r="F112">
            <v>2000</v>
          </cell>
          <cell r="G112" t="str">
            <v>p</v>
          </cell>
          <cell r="H112" t="str">
            <v>CO</v>
          </cell>
          <cell r="U112">
            <v>100</v>
          </cell>
          <cell r="V112">
            <v>0</v>
          </cell>
          <cell r="W112">
            <v>0</v>
          </cell>
          <cell r="X112">
            <v>100</v>
          </cell>
          <cell r="Y112">
            <v>0</v>
          </cell>
          <cell r="Z112">
            <v>100</v>
          </cell>
        </row>
        <row r="113">
          <cell r="B113" t="str">
            <v>IN-A00M315</v>
          </cell>
          <cell r="C113" t="str">
            <v>A00M315-IN</v>
          </cell>
          <cell r="E113" t="str">
            <v>A00M315</v>
          </cell>
          <cell r="F113">
            <v>2000</v>
          </cell>
          <cell r="G113" t="str">
            <v>p</v>
          </cell>
          <cell r="H113" t="str">
            <v>IN</v>
          </cell>
          <cell r="U113">
            <v>100</v>
          </cell>
          <cell r="V113">
            <v>0</v>
          </cell>
          <cell r="W113">
            <v>0</v>
          </cell>
          <cell r="X113">
            <v>100</v>
          </cell>
          <cell r="Y113">
            <v>0</v>
          </cell>
          <cell r="Z113">
            <v>100</v>
          </cell>
        </row>
        <row r="114">
          <cell r="B114" t="str">
            <v>AD-A00M318</v>
          </cell>
          <cell r="C114" t="str">
            <v>A00M318-AD</v>
          </cell>
          <cell r="E114" t="str">
            <v>A00M318</v>
          </cell>
          <cell r="F114">
            <v>2001</v>
          </cell>
          <cell r="G114" t="str">
            <v>p</v>
          </cell>
          <cell r="H114" t="str">
            <v>AD</v>
          </cell>
          <cell r="J114">
            <v>5</v>
          </cell>
          <cell r="K114">
            <v>4</v>
          </cell>
          <cell r="L114">
            <v>3.7</v>
          </cell>
          <cell r="U114">
            <v>87.3</v>
          </cell>
          <cell r="V114">
            <v>12.7</v>
          </cell>
          <cell r="W114">
            <v>0</v>
          </cell>
          <cell r="X114">
            <v>100</v>
          </cell>
          <cell r="Y114">
            <v>12.7</v>
          </cell>
          <cell r="Z114">
            <v>100</v>
          </cell>
        </row>
        <row r="115">
          <cell r="B115" t="str">
            <v>CO-A00M318</v>
          </cell>
          <cell r="C115" t="str">
            <v>A00M318-CO</v>
          </cell>
          <cell r="E115" t="str">
            <v>A00M318</v>
          </cell>
          <cell r="F115">
            <v>2001</v>
          </cell>
          <cell r="G115" t="str">
            <v>p</v>
          </cell>
          <cell r="H115" t="str">
            <v>CO</v>
          </cell>
          <cell r="I115">
            <v>15</v>
          </cell>
          <cell r="J115">
            <v>21</v>
          </cell>
          <cell r="K115">
            <v>6</v>
          </cell>
          <cell r="L115">
            <v>5</v>
          </cell>
          <cell r="U115">
            <v>53</v>
          </cell>
          <cell r="V115">
            <v>47</v>
          </cell>
          <cell r="W115">
            <v>0</v>
          </cell>
          <cell r="X115">
            <v>100</v>
          </cell>
          <cell r="Y115">
            <v>47</v>
          </cell>
          <cell r="Z115">
            <v>100</v>
          </cell>
        </row>
        <row r="116">
          <cell r="B116" t="str">
            <v>IN-A00M318</v>
          </cell>
          <cell r="C116" t="str">
            <v>A00M318-IN</v>
          </cell>
          <cell r="E116" t="str">
            <v>A00M318</v>
          </cell>
          <cell r="F116">
            <v>2001</v>
          </cell>
          <cell r="G116" t="str">
            <v>p</v>
          </cell>
          <cell r="H116" t="str">
            <v>IN</v>
          </cell>
          <cell r="U116">
            <v>100</v>
          </cell>
          <cell r="V116">
            <v>0</v>
          </cell>
          <cell r="W116">
            <v>0</v>
          </cell>
          <cell r="X116">
            <v>100</v>
          </cell>
          <cell r="Y116">
            <v>0</v>
          </cell>
          <cell r="Z116">
            <v>100</v>
          </cell>
        </row>
        <row r="117">
          <cell r="B117" t="str">
            <v>AD-A00M319</v>
          </cell>
          <cell r="C117" t="str">
            <v>A00M319-AD</v>
          </cell>
          <cell r="E117" t="str">
            <v>A00M319</v>
          </cell>
          <cell r="F117">
            <v>2001</v>
          </cell>
          <cell r="G117" t="str">
            <v>p</v>
          </cell>
          <cell r="H117" t="str">
            <v>AD</v>
          </cell>
          <cell r="U117">
            <v>100</v>
          </cell>
          <cell r="V117">
            <v>0</v>
          </cell>
          <cell r="W117">
            <v>0</v>
          </cell>
          <cell r="X117">
            <v>100</v>
          </cell>
          <cell r="Y117">
            <v>0</v>
          </cell>
          <cell r="Z117">
            <v>100</v>
          </cell>
        </row>
        <row r="118">
          <cell r="B118" t="str">
            <v>CO-A00M319</v>
          </cell>
          <cell r="C118" t="str">
            <v>A00M319-CO</v>
          </cell>
          <cell r="E118" t="str">
            <v>A00M319</v>
          </cell>
          <cell r="F118">
            <v>2001</v>
          </cell>
          <cell r="G118" t="str">
            <v>p</v>
          </cell>
          <cell r="H118" t="str">
            <v>CO</v>
          </cell>
          <cell r="I118">
            <v>24</v>
          </cell>
          <cell r="J118">
            <v>76</v>
          </cell>
          <cell r="V118">
            <v>100</v>
          </cell>
          <cell r="W118">
            <v>0</v>
          </cell>
          <cell r="X118">
            <v>100</v>
          </cell>
          <cell r="Y118">
            <v>100</v>
          </cell>
          <cell r="Z118">
            <v>100</v>
          </cell>
        </row>
        <row r="119">
          <cell r="B119" t="str">
            <v>IN-A00M319</v>
          </cell>
          <cell r="C119" t="str">
            <v>A00M319-IN</v>
          </cell>
          <cell r="E119" t="str">
            <v>A00M319</v>
          </cell>
          <cell r="F119">
            <v>2001</v>
          </cell>
          <cell r="G119" t="str">
            <v>p</v>
          </cell>
          <cell r="H119" t="str">
            <v>IN</v>
          </cell>
          <cell r="V119">
            <v>0</v>
          </cell>
          <cell r="W119">
            <v>100</v>
          </cell>
          <cell r="X119">
            <v>100</v>
          </cell>
          <cell r="Y119">
            <v>0</v>
          </cell>
          <cell r="Z119">
            <v>0</v>
          </cell>
        </row>
        <row r="120">
          <cell r="B120" t="str">
            <v>AD-A00M321</v>
          </cell>
          <cell r="C120" t="str">
            <v>A00M321-AD</v>
          </cell>
          <cell r="E120" t="str">
            <v>A00M321</v>
          </cell>
          <cell r="F120">
            <v>2000</v>
          </cell>
          <cell r="G120" t="str">
            <v>p</v>
          </cell>
          <cell r="H120" t="str">
            <v>AD</v>
          </cell>
          <cell r="U120">
            <v>100</v>
          </cell>
          <cell r="V120">
            <v>0</v>
          </cell>
          <cell r="W120">
            <v>0</v>
          </cell>
          <cell r="X120">
            <v>100</v>
          </cell>
          <cell r="Y120">
            <v>0</v>
          </cell>
          <cell r="Z120">
            <v>100</v>
          </cell>
        </row>
        <row r="121">
          <cell r="B121" t="str">
            <v>CO-A00M321</v>
          </cell>
          <cell r="C121" t="str">
            <v>A00M321-CO</v>
          </cell>
          <cell r="E121" t="str">
            <v>A00M321</v>
          </cell>
          <cell r="F121">
            <v>2000</v>
          </cell>
          <cell r="G121" t="str">
            <v>p</v>
          </cell>
          <cell r="H121" t="str">
            <v>CO</v>
          </cell>
          <cell r="U121">
            <v>100</v>
          </cell>
          <cell r="V121">
            <v>0</v>
          </cell>
          <cell r="W121">
            <v>0</v>
          </cell>
          <cell r="X121">
            <v>100</v>
          </cell>
          <cell r="Y121">
            <v>0</v>
          </cell>
          <cell r="Z121">
            <v>100</v>
          </cell>
        </row>
        <row r="122">
          <cell r="B122" t="str">
            <v>IN-A00M321</v>
          </cell>
          <cell r="C122" t="str">
            <v>A00M321-IN</v>
          </cell>
          <cell r="E122" t="str">
            <v>A00M321</v>
          </cell>
          <cell r="F122">
            <v>2000</v>
          </cell>
          <cell r="G122" t="str">
            <v>p</v>
          </cell>
          <cell r="H122" t="str">
            <v>IN</v>
          </cell>
          <cell r="U122">
            <v>100</v>
          </cell>
          <cell r="V122">
            <v>0</v>
          </cell>
          <cell r="W122">
            <v>0</v>
          </cell>
          <cell r="X122">
            <v>100</v>
          </cell>
          <cell r="Y122">
            <v>0</v>
          </cell>
          <cell r="Z122">
            <v>100</v>
          </cell>
        </row>
        <row r="123">
          <cell r="B123" t="str">
            <v>AD-A00M322</v>
          </cell>
          <cell r="C123" t="str">
            <v>A00M322-AD</v>
          </cell>
          <cell r="E123" t="str">
            <v>A00M322</v>
          </cell>
          <cell r="F123">
            <v>2001</v>
          </cell>
          <cell r="G123" t="str">
            <v>p</v>
          </cell>
          <cell r="H123" t="str">
            <v>AD</v>
          </cell>
          <cell r="K123">
            <v>57</v>
          </cell>
          <cell r="L123">
            <v>18</v>
          </cell>
          <cell r="U123">
            <v>25</v>
          </cell>
          <cell r="V123">
            <v>75</v>
          </cell>
          <cell r="W123">
            <v>0</v>
          </cell>
          <cell r="X123">
            <v>100</v>
          </cell>
          <cell r="Y123">
            <v>75</v>
          </cell>
          <cell r="Z123">
            <v>100</v>
          </cell>
        </row>
        <row r="124">
          <cell r="B124" t="str">
            <v>CO-A00M322</v>
          </cell>
          <cell r="C124" t="str">
            <v>A00M322-CO</v>
          </cell>
          <cell r="E124" t="str">
            <v>A00M322</v>
          </cell>
          <cell r="F124">
            <v>2001</v>
          </cell>
          <cell r="G124" t="str">
            <v>p</v>
          </cell>
          <cell r="H124" t="str">
            <v>CO</v>
          </cell>
          <cell r="L124">
            <v>50</v>
          </cell>
          <cell r="M124">
            <v>38</v>
          </cell>
          <cell r="N124">
            <v>12</v>
          </cell>
          <cell r="V124">
            <v>100</v>
          </cell>
          <cell r="W124">
            <v>0</v>
          </cell>
          <cell r="X124">
            <v>100</v>
          </cell>
          <cell r="Y124">
            <v>100</v>
          </cell>
          <cell r="Z124">
            <v>100</v>
          </cell>
        </row>
        <row r="125">
          <cell r="B125" t="str">
            <v>IN-A00M322</v>
          </cell>
          <cell r="C125" t="str">
            <v>A00M322-IN</v>
          </cell>
          <cell r="E125" t="str">
            <v>A00M322</v>
          </cell>
          <cell r="F125">
            <v>2001</v>
          </cell>
          <cell r="G125" t="str">
            <v>p</v>
          </cell>
          <cell r="H125" t="str">
            <v>IN</v>
          </cell>
          <cell r="V125">
            <v>0</v>
          </cell>
          <cell r="W125">
            <v>100</v>
          </cell>
          <cell r="X125">
            <v>100</v>
          </cell>
          <cell r="Y125">
            <v>0</v>
          </cell>
          <cell r="Z125">
            <v>0</v>
          </cell>
        </row>
        <row r="126">
          <cell r="B126" t="str">
            <v>AD-A00M330</v>
          </cell>
          <cell r="C126" t="str">
            <v>A00M330-AD</v>
          </cell>
          <cell r="E126" t="str">
            <v>A00M330</v>
          </cell>
          <cell r="F126">
            <v>2000</v>
          </cell>
          <cell r="G126" t="str">
            <v>p</v>
          </cell>
          <cell r="H126" t="str">
            <v>AD</v>
          </cell>
          <cell r="U126">
            <v>100</v>
          </cell>
          <cell r="V126">
            <v>0</v>
          </cell>
          <cell r="W126">
            <v>0</v>
          </cell>
          <cell r="X126">
            <v>100</v>
          </cell>
          <cell r="Y126">
            <v>0</v>
          </cell>
          <cell r="Z126">
            <v>100</v>
          </cell>
        </row>
        <row r="127">
          <cell r="B127" t="str">
            <v>CO-A00M330</v>
          </cell>
          <cell r="C127" t="str">
            <v>A00M330-CO</v>
          </cell>
          <cell r="E127" t="str">
            <v>A00M330</v>
          </cell>
          <cell r="F127">
            <v>2000</v>
          </cell>
          <cell r="G127" t="str">
            <v>p</v>
          </cell>
          <cell r="H127" t="str">
            <v>CO</v>
          </cell>
          <cell r="U127">
            <v>100</v>
          </cell>
          <cell r="V127">
            <v>0</v>
          </cell>
          <cell r="W127">
            <v>0</v>
          </cell>
          <cell r="X127">
            <v>100</v>
          </cell>
          <cell r="Y127">
            <v>0</v>
          </cell>
          <cell r="Z127">
            <v>100</v>
          </cell>
        </row>
        <row r="128">
          <cell r="B128" t="str">
            <v>IN-A00M330</v>
          </cell>
          <cell r="C128" t="str">
            <v>A00M330-IN</v>
          </cell>
          <cell r="E128" t="str">
            <v>A00M330</v>
          </cell>
          <cell r="F128">
            <v>2000</v>
          </cell>
          <cell r="G128" t="str">
            <v>p</v>
          </cell>
          <cell r="H128" t="str">
            <v>IN</v>
          </cell>
          <cell r="U128">
            <v>100</v>
          </cell>
          <cell r="V128">
            <v>0</v>
          </cell>
          <cell r="W128">
            <v>0</v>
          </cell>
          <cell r="X128">
            <v>100</v>
          </cell>
          <cell r="Y128">
            <v>0</v>
          </cell>
          <cell r="Z128">
            <v>100</v>
          </cell>
        </row>
        <row r="129">
          <cell r="B129" t="str">
            <v>AD-A00M331</v>
          </cell>
          <cell r="C129" t="str">
            <v>A00M331-AD</v>
          </cell>
          <cell r="E129" t="str">
            <v>A00M331</v>
          </cell>
          <cell r="F129">
            <v>2000</v>
          </cell>
          <cell r="G129" t="str">
            <v>p</v>
          </cell>
          <cell r="H129" t="str">
            <v>AD</v>
          </cell>
          <cell r="U129">
            <v>100</v>
          </cell>
          <cell r="V129">
            <v>0</v>
          </cell>
          <cell r="W129">
            <v>0</v>
          </cell>
          <cell r="X129">
            <v>100</v>
          </cell>
          <cell r="Y129">
            <v>0</v>
          </cell>
          <cell r="Z129">
            <v>100</v>
          </cell>
        </row>
        <row r="130">
          <cell r="B130" t="str">
            <v>CO-A00M331</v>
          </cell>
          <cell r="C130" t="str">
            <v>A00M331-CO</v>
          </cell>
          <cell r="E130" t="str">
            <v>A00M331</v>
          </cell>
          <cell r="F130">
            <v>2000</v>
          </cell>
          <cell r="G130" t="str">
            <v>p</v>
          </cell>
          <cell r="H130" t="str">
            <v>CO</v>
          </cell>
          <cell r="U130">
            <v>100</v>
          </cell>
          <cell r="V130">
            <v>0</v>
          </cell>
          <cell r="W130">
            <v>0</v>
          </cell>
          <cell r="X130">
            <v>100</v>
          </cell>
          <cell r="Y130">
            <v>0</v>
          </cell>
          <cell r="Z130">
            <v>100</v>
          </cell>
        </row>
        <row r="131">
          <cell r="B131" t="str">
            <v>IN-A00M331</v>
          </cell>
          <cell r="C131" t="str">
            <v>A00M331-IN</v>
          </cell>
          <cell r="E131" t="str">
            <v>A00M331</v>
          </cell>
          <cell r="F131">
            <v>2000</v>
          </cell>
          <cell r="G131" t="str">
            <v>p</v>
          </cell>
          <cell r="H131" t="str">
            <v>IN</v>
          </cell>
          <cell r="U131">
            <v>100</v>
          </cell>
          <cell r="V131">
            <v>0</v>
          </cell>
          <cell r="W131">
            <v>0</v>
          </cell>
          <cell r="X131">
            <v>100</v>
          </cell>
          <cell r="Y131">
            <v>0</v>
          </cell>
          <cell r="Z131">
            <v>100</v>
          </cell>
        </row>
        <row r="132">
          <cell r="B132" t="str">
            <v>AD-A01M101</v>
          </cell>
          <cell r="C132" t="str">
            <v>A01M101-AD</v>
          </cell>
          <cell r="E132" t="str">
            <v>A01M101</v>
          </cell>
          <cell r="F132">
            <v>2001</v>
          </cell>
          <cell r="G132" t="str">
            <v>p</v>
          </cell>
          <cell r="H132" t="str">
            <v>AD</v>
          </cell>
          <cell r="V132">
            <v>0</v>
          </cell>
          <cell r="W132">
            <v>100</v>
          </cell>
          <cell r="X132">
            <v>100</v>
          </cell>
          <cell r="Y132">
            <v>0</v>
          </cell>
          <cell r="Z132">
            <v>0</v>
          </cell>
        </row>
        <row r="133">
          <cell r="B133" t="str">
            <v>CO-A01M101</v>
          </cell>
          <cell r="C133" t="str">
            <v>A01M101-CO</v>
          </cell>
          <cell r="E133" t="str">
            <v>A01M101</v>
          </cell>
          <cell r="F133">
            <v>2001</v>
          </cell>
          <cell r="G133" t="str">
            <v>p</v>
          </cell>
          <cell r="H133" t="str">
            <v>CO</v>
          </cell>
          <cell r="V133">
            <v>0</v>
          </cell>
          <cell r="W133">
            <v>100</v>
          </cell>
          <cell r="X133">
            <v>100</v>
          </cell>
          <cell r="Y133">
            <v>0</v>
          </cell>
          <cell r="Z133">
            <v>0</v>
          </cell>
        </row>
        <row r="134">
          <cell r="B134" t="str">
            <v>IN-A01M101</v>
          </cell>
          <cell r="C134" t="str">
            <v>A01M101-IN</v>
          </cell>
          <cell r="E134" t="str">
            <v>A01M101</v>
          </cell>
          <cell r="F134">
            <v>2001</v>
          </cell>
          <cell r="G134" t="str">
            <v>p</v>
          </cell>
          <cell r="H134" t="str">
            <v>IN</v>
          </cell>
          <cell r="L134">
            <v>30</v>
          </cell>
          <cell r="M134">
            <v>30</v>
          </cell>
          <cell r="N134">
            <v>30</v>
          </cell>
          <cell r="O134">
            <v>5</v>
          </cell>
          <cell r="P134">
            <v>5</v>
          </cell>
          <cell r="V134">
            <v>100</v>
          </cell>
          <cell r="W134">
            <v>0</v>
          </cell>
          <cell r="X134">
            <v>100</v>
          </cell>
          <cell r="Y134">
            <v>95</v>
          </cell>
          <cell r="Z134">
            <v>95</v>
          </cell>
        </row>
        <row r="135">
          <cell r="B135" t="str">
            <v>AD-A01M103</v>
          </cell>
          <cell r="C135" t="str">
            <v>A01M103-AD</v>
          </cell>
          <cell r="E135" t="str">
            <v>A01M103</v>
          </cell>
          <cell r="F135">
            <v>2001</v>
          </cell>
          <cell r="G135" t="str">
            <v>p</v>
          </cell>
          <cell r="H135" t="str">
            <v>AD</v>
          </cell>
          <cell r="V135">
            <v>0</v>
          </cell>
          <cell r="W135">
            <v>100</v>
          </cell>
          <cell r="X135">
            <v>100</v>
          </cell>
          <cell r="Y135">
            <v>0</v>
          </cell>
          <cell r="Z135">
            <v>0</v>
          </cell>
        </row>
        <row r="136">
          <cell r="B136" t="str">
            <v>CO-A01M103</v>
          </cell>
          <cell r="C136" t="str">
            <v>A01M103-CO</v>
          </cell>
          <cell r="E136" t="str">
            <v>A01M103</v>
          </cell>
          <cell r="F136">
            <v>2001</v>
          </cell>
          <cell r="G136" t="str">
            <v>p</v>
          </cell>
          <cell r="H136" t="str">
            <v>CO</v>
          </cell>
          <cell r="V136">
            <v>0</v>
          </cell>
          <cell r="W136">
            <v>100</v>
          </cell>
          <cell r="X136">
            <v>100</v>
          </cell>
          <cell r="Y136">
            <v>0</v>
          </cell>
          <cell r="Z136">
            <v>0</v>
          </cell>
        </row>
        <row r="137">
          <cell r="B137" t="str">
            <v>IN-A01M103</v>
          </cell>
          <cell r="C137" t="str">
            <v>A01M103-IN</v>
          </cell>
          <cell r="E137" t="str">
            <v>A01M103</v>
          </cell>
          <cell r="F137">
            <v>2001</v>
          </cell>
          <cell r="G137" t="str">
            <v>p</v>
          </cell>
          <cell r="H137" t="str">
            <v>IN</v>
          </cell>
          <cell r="N137">
            <v>77</v>
          </cell>
          <cell r="O137">
            <v>20.5</v>
          </cell>
          <cell r="P137">
            <v>2.5</v>
          </cell>
          <cell r="V137">
            <v>100</v>
          </cell>
          <cell r="W137">
            <v>0</v>
          </cell>
          <cell r="X137">
            <v>100</v>
          </cell>
          <cell r="Y137">
            <v>97.5</v>
          </cell>
          <cell r="Z137">
            <v>97.5</v>
          </cell>
        </row>
        <row r="138">
          <cell r="B138" t="str">
            <v>AD-A01M104</v>
          </cell>
          <cell r="C138" t="str">
            <v>A01M104-AD</v>
          </cell>
          <cell r="E138" t="str">
            <v>A01M104</v>
          </cell>
          <cell r="F138">
            <v>2001</v>
          </cell>
          <cell r="G138" t="str">
            <v>p</v>
          </cell>
          <cell r="H138" t="str">
            <v>AD</v>
          </cell>
          <cell r="V138">
            <v>0</v>
          </cell>
          <cell r="W138">
            <v>100</v>
          </cell>
          <cell r="X138">
            <v>100</v>
          </cell>
          <cell r="Y138">
            <v>0</v>
          </cell>
          <cell r="Z138">
            <v>0</v>
          </cell>
        </row>
        <row r="139">
          <cell r="B139" t="str">
            <v>CO-A01M104</v>
          </cell>
          <cell r="C139" t="str">
            <v>A01M104-CO</v>
          </cell>
          <cell r="E139" t="str">
            <v>A01M104</v>
          </cell>
          <cell r="F139">
            <v>2001</v>
          </cell>
          <cell r="G139" t="str">
            <v>p</v>
          </cell>
          <cell r="H139" t="str">
            <v>CO</v>
          </cell>
          <cell r="V139">
            <v>0</v>
          </cell>
          <cell r="W139">
            <v>100</v>
          </cell>
          <cell r="X139">
            <v>100</v>
          </cell>
          <cell r="Y139">
            <v>0</v>
          </cell>
          <cell r="Z139">
            <v>0</v>
          </cell>
        </row>
        <row r="140">
          <cell r="B140" t="str">
            <v>IN-A01M104</v>
          </cell>
          <cell r="C140" t="str">
            <v>A01M104-IN</v>
          </cell>
          <cell r="E140" t="str">
            <v>A01M104</v>
          </cell>
          <cell r="F140">
            <v>2001</v>
          </cell>
          <cell r="G140" t="str">
            <v>p</v>
          </cell>
          <cell r="H140" t="str">
            <v>IN</v>
          </cell>
          <cell r="M140">
            <v>30</v>
          </cell>
          <cell r="N140">
            <v>27</v>
          </cell>
          <cell r="O140">
            <v>27</v>
          </cell>
          <cell r="P140">
            <v>16</v>
          </cell>
          <cell r="V140">
            <v>100</v>
          </cell>
          <cell r="W140">
            <v>0</v>
          </cell>
          <cell r="X140">
            <v>100</v>
          </cell>
          <cell r="Y140">
            <v>84</v>
          </cell>
          <cell r="Z140">
            <v>84</v>
          </cell>
        </row>
        <row r="141">
          <cell r="B141" t="str">
            <v>AD-A01M201</v>
          </cell>
          <cell r="C141" t="str">
            <v>A01M201-AD</v>
          </cell>
          <cell r="E141" t="str">
            <v>A01M201</v>
          </cell>
          <cell r="F141">
            <v>2002</v>
          </cell>
          <cell r="G141" t="str">
            <v>p</v>
          </cell>
          <cell r="H141" t="str">
            <v>AD</v>
          </cell>
          <cell r="V141">
            <v>0</v>
          </cell>
          <cell r="W141">
            <v>100</v>
          </cell>
          <cell r="X141">
            <v>100</v>
          </cell>
          <cell r="Y141">
            <v>0</v>
          </cell>
          <cell r="Z141">
            <v>0</v>
          </cell>
        </row>
        <row r="142">
          <cell r="B142" t="str">
            <v>CO-A01M201</v>
          </cell>
          <cell r="C142" t="str">
            <v>A01M201-CO</v>
          </cell>
          <cell r="E142" t="str">
            <v>A01M201</v>
          </cell>
          <cell r="F142">
            <v>2002</v>
          </cell>
          <cell r="G142" t="str">
            <v>p</v>
          </cell>
          <cell r="H142" t="str">
            <v>CO</v>
          </cell>
          <cell r="V142">
            <v>0</v>
          </cell>
          <cell r="W142">
            <v>100</v>
          </cell>
          <cell r="X142">
            <v>100</v>
          </cell>
          <cell r="Y142">
            <v>0</v>
          </cell>
          <cell r="Z142">
            <v>0</v>
          </cell>
        </row>
        <row r="143">
          <cell r="B143" t="str">
            <v>IN-A01M201</v>
          </cell>
          <cell r="C143" t="str">
            <v>A01M201-IN</v>
          </cell>
          <cell r="E143" t="str">
            <v>A01M201</v>
          </cell>
          <cell r="F143">
            <v>2002</v>
          </cell>
          <cell r="G143" t="str">
            <v>p</v>
          </cell>
          <cell r="H143" t="str">
            <v>IN</v>
          </cell>
          <cell r="P143">
            <v>5.2</v>
          </cell>
          <cell r="Q143">
            <v>11.1</v>
          </cell>
          <cell r="R143">
            <v>18.2</v>
          </cell>
          <cell r="S143">
            <v>25.7</v>
          </cell>
          <cell r="T143">
            <v>18.600000000000001</v>
          </cell>
          <cell r="V143">
            <v>78.800000000000011</v>
          </cell>
          <cell r="W143">
            <v>21.199999999999989</v>
          </cell>
          <cell r="X143">
            <v>100</v>
          </cell>
          <cell r="Y143">
            <v>0</v>
          </cell>
          <cell r="Z143">
            <v>0</v>
          </cell>
        </row>
        <row r="144">
          <cell r="B144" t="str">
            <v>AD-A01M301</v>
          </cell>
          <cell r="C144" t="str">
            <v>A01M301-AD</v>
          </cell>
          <cell r="E144" t="str">
            <v>A01M301</v>
          </cell>
          <cell r="F144">
            <v>2001</v>
          </cell>
          <cell r="G144" t="str">
            <v>p</v>
          </cell>
          <cell r="H144" t="str">
            <v>AD</v>
          </cell>
          <cell r="V144">
            <v>0</v>
          </cell>
          <cell r="W144">
            <v>100</v>
          </cell>
          <cell r="X144">
            <v>100</v>
          </cell>
          <cell r="Y144">
            <v>0</v>
          </cell>
          <cell r="Z144">
            <v>0</v>
          </cell>
        </row>
        <row r="145">
          <cell r="B145" t="str">
            <v>CO-A01M301</v>
          </cell>
          <cell r="C145" t="str">
            <v>A01M301-CO</v>
          </cell>
          <cell r="E145" t="str">
            <v>A01M301</v>
          </cell>
          <cell r="F145">
            <v>2001</v>
          </cell>
          <cell r="G145" t="str">
            <v>p</v>
          </cell>
          <cell r="H145" t="str">
            <v>CO</v>
          </cell>
          <cell r="Q145">
            <v>20</v>
          </cell>
          <cell r="R145">
            <v>19</v>
          </cell>
          <cell r="S145">
            <v>45</v>
          </cell>
          <cell r="T145">
            <v>16</v>
          </cell>
          <cell r="V145">
            <v>100</v>
          </cell>
          <cell r="W145">
            <v>0</v>
          </cell>
          <cell r="X145">
            <v>100</v>
          </cell>
          <cell r="Y145">
            <v>0</v>
          </cell>
          <cell r="Z145">
            <v>0</v>
          </cell>
        </row>
        <row r="146">
          <cell r="B146" t="str">
            <v>IN-A01M301</v>
          </cell>
          <cell r="C146" t="str">
            <v>A01M301-IN</v>
          </cell>
          <cell r="E146" t="str">
            <v>A01M301</v>
          </cell>
          <cell r="F146">
            <v>2001</v>
          </cell>
          <cell r="G146" t="str">
            <v>p</v>
          </cell>
          <cell r="H146" t="str">
            <v>IN</v>
          </cell>
          <cell r="M146">
            <v>80</v>
          </cell>
          <cell r="N146">
            <v>20</v>
          </cell>
          <cell r="V146">
            <v>100</v>
          </cell>
          <cell r="W146">
            <v>0</v>
          </cell>
          <cell r="X146">
            <v>100</v>
          </cell>
          <cell r="Y146">
            <v>100</v>
          </cell>
          <cell r="Z146">
            <v>100</v>
          </cell>
        </row>
        <row r="147">
          <cell r="B147" t="str">
            <v>AD-A01M303</v>
          </cell>
          <cell r="C147" t="str">
            <v>A01M303-AD</v>
          </cell>
          <cell r="E147" t="str">
            <v>A01M303</v>
          </cell>
          <cell r="F147">
            <v>2002</v>
          </cell>
          <cell r="G147" t="str">
            <v>p</v>
          </cell>
          <cell r="H147" t="str">
            <v>AD</v>
          </cell>
          <cell r="P147">
            <v>25</v>
          </cell>
          <cell r="T147">
            <v>45</v>
          </cell>
          <cell r="V147">
            <v>70</v>
          </cell>
          <cell r="W147">
            <v>30</v>
          </cell>
          <cell r="X147">
            <v>100</v>
          </cell>
          <cell r="Y147">
            <v>0</v>
          </cell>
          <cell r="Z147">
            <v>0</v>
          </cell>
        </row>
        <row r="148">
          <cell r="B148" t="str">
            <v>CO-A01M303</v>
          </cell>
          <cell r="C148" t="str">
            <v>A01M303-CO</v>
          </cell>
          <cell r="E148" t="str">
            <v>A01M303</v>
          </cell>
          <cell r="F148">
            <v>2002</v>
          </cell>
          <cell r="G148" t="str">
            <v>p</v>
          </cell>
          <cell r="H148" t="str">
            <v>CO</v>
          </cell>
          <cell r="V148">
            <v>0</v>
          </cell>
          <cell r="W148">
            <v>100</v>
          </cell>
          <cell r="X148">
            <v>100</v>
          </cell>
          <cell r="Y148">
            <v>0</v>
          </cell>
          <cell r="Z148">
            <v>0</v>
          </cell>
        </row>
        <row r="149">
          <cell r="B149" t="str">
            <v>IN-A01M303</v>
          </cell>
          <cell r="C149" t="str">
            <v>A01M303-IN</v>
          </cell>
          <cell r="E149" t="str">
            <v>A01M303</v>
          </cell>
          <cell r="F149">
            <v>2002</v>
          </cell>
          <cell r="G149" t="str">
            <v>p</v>
          </cell>
          <cell r="H149" t="str">
            <v>IN</v>
          </cell>
          <cell r="P149">
            <v>13</v>
          </cell>
          <cell r="Q149">
            <v>12</v>
          </cell>
          <cell r="R149">
            <v>12</v>
          </cell>
          <cell r="S149">
            <v>12</v>
          </cell>
          <cell r="T149">
            <v>12</v>
          </cell>
          <cell r="V149">
            <v>61</v>
          </cell>
          <cell r="W149">
            <v>39</v>
          </cell>
          <cell r="X149">
            <v>100</v>
          </cell>
          <cell r="Y149">
            <v>0</v>
          </cell>
          <cell r="Z149">
            <v>0</v>
          </cell>
        </row>
        <row r="150">
          <cell r="B150" t="str">
            <v>AD-A01M304</v>
          </cell>
          <cell r="C150" t="str">
            <v>A01M304-AD</v>
          </cell>
          <cell r="E150" t="str">
            <v>A01M304</v>
          </cell>
          <cell r="F150">
            <v>2001</v>
          </cell>
          <cell r="G150" t="str">
            <v>p</v>
          </cell>
          <cell r="H150" t="str">
            <v>AD</v>
          </cell>
          <cell r="P150">
            <v>5</v>
          </cell>
          <cell r="Q150">
            <v>10</v>
          </cell>
          <cell r="R150">
            <v>85</v>
          </cell>
          <cell r="V150">
            <v>100</v>
          </cell>
          <cell r="W150">
            <v>0</v>
          </cell>
          <cell r="X150">
            <v>100</v>
          </cell>
          <cell r="Y150">
            <v>0</v>
          </cell>
          <cell r="Z150">
            <v>0</v>
          </cell>
        </row>
        <row r="151">
          <cell r="B151" t="str">
            <v>CO-A01M304</v>
          </cell>
          <cell r="C151" t="str">
            <v>A01M304-CO</v>
          </cell>
          <cell r="E151" t="str">
            <v>A01M304</v>
          </cell>
          <cell r="F151">
            <v>2001</v>
          </cell>
          <cell r="G151" t="str">
            <v>p</v>
          </cell>
          <cell r="H151" t="str">
            <v>CO</v>
          </cell>
          <cell r="S151">
            <v>50</v>
          </cell>
          <cell r="T151">
            <v>50</v>
          </cell>
          <cell r="V151">
            <v>100</v>
          </cell>
          <cell r="W151">
            <v>0</v>
          </cell>
          <cell r="X151">
            <v>100</v>
          </cell>
          <cell r="Y151">
            <v>0</v>
          </cell>
          <cell r="Z151">
            <v>0</v>
          </cell>
        </row>
        <row r="152">
          <cell r="B152" t="str">
            <v>IN-A01M304</v>
          </cell>
          <cell r="C152" t="str">
            <v>A01M304-IN</v>
          </cell>
          <cell r="E152" t="str">
            <v>A01M304</v>
          </cell>
          <cell r="F152">
            <v>2001</v>
          </cell>
          <cell r="G152" t="str">
            <v>p</v>
          </cell>
          <cell r="H152" t="str">
            <v>IN</v>
          </cell>
          <cell r="V152">
            <v>0</v>
          </cell>
          <cell r="W152">
            <v>100</v>
          </cell>
          <cell r="X152">
            <v>100</v>
          </cell>
          <cell r="Y152">
            <v>0</v>
          </cell>
          <cell r="Z152">
            <v>0</v>
          </cell>
        </row>
        <row r="153">
          <cell r="B153" t="str">
            <v>AD-A01M305</v>
          </cell>
          <cell r="C153" t="str">
            <v>A01M305-AD</v>
          </cell>
          <cell r="E153" t="str">
            <v>A01M305</v>
          </cell>
          <cell r="F153">
            <v>2001</v>
          </cell>
          <cell r="G153" t="str">
            <v>p</v>
          </cell>
          <cell r="H153" t="str">
            <v>AD</v>
          </cell>
          <cell r="P153">
            <v>5</v>
          </cell>
          <cell r="Q153">
            <v>10</v>
          </cell>
          <cell r="R153">
            <v>85</v>
          </cell>
          <cell r="V153">
            <v>100</v>
          </cell>
          <cell r="W153">
            <v>0</v>
          </cell>
          <cell r="X153">
            <v>100</v>
          </cell>
          <cell r="Y153">
            <v>0</v>
          </cell>
          <cell r="Z153">
            <v>0</v>
          </cell>
        </row>
        <row r="154">
          <cell r="B154" t="str">
            <v>CO-A01M305</v>
          </cell>
          <cell r="C154" t="str">
            <v>A01M305-CO</v>
          </cell>
          <cell r="E154" t="str">
            <v>A01M305</v>
          </cell>
          <cell r="F154">
            <v>2001</v>
          </cell>
          <cell r="G154" t="str">
            <v>p</v>
          </cell>
          <cell r="H154" t="str">
            <v>CO</v>
          </cell>
          <cell r="S154">
            <v>50</v>
          </cell>
          <cell r="T154">
            <v>50</v>
          </cell>
          <cell r="V154">
            <v>100</v>
          </cell>
          <cell r="W154">
            <v>0</v>
          </cell>
          <cell r="X154">
            <v>100</v>
          </cell>
          <cell r="Y154">
            <v>0</v>
          </cell>
          <cell r="Z154">
            <v>0</v>
          </cell>
        </row>
        <row r="155">
          <cell r="B155" t="str">
            <v>IN-A01M305</v>
          </cell>
          <cell r="C155" t="str">
            <v>A01M305-IN</v>
          </cell>
          <cell r="E155" t="str">
            <v>A01M305</v>
          </cell>
          <cell r="F155">
            <v>2001</v>
          </cell>
          <cell r="G155" t="str">
            <v>p</v>
          </cell>
          <cell r="H155" t="str">
            <v>IN</v>
          </cell>
          <cell r="V155">
            <v>0</v>
          </cell>
          <cell r="W155">
            <v>100</v>
          </cell>
          <cell r="X155">
            <v>100</v>
          </cell>
          <cell r="Y155">
            <v>0</v>
          </cell>
          <cell r="Z155">
            <v>0</v>
          </cell>
        </row>
        <row r="156">
          <cell r="B156" t="str">
            <v>AD-A01M307</v>
          </cell>
          <cell r="C156" t="str">
            <v>A01M307-AD</v>
          </cell>
          <cell r="E156" t="str">
            <v>A01M307</v>
          </cell>
          <cell r="F156">
            <v>2002</v>
          </cell>
          <cell r="G156" t="str">
            <v>p</v>
          </cell>
          <cell r="H156" t="str">
            <v>AD</v>
          </cell>
          <cell r="Q156">
            <v>5</v>
          </cell>
          <cell r="R156">
            <v>10</v>
          </cell>
          <cell r="T156">
            <v>85</v>
          </cell>
          <cell r="V156">
            <v>100</v>
          </cell>
          <cell r="W156">
            <v>0</v>
          </cell>
          <cell r="X156">
            <v>100</v>
          </cell>
          <cell r="Y156">
            <v>0</v>
          </cell>
          <cell r="Z156">
            <v>0</v>
          </cell>
        </row>
        <row r="157">
          <cell r="B157" t="str">
            <v>CO-A01M307</v>
          </cell>
          <cell r="C157" t="str">
            <v>A01M307-CO</v>
          </cell>
          <cell r="E157" t="str">
            <v>A01M307</v>
          </cell>
          <cell r="F157">
            <v>2002</v>
          </cell>
          <cell r="G157" t="str">
            <v>p</v>
          </cell>
          <cell r="H157" t="str">
            <v>CO</v>
          </cell>
          <cell r="V157">
            <v>0</v>
          </cell>
          <cell r="W157">
            <v>100</v>
          </cell>
          <cell r="X157">
            <v>100</v>
          </cell>
          <cell r="Y157">
            <v>0</v>
          </cell>
          <cell r="Z157">
            <v>0</v>
          </cell>
        </row>
        <row r="158">
          <cell r="B158" t="str">
            <v>IN-A01M307</v>
          </cell>
          <cell r="C158" t="str">
            <v>A01M307-IN</v>
          </cell>
          <cell r="E158" t="str">
            <v>A01M307</v>
          </cell>
          <cell r="F158">
            <v>2002</v>
          </cell>
          <cell r="G158" t="str">
            <v>p</v>
          </cell>
          <cell r="H158" t="str">
            <v>IN</v>
          </cell>
          <cell r="Q158">
            <v>70</v>
          </cell>
          <cell r="R158">
            <v>30</v>
          </cell>
          <cell r="V158">
            <v>100</v>
          </cell>
          <cell r="W158">
            <v>0</v>
          </cell>
          <cell r="X158">
            <v>100</v>
          </cell>
          <cell r="Y158">
            <v>0</v>
          </cell>
          <cell r="Z158">
            <v>0</v>
          </cell>
        </row>
        <row r="159">
          <cell r="B159" t="str">
            <v>AD-A01M308</v>
          </cell>
          <cell r="C159" t="str">
            <v>A01M308-AD</v>
          </cell>
          <cell r="E159" t="str">
            <v>A01M308</v>
          </cell>
          <cell r="F159">
            <v>2001</v>
          </cell>
          <cell r="G159" t="str">
            <v>p</v>
          </cell>
          <cell r="H159" t="str">
            <v>AD</v>
          </cell>
          <cell r="L159">
            <v>5</v>
          </cell>
          <cell r="M159">
            <v>20</v>
          </cell>
          <cell r="O159">
            <v>55</v>
          </cell>
          <cell r="P159">
            <v>20</v>
          </cell>
          <cell r="V159">
            <v>100</v>
          </cell>
          <cell r="W159">
            <v>0</v>
          </cell>
          <cell r="X159">
            <v>100</v>
          </cell>
          <cell r="Y159">
            <v>80</v>
          </cell>
          <cell r="Z159">
            <v>80</v>
          </cell>
        </row>
        <row r="160">
          <cell r="B160" t="str">
            <v>CO-A01M308</v>
          </cell>
          <cell r="C160" t="str">
            <v>A01M308-CO</v>
          </cell>
          <cell r="E160" t="str">
            <v>A01M308</v>
          </cell>
          <cell r="F160">
            <v>2001</v>
          </cell>
          <cell r="G160" t="str">
            <v>p</v>
          </cell>
          <cell r="H160" t="str">
            <v>CO</v>
          </cell>
          <cell r="P160">
            <v>25</v>
          </cell>
          <cell r="Q160">
            <v>67.5</v>
          </cell>
          <cell r="R160">
            <v>7.5</v>
          </cell>
          <cell r="V160">
            <v>100</v>
          </cell>
          <cell r="W160">
            <v>0</v>
          </cell>
          <cell r="X160">
            <v>100</v>
          </cell>
          <cell r="Y160">
            <v>0</v>
          </cell>
          <cell r="Z160">
            <v>0</v>
          </cell>
        </row>
        <row r="161">
          <cell r="B161" t="str">
            <v>IN-A01M308</v>
          </cell>
          <cell r="C161" t="str">
            <v>A01M308-IN</v>
          </cell>
          <cell r="E161" t="str">
            <v>A01M308</v>
          </cell>
          <cell r="F161">
            <v>2001</v>
          </cell>
          <cell r="G161" t="str">
            <v>p</v>
          </cell>
          <cell r="H161" t="str">
            <v>IN</v>
          </cell>
          <cell r="M161">
            <v>50</v>
          </cell>
          <cell r="N161">
            <v>50</v>
          </cell>
          <cell r="V161">
            <v>100</v>
          </cell>
          <cell r="W161">
            <v>0</v>
          </cell>
          <cell r="X161">
            <v>100</v>
          </cell>
          <cell r="Y161">
            <v>100</v>
          </cell>
          <cell r="Z161">
            <v>100</v>
          </cell>
        </row>
        <row r="162">
          <cell r="B162" t="str">
            <v>AD-A01M310</v>
          </cell>
          <cell r="C162" t="str">
            <v>A01M310-AD</v>
          </cell>
          <cell r="E162" t="str">
            <v>A01M310</v>
          </cell>
          <cell r="F162">
            <v>2001</v>
          </cell>
          <cell r="G162" t="str">
            <v>p</v>
          </cell>
          <cell r="H162" t="str">
            <v>AD</v>
          </cell>
          <cell r="V162">
            <v>0</v>
          </cell>
          <cell r="W162">
            <v>100</v>
          </cell>
          <cell r="X162">
            <v>100</v>
          </cell>
          <cell r="Y162">
            <v>0</v>
          </cell>
          <cell r="Z162">
            <v>0</v>
          </cell>
        </row>
        <row r="163">
          <cell r="B163" t="str">
            <v>CO-A01M310</v>
          </cell>
          <cell r="C163" t="str">
            <v>A01M310-CO</v>
          </cell>
          <cell r="E163" t="str">
            <v>A01M310</v>
          </cell>
          <cell r="F163">
            <v>2001</v>
          </cell>
          <cell r="G163" t="str">
            <v>p</v>
          </cell>
          <cell r="H163" t="str">
            <v>CO</v>
          </cell>
          <cell r="M163">
            <v>90</v>
          </cell>
          <cell r="N163">
            <v>10</v>
          </cell>
          <cell r="V163">
            <v>100</v>
          </cell>
          <cell r="W163">
            <v>0</v>
          </cell>
          <cell r="X163">
            <v>100</v>
          </cell>
          <cell r="Y163">
            <v>100</v>
          </cell>
          <cell r="Z163">
            <v>100</v>
          </cell>
        </row>
        <row r="164">
          <cell r="B164" t="str">
            <v>IN-A01M310</v>
          </cell>
          <cell r="C164" t="str">
            <v>A01M310-IN</v>
          </cell>
          <cell r="E164" t="str">
            <v>A01M310</v>
          </cell>
          <cell r="F164">
            <v>2001</v>
          </cell>
          <cell r="G164" t="str">
            <v>p</v>
          </cell>
          <cell r="H164" t="str">
            <v>IN</v>
          </cell>
          <cell r="V164">
            <v>0</v>
          </cell>
          <cell r="W164">
            <v>100</v>
          </cell>
          <cell r="X164">
            <v>100</v>
          </cell>
          <cell r="Y164">
            <v>0</v>
          </cell>
          <cell r="Z164">
            <v>0</v>
          </cell>
        </row>
        <row r="165">
          <cell r="B165" t="str">
            <v>IN-A01M312</v>
          </cell>
          <cell r="C165" t="str">
            <v>A01M312-IN</v>
          </cell>
          <cell r="E165" t="str">
            <v>A01M312</v>
          </cell>
          <cell r="F165">
            <v>2001</v>
          </cell>
          <cell r="G165" t="str">
            <v>p</v>
          </cell>
          <cell r="H165" t="str">
            <v>IN</v>
          </cell>
          <cell r="N165">
            <v>60</v>
          </cell>
          <cell r="O165">
            <v>40</v>
          </cell>
          <cell r="V165">
            <v>100</v>
          </cell>
          <cell r="W165">
            <v>0</v>
          </cell>
          <cell r="X165">
            <v>100</v>
          </cell>
          <cell r="Y165">
            <v>100</v>
          </cell>
          <cell r="Z165">
            <v>100</v>
          </cell>
        </row>
        <row r="166">
          <cell r="B166" t="str">
            <v>AD-A01M312</v>
          </cell>
          <cell r="C166" t="str">
            <v>A01M312-AD</v>
          </cell>
          <cell r="E166" t="str">
            <v>A01M312</v>
          </cell>
          <cell r="F166">
            <v>2001</v>
          </cell>
          <cell r="G166" t="str">
            <v>p</v>
          </cell>
          <cell r="H166" t="str">
            <v>AD</v>
          </cell>
          <cell r="O166">
            <v>3.9</v>
          </cell>
          <cell r="P166">
            <v>7.7</v>
          </cell>
          <cell r="Q166">
            <v>88.5</v>
          </cell>
          <cell r="V166">
            <v>100.1</v>
          </cell>
          <cell r="W166">
            <v>-9.9999999999994316E-2</v>
          </cell>
          <cell r="X166">
            <v>100</v>
          </cell>
          <cell r="Y166">
            <v>3.9</v>
          </cell>
          <cell r="Z166">
            <v>3.9</v>
          </cell>
        </row>
        <row r="167">
          <cell r="B167" t="str">
            <v>CO-A01M312</v>
          </cell>
          <cell r="C167" t="str">
            <v>A01M312-CO</v>
          </cell>
          <cell r="E167" t="str">
            <v>A01M312</v>
          </cell>
          <cell r="F167">
            <v>2001</v>
          </cell>
          <cell r="G167" t="str">
            <v>p</v>
          </cell>
          <cell r="H167" t="str">
            <v>CO</v>
          </cell>
          <cell r="P167">
            <v>43.7</v>
          </cell>
          <cell r="Q167">
            <v>56.3</v>
          </cell>
          <cell r="V167">
            <v>100</v>
          </cell>
          <cell r="W167">
            <v>0</v>
          </cell>
          <cell r="X167">
            <v>100</v>
          </cell>
          <cell r="Y167">
            <v>0</v>
          </cell>
          <cell r="Z167">
            <v>0</v>
          </cell>
        </row>
        <row r="168">
          <cell r="B168" t="str">
            <v>IN-A01M317</v>
          </cell>
          <cell r="C168" t="str">
            <v>A01M317-IN</v>
          </cell>
          <cell r="E168" t="str">
            <v>A01M317</v>
          </cell>
          <cell r="F168">
            <v>2001</v>
          </cell>
          <cell r="G168" t="str">
            <v>p</v>
          </cell>
          <cell r="H168" t="str">
            <v>IN</v>
          </cell>
          <cell r="O168">
            <v>40</v>
          </cell>
          <cell r="P168">
            <v>60</v>
          </cell>
          <cell r="V168">
            <v>100</v>
          </cell>
          <cell r="W168">
            <v>0</v>
          </cell>
          <cell r="X168">
            <v>100</v>
          </cell>
          <cell r="Y168">
            <v>40</v>
          </cell>
          <cell r="Z168">
            <v>40</v>
          </cell>
        </row>
        <row r="169">
          <cell r="B169" t="str">
            <v>AD-A01M317</v>
          </cell>
          <cell r="C169" t="str">
            <v>A01M317-AD</v>
          </cell>
          <cell r="E169" t="str">
            <v>A01M317</v>
          </cell>
          <cell r="F169">
            <v>2001</v>
          </cell>
          <cell r="G169" t="str">
            <v>p</v>
          </cell>
          <cell r="H169" t="str">
            <v>AD</v>
          </cell>
          <cell r="P169">
            <v>15</v>
          </cell>
          <cell r="Q169">
            <v>57.5</v>
          </cell>
          <cell r="R169">
            <v>27.5</v>
          </cell>
          <cell r="V169">
            <v>100</v>
          </cell>
          <cell r="W169">
            <v>0</v>
          </cell>
          <cell r="X169">
            <v>100</v>
          </cell>
          <cell r="Y169">
            <v>0</v>
          </cell>
          <cell r="Z169">
            <v>0</v>
          </cell>
        </row>
        <row r="170">
          <cell r="B170" t="str">
            <v>CO-A01M317</v>
          </cell>
          <cell r="C170" t="str">
            <v>A01M317-CO</v>
          </cell>
          <cell r="E170" t="str">
            <v>A01M317</v>
          </cell>
          <cell r="F170">
            <v>2001</v>
          </cell>
          <cell r="G170" t="str">
            <v>p</v>
          </cell>
          <cell r="H170" t="str">
            <v>CO</v>
          </cell>
          <cell r="Q170">
            <v>11.7</v>
          </cell>
          <cell r="R170">
            <v>68</v>
          </cell>
          <cell r="S170">
            <v>20.3</v>
          </cell>
          <cell r="V170">
            <v>100</v>
          </cell>
          <cell r="W170">
            <v>0</v>
          </cell>
          <cell r="X170">
            <v>100</v>
          </cell>
          <cell r="Y170">
            <v>0</v>
          </cell>
          <cell r="Z170">
            <v>0</v>
          </cell>
        </row>
        <row r="171">
          <cell r="B171" t="str">
            <v>AD-A01M321</v>
          </cell>
          <cell r="C171" t="str">
            <v>A01M321-AD</v>
          </cell>
          <cell r="E171" t="str">
            <v>A01M321</v>
          </cell>
          <cell r="F171">
            <v>2001</v>
          </cell>
          <cell r="G171" t="str">
            <v>p</v>
          </cell>
          <cell r="H171" t="str">
            <v>AD</v>
          </cell>
          <cell r="M171">
            <v>23.68</v>
          </cell>
          <cell r="N171">
            <v>12.72</v>
          </cell>
          <cell r="O171">
            <v>12.72</v>
          </cell>
          <cell r="P171">
            <v>12.72</v>
          </cell>
          <cell r="Q171">
            <v>12.72</v>
          </cell>
          <cell r="R171">
            <v>12.72</v>
          </cell>
          <cell r="S171">
            <v>12.72</v>
          </cell>
          <cell r="V171">
            <v>100</v>
          </cell>
          <cell r="W171">
            <v>0</v>
          </cell>
          <cell r="X171">
            <v>100</v>
          </cell>
          <cell r="Y171">
            <v>49.12</v>
          </cell>
          <cell r="Z171">
            <v>49.12</v>
          </cell>
        </row>
        <row r="172">
          <cell r="B172" t="str">
            <v>CO-A01M321</v>
          </cell>
          <cell r="C172" t="str">
            <v>A01M321-CO</v>
          </cell>
          <cell r="E172" t="str">
            <v>A01M321</v>
          </cell>
          <cell r="F172">
            <v>2001</v>
          </cell>
          <cell r="G172" t="str">
            <v>p</v>
          </cell>
          <cell r="H172" t="str">
            <v>CO</v>
          </cell>
          <cell r="N172">
            <v>13.84</v>
          </cell>
          <cell r="O172">
            <v>20</v>
          </cell>
          <cell r="P172">
            <v>20</v>
          </cell>
          <cell r="Q172">
            <v>20</v>
          </cell>
          <cell r="R172">
            <v>13.84</v>
          </cell>
          <cell r="S172">
            <v>6.16</v>
          </cell>
          <cell r="T172">
            <v>6.16</v>
          </cell>
          <cell r="V172">
            <v>100</v>
          </cell>
          <cell r="W172">
            <v>0</v>
          </cell>
          <cell r="X172">
            <v>100</v>
          </cell>
          <cell r="Y172">
            <v>33.840000000000003</v>
          </cell>
          <cell r="Z172">
            <v>33.840000000000003</v>
          </cell>
        </row>
        <row r="173">
          <cell r="B173" t="str">
            <v>IN-A01M321</v>
          </cell>
          <cell r="C173" t="str">
            <v>A01M321-IN</v>
          </cell>
          <cell r="E173" t="str">
            <v>A01M321</v>
          </cell>
          <cell r="F173">
            <v>2001</v>
          </cell>
          <cell r="G173" t="str">
            <v>p</v>
          </cell>
          <cell r="H173" t="str">
            <v>IN</v>
          </cell>
          <cell r="V173">
            <v>0</v>
          </cell>
          <cell r="W173">
            <v>100</v>
          </cell>
          <cell r="X173">
            <v>100</v>
          </cell>
          <cell r="Y173">
            <v>0</v>
          </cell>
          <cell r="Z173">
            <v>0</v>
          </cell>
        </row>
        <row r="174">
          <cell r="B174" t="str">
            <v>AD-A01M322</v>
          </cell>
          <cell r="C174" t="str">
            <v>A01M322-AD</v>
          </cell>
          <cell r="E174" t="str">
            <v>A01M322</v>
          </cell>
          <cell r="F174">
            <v>2001</v>
          </cell>
          <cell r="G174" t="str">
            <v>p</v>
          </cell>
          <cell r="H174" t="str">
            <v>AD</v>
          </cell>
          <cell r="M174">
            <v>15</v>
          </cell>
          <cell r="N174">
            <v>85</v>
          </cell>
          <cell r="V174">
            <v>100</v>
          </cell>
          <cell r="W174">
            <v>0</v>
          </cell>
          <cell r="X174">
            <v>100</v>
          </cell>
          <cell r="Y174">
            <v>100</v>
          </cell>
          <cell r="Z174">
            <v>100</v>
          </cell>
        </row>
        <row r="175">
          <cell r="B175" t="str">
            <v>CO-A01M322</v>
          </cell>
          <cell r="C175" t="str">
            <v>A01M322-CO</v>
          </cell>
          <cell r="E175" t="str">
            <v>A01M322</v>
          </cell>
          <cell r="F175">
            <v>2001</v>
          </cell>
          <cell r="G175" t="str">
            <v>p</v>
          </cell>
          <cell r="H175" t="str">
            <v>CO</v>
          </cell>
          <cell r="M175">
            <v>28.9</v>
          </cell>
          <cell r="N175">
            <v>63.7</v>
          </cell>
          <cell r="O175">
            <v>2.5</v>
          </cell>
          <cell r="P175">
            <v>2.5</v>
          </cell>
          <cell r="Q175">
            <v>1.3</v>
          </cell>
          <cell r="R175">
            <v>1.1000000000000001</v>
          </cell>
          <cell r="V175">
            <v>99.999999999999986</v>
          </cell>
          <cell r="W175">
            <v>0</v>
          </cell>
          <cell r="X175">
            <v>99.999999999999986</v>
          </cell>
          <cell r="Y175">
            <v>95.1</v>
          </cell>
          <cell r="Z175">
            <v>95.1</v>
          </cell>
        </row>
        <row r="176">
          <cell r="B176" t="str">
            <v>IN-A01M322</v>
          </cell>
          <cell r="C176" t="str">
            <v>A01M322-IN</v>
          </cell>
          <cell r="E176" t="str">
            <v>A01M322</v>
          </cell>
          <cell r="F176">
            <v>2001</v>
          </cell>
          <cell r="G176" t="str">
            <v>p</v>
          </cell>
          <cell r="H176" t="str">
            <v>IN</v>
          </cell>
          <cell r="M176">
            <v>50</v>
          </cell>
          <cell r="N176">
            <v>50</v>
          </cell>
          <cell r="V176">
            <v>100</v>
          </cell>
          <cell r="W176">
            <v>0</v>
          </cell>
          <cell r="X176">
            <v>100</v>
          </cell>
          <cell r="Y176">
            <v>100</v>
          </cell>
          <cell r="Z176">
            <v>100</v>
          </cell>
        </row>
        <row r="177">
          <cell r="B177" t="str">
            <v>AD-A01M323</v>
          </cell>
          <cell r="C177" t="str">
            <v>A01M323-AD</v>
          </cell>
          <cell r="E177" t="str">
            <v>A01M323</v>
          </cell>
          <cell r="F177">
            <v>2001</v>
          </cell>
          <cell r="G177" t="str">
            <v>p</v>
          </cell>
          <cell r="H177" t="str">
            <v>AD</v>
          </cell>
          <cell r="V177">
            <v>0</v>
          </cell>
          <cell r="W177">
            <v>100</v>
          </cell>
          <cell r="X177">
            <v>100</v>
          </cell>
          <cell r="Y177">
            <v>0</v>
          </cell>
          <cell r="Z177">
            <v>0</v>
          </cell>
        </row>
        <row r="178">
          <cell r="B178" t="str">
            <v>CO-A01M323</v>
          </cell>
          <cell r="C178" t="str">
            <v>A01M323-CO</v>
          </cell>
          <cell r="E178" t="str">
            <v>A01M323</v>
          </cell>
          <cell r="F178">
            <v>2001</v>
          </cell>
          <cell r="G178" t="str">
            <v>p</v>
          </cell>
          <cell r="H178" t="str">
            <v>CO</v>
          </cell>
          <cell r="M178">
            <v>62</v>
          </cell>
          <cell r="N178">
            <v>8</v>
          </cell>
          <cell r="R178">
            <v>15</v>
          </cell>
          <cell r="S178">
            <v>15</v>
          </cell>
          <cell r="V178">
            <v>100</v>
          </cell>
          <cell r="W178">
            <v>0</v>
          </cell>
          <cell r="X178">
            <v>100</v>
          </cell>
          <cell r="Y178">
            <v>70</v>
          </cell>
          <cell r="Z178">
            <v>70</v>
          </cell>
        </row>
        <row r="179">
          <cell r="B179" t="str">
            <v>IN-A01M323</v>
          </cell>
          <cell r="C179" t="str">
            <v>A01M323-IN</v>
          </cell>
          <cell r="E179" t="str">
            <v>A01M323</v>
          </cell>
          <cell r="F179">
            <v>2001</v>
          </cell>
          <cell r="G179" t="str">
            <v>p</v>
          </cell>
          <cell r="H179" t="str">
            <v>IN</v>
          </cell>
          <cell r="V179">
            <v>0</v>
          </cell>
          <cell r="W179">
            <v>100</v>
          </cell>
          <cell r="X179">
            <v>100</v>
          </cell>
          <cell r="Y179">
            <v>0</v>
          </cell>
          <cell r="Z179">
            <v>0</v>
          </cell>
        </row>
        <row r="180">
          <cell r="B180" t="str">
            <v>AD-A01MDIVI</v>
          </cell>
          <cell r="C180" t="str">
            <v>A01MDIVI-AD</v>
          </cell>
          <cell r="E180" t="str">
            <v>A01MDIVI</v>
          </cell>
          <cell r="F180">
            <v>2001</v>
          </cell>
          <cell r="G180" t="str">
            <v>p</v>
          </cell>
          <cell r="H180" t="str">
            <v>AD</v>
          </cell>
          <cell r="V180">
            <v>0</v>
          </cell>
          <cell r="W180">
            <v>100</v>
          </cell>
          <cell r="X180">
            <v>100</v>
          </cell>
          <cell r="Y180">
            <v>0</v>
          </cell>
          <cell r="Z180">
            <v>0</v>
          </cell>
        </row>
        <row r="181">
          <cell r="B181" t="str">
            <v>CO-A01MDIVI</v>
          </cell>
          <cell r="C181" t="str">
            <v>A01MDIVI-CO</v>
          </cell>
          <cell r="E181" t="str">
            <v>A01MDIVI</v>
          </cell>
          <cell r="F181">
            <v>2001</v>
          </cell>
          <cell r="G181" t="str">
            <v>p</v>
          </cell>
          <cell r="H181" t="str">
            <v>CO</v>
          </cell>
          <cell r="Q181">
            <v>20</v>
          </cell>
          <cell r="R181">
            <v>25</v>
          </cell>
          <cell r="S181">
            <v>25</v>
          </cell>
          <cell r="T181">
            <v>30</v>
          </cell>
          <cell r="V181">
            <v>100</v>
          </cell>
          <cell r="W181">
            <v>0</v>
          </cell>
          <cell r="X181">
            <v>100</v>
          </cell>
          <cell r="Y181">
            <v>0</v>
          </cell>
          <cell r="Z181">
            <v>0</v>
          </cell>
        </row>
        <row r="182">
          <cell r="B182" t="str">
            <v>IN-A01MDIVI</v>
          </cell>
          <cell r="C182" t="str">
            <v>A01MDIVI-IN</v>
          </cell>
          <cell r="E182" t="str">
            <v>A01MDIVI</v>
          </cell>
          <cell r="F182">
            <v>2001</v>
          </cell>
          <cell r="G182" t="str">
            <v>p</v>
          </cell>
          <cell r="H182" t="str">
            <v>IN</v>
          </cell>
          <cell r="V182">
            <v>0</v>
          </cell>
          <cell r="W182">
            <v>100</v>
          </cell>
          <cell r="X182">
            <v>100</v>
          </cell>
          <cell r="Y182">
            <v>0</v>
          </cell>
          <cell r="Z182">
            <v>0</v>
          </cell>
        </row>
        <row r="183">
          <cell r="B183" t="str">
            <v>AD-A01MEXT</v>
          </cell>
          <cell r="C183" t="str">
            <v>A01MEXT-AD</v>
          </cell>
          <cell r="E183" t="str">
            <v>A01MEXT</v>
          </cell>
          <cell r="F183">
            <v>2001</v>
          </cell>
          <cell r="G183" t="str">
            <v>p</v>
          </cell>
          <cell r="H183" t="str">
            <v>AD</v>
          </cell>
          <cell r="V183">
            <v>0</v>
          </cell>
          <cell r="W183">
            <v>100</v>
          </cell>
          <cell r="X183">
            <v>100</v>
          </cell>
          <cell r="Y183">
            <v>0</v>
          </cell>
          <cell r="Z183">
            <v>0</v>
          </cell>
        </row>
        <row r="184">
          <cell r="B184" t="str">
            <v>CO-A01MEXT</v>
          </cell>
          <cell r="C184" t="str">
            <v>A01MEXT-CO</v>
          </cell>
          <cell r="E184" t="str">
            <v>A01MEXT</v>
          </cell>
          <cell r="F184">
            <v>2001</v>
          </cell>
          <cell r="G184" t="str">
            <v>p</v>
          </cell>
          <cell r="H184" t="str">
            <v>CO</v>
          </cell>
          <cell r="Q184">
            <v>20</v>
          </cell>
          <cell r="R184">
            <v>25</v>
          </cell>
          <cell r="S184">
            <v>25</v>
          </cell>
          <cell r="T184">
            <v>30</v>
          </cell>
          <cell r="V184">
            <v>100</v>
          </cell>
          <cell r="W184">
            <v>0</v>
          </cell>
          <cell r="X184">
            <v>100</v>
          </cell>
          <cell r="Y184">
            <v>0</v>
          </cell>
          <cell r="Z184">
            <v>0</v>
          </cell>
        </row>
        <row r="185">
          <cell r="B185" t="str">
            <v>IN-A01MEXT</v>
          </cell>
          <cell r="C185" t="str">
            <v>A01MEXT-IN</v>
          </cell>
          <cell r="E185" t="str">
            <v>A01MEXT</v>
          </cell>
          <cell r="F185">
            <v>2001</v>
          </cell>
          <cell r="G185" t="str">
            <v>p</v>
          </cell>
          <cell r="H185" t="str">
            <v>IN</v>
          </cell>
          <cell r="V185">
            <v>0</v>
          </cell>
          <cell r="W185">
            <v>100</v>
          </cell>
          <cell r="X185">
            <v>100</v>
          </cell>
          <cell r="Y185">
            <v>0</v>
          </cell>
          <cell r="Z185">
            <v>0</v>
          </cell>
        </row>
        <row r="186">
          <cell r="B186" t="str">
            <v>AD-A00M417</v>
          </cell>
          <cell r="C186" t="str">
            <v>A00M417-AD</v>
          </cell>
          <cell r="E186" t="str">
            <v>A00M417</v>
          </cell>
          <cell r="F186">
            <v>2001</v>
          </cell>
          <cell r="G186" t="str">
            <v>p</v>
          </cell>
          <cell r="H186" t="str">
            <v>AD</v>
          </cell>
          <cell r="I186">
            <v>42.16</v>
          </cell>
          <cell r="J186">
            <v>9.17</v>
          </cell>
          <cell r="K186">
            <v>4.4800000000000004</v>
          </cell>
          <cell r="U186">
            <v>44.19</v>
          </cell>
          <cell r="V186">
            <v>55.81</v>
          </cell>
          <cell r="W186">
            <v>0</v>
          </cell>
          <cell r="X186">
            <v>100</v>
          </cell>
          <cell r="Y186">
            <v>55.81</v>
          </cell>
          <cell r="Z186">
            <v>100</v>
          </cell>
        </row>
        <row r="187">
          <cell r="B187" t="str">
            <v>CO-A00M417</v>
          </cell>
          <cell r="C187" t="str">
            <v>A00M417-CO</v>
          </cell>
          <cell r="E187" t="str">
            <v>A00M417</v>
          </cell>
          <cell r="F187">
            <v>2001</v>
          </cell>
          <cell r="G187" t="str">
            <v>p</v>
          </cell>
          <cell r="H187" t="str">
            <v>CO</v>
          </cell>
          <cell r="I187">
            <v>17.43</v>
          </cell>
          <cell r="J187">
            <v>37.47</v>
          </cell>
          <cell r="K187">
            <v>21.23</v>
          </cell>
          <cell r="L187">
            <v>2.97</v>
          </cell>
          <cell r="U187">
            <v>20.9</v>
          </cell>
          <cell r="V187">
            <v>79.099999999999994</v>
          </cell>
          <cell r="W187">
            <v>0</v>
          </cell>
          <cell r="X187">
            <v>100</v>
          </cell>
          <cell r="Y187">
            <v>79.099999999999994</v>
          </cell>
          <cell r="Z187">
            <v>100</v>
          </cell>
        </row>
        <row r="188">
          <cell r="B188" t="str">
            <v>IN-A00M417</v>
          </cell>
          <cell r="C188" t="str">
            <v>A00M417-IN</v>
          </cell>
          <cell r="E188" t="str">
            <v>A00M417</v>
          </cell>
          <cell r="F188">
            <v>2001</v>
          </cell>
          <cell r="G188" t="str">
            <v>p</v>
          </cell>
          <cell r="H188" t="str">
            <v>IN</v>
          </cell>
          <cell r="I188">
            <v>13.44</v>
          </cell>
          <cell r="J188">
            <v>6.56</v>
          </cell>
          <cell r="K188">
            <v>2.71</v>
          </cell>
          <cell r="L188">
            <v>1.04</v>
          </cell>
          <cell r="U188">
            <v>76.25</v>
          </cell>
          <cell r="V188">
            <v>23.75</v>
          </cell>
          <cell r="W188">
            <v>0</v>
          </cell>
          <cell r="X188">
            <v>100</v>
          </cell>
          <cell r="Y188">
            <v>23.75</v>
          </cell>
          <cell r="Z188">
            <v>100</v>
          </cell>
        </row>
        <row r="189">
          <cell r="B189" t="str">
            <v>AD-A01M401</v>
          </cell>
          <cell r="C189" t="str">
            <v>A01M401-AD</v>
          </cell>
          <cell r="E189" t="str">
            <v>A01M401</v>
          </cell>
          <cell r="F189">
            <v>2003</v>
          </cell>
          <cell r="G189" t="str">
            <v>p</v>
          </cell>
          <cell r="H189" t="str">
            <v>AD</v>
          </cell>
          <cell r="N189">
            <v>1.8</v>
          </cell>
          <cell r="O189">
            <v>2.6</v>
          </cell>
          <cell r="P189">
            <v>5</v>
          </cell>
          <cell r="Q189">
            <v>0</v>
          </cell>
          <cell r="R189">
            <v>0</v>
          </cell>
          <cell r="S189">
            <v>3</v>
          </cell>
          <cell r="T189">
            <v>9.6</v>
          </cell>
          <cell r="V189">
            <v>22</v>
          </cell>
          <cell r="W189">
            <v>78</v>
          </cell>
          <cell r="X189">
            <v>100</v>
          </cell>
          <cell r="Y189">
            <v>4.4000000000000004</v>
          </cell>
          <cell r="Z189">
            <v>4.4000000000000004</v>
          </cell>
        </row>
        <row r="190">
          <cell r="B190" t="str">
            <v>CO-A01M401</v>
          </cell>
          <cell r="C190" t="str">
            <v>A01M401-CO</v>
          </cell>
          <cell r="E190" t="str">
            <v>A01M401</v>
          </cell>
          <cell r="F190">
            <v>2003</v>
          </cell>
          <cell r="G190" t="str">
            <v>p</v>
          </cell>
          <cell r="H190" t="str">
            <v>CO</v>
          </cell>
          <cell r="N190">
            <v>4.5</v>
          </cell>
          <cell r="O190">
            <v>2.6</v>
          </cell>
          <cell r="P190">
            <v>3.2</v>
          </cell>
          <cell r="Q190">
            <v>3.9</v>
          </cell>
          <cell r="R190">
            <v>4.5999999999999996</v>
          </cell>
          <cell r="S190">
            <v>3.5</v>
          </cell>
          <cell r="T190">
            <v>4.5</v>
          </cell>
          <cell r="V190">
            <v>26.8</v>
          </cell>
          <cell r="W190">
            <v>73.2</v>
          </cell>
          <cell r="X190">
            <v>100</v>
          </cell>
          <cell r="Y190">
            <v>7.1</v>
          </cell>
          <cell r="Z190">
            <v>7.1</v>
          </cell>
        </row>
        <row r="191">
          <cell r="B191" t="str">
            <v>IN-A01M401</v>
          </cell>
          <cell r="C191" t="str">
            <v>A01M401-IN</v>
          </cell>
          <cell r="E191" t="str">
            <v>A01M401</v>
          </cell>
          <cell r="F191">
            <v>2003</v>
          </cell>
          <cell r="G191" t="str">
            <v>p</v>
          </cell>
          <cell r="H191" t="str">
            <v>IN</v>
          </cell>
          <cell r="N191">
            <v>10.4</v>
          </cell>
          <cell r="O191">
            <v>9.3000000000000007</v>
          </cell>
          <cell r="P191">
            <v>13.7</v>
          </cell>
          <cell r="Q191">
            <v>15.7</v>
          </cell>
          <cell r="R191">
            <v>15.4</v>
          </cell>
          <cell r="S191">
            <v>15.9</v>
          </cell>
          <cell r="T191">
            <v>13.2</v>
          </cell>
          <cell r="V191">
            <v>93.600000000000023</v>
          </cell>
          <cell r="W191">
            <v>6.3999999999999773</v>
          </cell>
          <cell r="X191">
            <v>100</v>
          </cell>
          <cell r="Y191">
            <v>19.700000000000003</v>
          </cell>
          <cell r="Z191">
            <v>19.700000000000003</v>
          </cell>
        </row>
        <row r="192">
          <cell r="B192" t="str">
            <v>AD-A01M403</v>
          </cell>
          <cell r="C192" t="str">
            <v>A01M403-AD</v>
          </cell>
          <cell r="E192" t="str">
            <v>A01M403</v>
          </cell>
          <cell r="F192">
            <v>2002</v>
          </cell>
          <cell r="G192" t="str">
            <v>p</v>
          </cell>
          <cell r="H192" t="str">
            <v>AD</v>
          </cell>
          <cell r="O192">
            <v>15</v>
          </cell>
          <cell r="P192">
            <v>53.8</v>
          </cell>
          <cell r="Q192">
            <v>8.8000000000000007</v>
          </cell>
          <cell r="R192">
            <v>12</v>
          </cell>
          <cell r="S192">
            <v>10.4</v>
          </cell>
          <cell r="V192">
            <v>100</v>
          </cell>
          <cell r="W192">
            <v>0</v>
          </cell>
          <cell r="X192">
            <v>100</v>
          </cell>
          <cell r="Y192">
            <v>15</v>
          </cell>
          <cell r="Z192">
            <v>15</v>
          </cell>
        </row>
        <row r="193">
          <cell r="B193" t="str">
            <v>CO-A01M403</v>
          </cell>
          <cell r="C193" t="str">
            <v>A01M403-CO</v>
          </cell>
          <cell r="E193" t="str">
            <v>A01M403</v>
          </cell>
          <cell r="F193">
            <v>2002</v>
          </cell>
          <cell r="G193" t="str">
            <v>p</v>
          </cell>
          <cell r="H193" t="str">
            <v>CO</v>
          </cell>
          <cell r="R193">
            <v>5</v>
          </cell>
          <cell r="S193">
            <v>10</v>
          </cell>
          <cell r="T193">
            <v>15</v>
          </cell>
          <cell r="V193">
            <v>30</v>
          </cell>
          <cell r="W193">
            <v>70</v>
          </cell>
          <cell r="X193">
            <v>100</v>
          </cell>
          <cell r="Y193">
            <v>0</v>
          </cell>
          <cell r="Z193">
            <v>0</v>
          </cell>
        </row>
        <row r="194">
          <cell r="B194" t="str">
            <v>IN-A01M403</v>
          </cell>
          <cell r="C194" t="str">
            <v>A01M403-IN</v>
          </cell>
          <cell r="E194" t="str">
            <v>A01M403</v>
          </cell>
          <cell r="F194">
            <v>2002</v>
          </cell>
          <cell r="G194" t="str">
            <v>p</v>
          </cell>
          <cell r="H194" t="str">
            <v>IN</v>
          </cell>
          <cell r="M194">
            <v>10</v>
          </cell>
          <cell r="N194">
            <v>50</v>
          </cell>
          <cell r="O194">
            <v>40</v>
          </cell>
          <cell r="V194">
            <v>100</v>
          </cell>
          <cell r="W194">
            <v>0</v>
          </cell>
          <cell r="X194">
            <v>100</v>
          </cell>
          <cell r="Y194">
            <v>100</v>
          </cell>
          <cell r="Z194">
            <v>100</v>
          </cell>
        </row>
        <row r="195">
          <cell r="B195" t="str">
            <v>AD-A01M407</v>
          </cell>
          <cell r="C195" t="str">
            <v>A01M407-AD</v>
          </cell>
          <cell r="E195" t="str">
            <v>A01M407</v>
          </cell>
          <cell r="F195">
            <v>2001</v>
          </cell>
          <cell r="G195" t="str">
            <v>p</v>
          </cell>
          <cell r="H195" t="str">
            <v>AD</v>
          </cell>
          <cell r="M195">
            <v>25</v>
          </cell>
          <cell r="R195">
            <v>45</v>
          </cell>
          <cell r="S195">
            <v>20</v>
          </cell>
          <cell r="T195">
            <v>10</v>
          </cell>
          <cell r="V195">
            <v>100</v>
          </cell>
          <cell r="W195">
            <v>0</v>
          </cell>
          <cell r="X195">
            <v>100</v>
          </cell>
          <cell r="Y195">
            <v>25</v>
          </cell>
          <cell r="Z195">
            <v>25</v>
          </cell>
        </row>
        <row r="196">
          <cell r="B196" t="str">
            <v>CO-A01M407</v>
          </cell>
          <cell r="C196" t="str">
            <v>A01M407-CO</v>
          </cell>
          <cell r="E196" t="str">
            <v>A01M407</v>
          </cell>
          <cell r="F196">
            <v>2001</v>
          </cell>
          <cell r="G196" t="str">
            <v>p</v>
          </cell>
          <cell r="H196" t="str">
            <v>CO</v>
          </cell>
          <cell r="V196">
            <v>0</v>
          </cell>
          <cell r="W196">
            <v>100</v>
          </cell>
          <cell r="X196">
            <v>100</v>
          </cell>
          <cell r="Y196">
            <v>0</v>
          </cell>
          <cell r="Z196">
            <v>0</v>
          </cell>
        </row>
        <row r="197">
          <cell r="B197" t="str">
            <v>IN-A01M407</v>
          </cell>
          <cell r="C197" t="str">
            <v>A01M407-IN</v>
          </cell>
          <cell r="E197" t="str">
            <v>A01M407</v>
          </cell>
          <cell r="F197">
            <v>2001</v>
          </cell>
          <cell r="G197" t="str">
            <v>p</v>
          </cell>
          <cell r="H197" t="str">
            <v>IN</v>
          </cell>
          <cell r="V197">
            <v>0</v>
          </cell>
          <cell r="W197">
            <v>100</v>
          </cell>
          <cell r="X197">
            <v>100</v>
          </cell>
          <cell r="Y197">
            <v>0</v>
          </cell>
          <cell r="Z197">
            <v>0</v>
          </cell>
        </row>
        <row r="198">
          <cell r="B198" t="str">
            <v>AD-A01M412</v>
          </cell>
          <cell r="C198" t="str">
            <v>A01M412-AD</v>
          </cell>
          <cell r="E198" t="str">
            <v>A01M412</v>
          </cell>
          <cell r="F198">
            <v>2002</v>
          </cell>
          <cell r="G198" t="str">
            <v>p</v>
          </cell>
          <cell r="H198" t="str">
            <v>AD</v>
          </cell>
          <cell r="M198">
            <v>2.2000000000000002</v>
          </cell>
          <cell r="N198">
            <v>11.9</v>
          </cell>
          <cell r="O198">
            <v>26.5</v>
          </cell>
          <cell r="P198">
            <v>32.1</v>
          </cell>
          <cell r="Q198">
            <v>5.4</v>
          </cell>
          <cell r="R198">
            <v>21.9</v>
          </cell>
          <cell r="V198">
            <v>100</v>
          </cell>
          <cell r="W198">
            <v>0</v>
          </cell>
          <cell r="X198">
            <v>100</v>
          </cell>
          <cell r="Y198">
            <v>40.6</v>
          </cell>
          <cell r="Z198">
            <v>40.6</v>
          </cell>
        </row>
        <row r="199">
          <cell r="B199" t="str">
            <v>CO-A01M412</v>
          </cell>
          <cell r="C199" t="str">
            <v>A01M412-CO</v>
          </cell>
          <cell r="E199" t="str">
            <v>A01M412</v>
          </cell>
          <cell r="F199">
            <v>2002</v>
          </cell>
          <cell r="G199" t="str">
            <v>p</v>
          </cell>
          <cell r="H199" t="str">
            <v>CO</v>
          </cell>
          <cell r="R199">
            <v>12.8</v>
          </cell>
          <cell r="S199">
            <v>0.3</v>
          </cell>
          <cell r="T199">
            <v>6.4</v>
          </cell>
          <cell r="V199">
            <v>19.5</v>
          </cell>
          <cell r="W199">
            <v>80.5</v>
          </cell>
          <cell r="X199">
            <v>100</v>
          </cell>
          <cell r="Y199">
            <v>0</v>
          </cell>
          <cell r="Z199">
            <v>0</v>
          </cell>
        </row>
        <row r="200">
          <cell r="B200" t="str">
            <v>IN-A01M412</v>
          </cell>
          <cell r="C200" t="str">
            <v>A01M412-IN</v>
          </cell>
          <cell r="E200" t="str">
            <v>A01M412</v>
          </cell>
          <cell r="F200">
            <v>2002</v>
          </cell>
          <cell r="G200" t="str">
            <v>p</v>
          </cell>
          <cell r="H200" t="str">
            <v>IN</v>
          </cell>
          <cell r="M200">
            <v>4.7</v>
          </cell>
          <cell r="N200">
            <v>32</v>
          </cell>
          <cell r="O200">
            <v>25.1</v>
          </cell>
          <cell r="R200">
            <v>0.6</v>
          </cell>
          <cell r="S200">
            <v>0.6</v>
          </cell>
          <cell r="V200">
            <v>63.000000000000007</v>
          </cell>
          <cell r="W200">
            <v>36.999999999999993</v>
          </cell>
          <cell r="X200">
            <v>100</v>
          </cell>
          <cell r="Y200">
            <v>61.800000000000004</v>
          </cell>
          <cell r="Z200">
            <v>61.800000000000004</v>
          </cell>
        </row>
        <row r="201">
          <cell r="B201" t="str">
            <v>AD-A01M415</v>
          </cell>
          <cell r="C201" t="str">
            <v>A01M415-AD</v>
          </cell>
          <cell r="E201" t="str">
            <v>A01M415</v>
          </cell>
          <cell r="F201">
            <v>2001</v>
          </cell>
          <cell r="G201" t="str">
            <v>p</v>
          </cell>
          <cell r="H201" t="str">
            <v>AD</v>
          </cell>
          <cell r="P201">
            <v>100</v>
          </cell>
          <cell r="V201">
            <v>100</v>
          </cell>
          <cell r="W201">
            <v>0</v>
          </cell>
          <cell r="X201">
            <v>100</v>
          </cell>
          <cell r="Y201">
            <v>0</v>
          </cell>
          <cell r="Z201">
            <v>0</v>
          </cell>
        </row>
        <row r="202">
          <cell r="B202" t="str">
            <v>CO-A01M415</v>
          </cell>
          <cell r="C202" t="str">
            <v>A01M415-CO</v>
          </cell>
          <cell r="E202" t="str">
            <v>A01M415</v>
          </cell>
          <cell r="F202">
            <v>2001</v>
          </cell>
          <cell r="G202" t="str">
            <v>p</v>
          </cell>
          <cell r="H202" t="str">
            <v>CO</v>
          </cell>
          <cell r="V202">
            <v>0</v>
          </cell>
          <cell r="W202">
            <v>100</v>
          </cell>
          <cell r="X202">
            <v>100</v>
          </cell>
          <cell r="Y202">
            <v>0</v>
          </cell>
          <cell r="Z202">
            <v>0</v>
          </cell>
        </row>
        <row r="203">
          <cell r="B203" t="str">
            <v>IN-A01M415</v>
          </cell>
          <cell r="C203" t="str">
            <v>A01M415-IN</v>
          </cell>
          <cell r="E203" t="str">
            <v>A01M415</v>
          </cell>
          <cell r="F203">
            <v>2001</v>
          </cell>
          <cell r="G203" t="str">
            <v>p</v>
          </cell>
          <cell r="H203" t="str">
            <v>IN</v>
          </cell>
          <cell r="P203">
            <v>33</v>
          </cell>
          <cell r="Q203">
            <v>33</v>
          </cell>
          <cell r="R203">
            <v>34</v>
          </cell>
          <cell r="V203">
            <v>100</v>
          </cell>
          <cell r="W203">
            <v>0</v>
          </cell>
          <cell r="X203">
            <v>100</v>
          </cell>
          <cell r="Y203">
            <v>0</v>
          </cell>
          <cell r="Z203">
            <v>0</v>
          </cell>
        </row>
        <row r="204">
          <cell r="B204" t="str">
            <v>AD-A01M416</v>
          </cell>
          <cell r="C204" t="str">
            <v>A01M416-AD</v>
          </cell>
          <cell r="E204" t="str">
            <v>A01M416</v>
          </cell>
          <cell r="F204">
            <v>2001</v>
          </cell>
          <cell r="G204" t="str">
            <v>p</v>
          </cell>
          <cell r="H204" t="str">
            <v>AD</v>
          </cell>
          <cell r="K204">
            <v>43.57</v>
          </cell>
          <cell r="L204">
            <v>29.04</v>
          </cell>
          <cell r="M204">
            <v>6.85</v>
          </cell>
          <cell r="R204">
            <v>15.06</v>
          </cell>
          <cell r="S204">
            <v>5.48</v>
          </cell>
          <cell r="V204">
            <v>100</v>
          </cell>
          <cell r="W204">
            <v>0</v>
          </cell>
          <cell r="X204">
            <v>100</v>
          </cell>
          <cell r="Y204">
            <v>79.459999999999994</v>
          </cell>
          <cell r="Z204">
            <v>79.459999999999994</v>
          </cell>
        </row>
        <row r="205">
          <cell r="B205" t="str">
            <v>CO-A01M416</v>
          </cell>
          <cell r="C205" t="str">
            <v>A01M416-CO</v>
          </cell>
          <cell r="E205" t="str">
            <v>A01M416</v>
          </cell>
          <cell r="F205">
            <v>2001</v>
          </cell>
          <cell r="G205" t="str">
            <v>p</v>
          </cell>
          <cell r="H205" t="str">
            <v>CO</v>
          </cell>
          <cell r="K205">
            <v>28.82</v>
          </cell>
          <cell r="L205">
            <v>44.19</v>
          </cell>
          <cell r="M205">
            <v>16.53</v>
          </cell>
          <cell r="S205">
            <v>5.23</v>
          </cell>
          <cell r="T205">
            <v>5.23</v>
          </cell>
          <cell r="V205">
            <v>100</v>
          </cell>
          <cell r="W205">
            <v>0</v>
          </cell>
          <cell r="X205">
            <v>100</v>
          </cell>
          <cell r="Y205">
            <v>89.539999999999992</v>
          </cell>
          <cell r="Z205">
            <v>89.539999999999992</v>
          </cell>
        </row>
        <row r="206">
          <cell r="B206" t="str">
            <v>IN-A01M416</v>
          </cell>
          <cell r="C206" t="str">
            <v>A01M416-IN</v>
          </cell>
          <cell r="E206" t="str">
            <v>A01M416</v>
          </cell>
          <cell r="F206">
            <v>2001</v>
          </cell>
          <cell r="G206" t="str">
            <v>p</v>
          </cell>
          <cell r="H206" t="str">
            <v>IN</v>
          </cell>
          <cell r="K206">
            <v>59.43</v>
          </cell>
          <cell r="L206">
            <v>20.29</v>
          </cell>
          <cell r="M206">
            <v>20.28</v>
          </cell>
          <cell r="V206">
            <v>100</v>
          </cell>
          <cell r="W206">
            <v>0</v>
          </cell>
          <cell r="X206">
            <v>100</v>
          </cell>
          <cell r="Y206">
            <v>100</v>
          </cell>
          <cell r="Z206">
            <v>100</v>
          </cell>
        </row>
        <row r="207">
          <cell r="B207" t="str">
            <v>AD-A99M101</v>
          </cell>
          <cell r="C207" t="str">
            <v>A99M101-AD</v>
          </cell>
          <cell r="E207" t="str">
            <v>A99M101</v>
          </cell>
          <cell r="F207">
            <v>1999</v>
          </cell>
          <cell r="G207" t="str">
            <v>p</v>
          </cell>
          <cell r="H207" t="str">
            <v>AD</v>
          </cell>
          <cell r="U207">
            <v>100</v>
          </cell>
          <cell r="V207">
            <v>0</v>
          </cell>
          <cell r="W207">
            <v>0</v>
          </cell>
          <cell r="X207">
            <v>100</v>
          </cell>
          <cell r="Y207">
            <v>0</v>
          </cell>
          <cell r="Z207">
            <v>100</v>
          </cell>
        </row>
        <row r="208">
          <cell r="B208" t="str">
            <v>CO-A99M101</v>
          </cell>
          <cell r="C208" t="str">
            <v>A99M101-CO</v>
          </cell>
          <cell r="E208" t="str">
            <v>A99M101</v>
          </cell>
          <cell r="F208">
            <v>1999</v>
          </cell>
          <cell r="G208" t="str">
            <v>p</v>
          </cell>
          <cell r="H208" t="str">
            <v>CO</v>
          </cell>
          <cell r="U208">
            <v>100</v>
          </cell>
          <cell r="V208">
            <v>0</v>
          </cell>
          <cell r="W208">
            <v>0</v>
          </cell>
          <cell r="X208">
            <v>100</v>
          </cell>
          <cell r="Y208">
            <v>0</v>
          </cell>
          <cell r="Z208">
            <v>100</v>
          </cell>
        </row>
        <row r="209">
          <cell r="B209" t="str">
            <v>IN-A99M101</v>
          </cell>
          <cell r="C209" t="str">
            <v>A99M101-IN</v>
          </cell>
          <cell r="E209" t="str">
            <v>A99M101</v>
          </cell>
          <cell r="F209">
            <v>1999</v>
          </cell>
          <cell r="G209" t="str">
            <v>p</v>
          </cell>
          <cell r="H209" t="str">
            <v>IN</v>
          </cell>
          <cell r="U209">
            <v>100</v>
          </cell>
          <cell r="V209">
            <v>0</v>
          </cell>
          <cell r="W209">
            <v>0</v>
          </cell>
          <cell r="X209">
            <v>100</v>
          </cell>
          <cell r="Y209">
            <v>0</v>
          </cell>
          <cell r="Z209">
            <v>100</v>
          </cell>
        </row>
        <row r="210">
          <cell r="B210" t="str">
            <v>AD-A99M102</v>
          </cell>
          <cell r="C210" t="str">
            <v>A99M102-AD</v>
          </cell>
          <cell r="E210" t="str">
            <v>A99M102</v>
          </cell>
          <cell r="F210">
            <v>1999</v>
          </cell>
          <cell r="G210" t="str">
            <v>p</v>
          </cell>
          <cell r="H210" t="str">
            <v>AD</v>
          </cell>
          <cell r="U210">
            <v>100</v>
          </cell>
          <cell r="V210">
            <v>0</v>
          </cell>
          <cell r="W210">
            <v>0</v>
          </cell>
          <cell r="X210">
            <v>100</v>
          </cell>
          <cell r="Y210">
            <v>0</v>
          </cell>
          <cell r="Z210">
            <v>100</v>
          </cell>
        </row>
        <row r="211">
          <cell r="B211" t="str">
            <v>CO-A99M102</v>
          </cell>
          <cell r="C211" t="str">
            <v>A99M102-CO</v>
          </cell>
          <cell r="E211" t="str">
            <v>A99M102</v>
          </cell>
          <cell r="F211">
            <v>1999</v>
          </cell>
          <cell r="G211" t="str">
            <v>p</v>
          </cell>
          <cell r="H211" t="str">
            <v>CO</v>
          </cell>
          <cell r="U211">
            <v>100</v>
          </cell>
          <cell r="V211">
            <v>0</v>
          </cell>
          <cell r="W211">
            <v>0</v>
          </cell>
          <cell r="X211">
            <v>100</v>
          </cell>
          <cell r="Y211">
            <v>0</v>
          </cell>
          <cell r="Z211">
            <v>100</v>
          </cell>
        </row>
        <row r="212">
          <cell r="B212" t="str">
            <v>IN-A99M102</v>
          </cell>
          <cell r="C212" t="str">
            <v>A99M102-IN</v>
          </cell>
          <cell r="E212" t="str">
            <v>A99M102</v>
          </cell>
          <cell r="F212">
            <v>1999</v>
          </cell>
          <cell r="G212" t="str">
            <v>p</v>
          </cell>
          <cell r="H212" t="str">
            <v>IN</v>
          </cell>
          <cell r="U212">
            <v>100</v>
          </cell>
          <cell r="V212">
            <v>0</v>
          </cell>
          <cell r="W212">
            <v>0</v>
          </cell>
          <cell r="X212">
            <v>100</v>
          </cell>
          <cell r="Y212">
            <v>0</v>
          </cell>
          <cell r="Z212">
            <v>100</v>
          </cell>
        </row>
        <row r="213">
          <cell r="B213" t="str">
            <v>AD-A99M103</v>
          </cell>
          <cell r="C213" t="str">
            <v>A99M103-AD</v>
          </cell>
          <cell r="E213" t="str">
            <v>A99M103</v>
          </cell>
          <cell r="F213">
            <v>2000</v>
          </cell>
          <cell r="G213" t="str">
            <v>p</v>
          </cell>
          <cell r="H213" t="str">
            <v>AD</v>
          </cell>
          <cell r="U213">
            <v>100</v>
          </cell>
          <cell r="V213">
            <v>0</v>
          </cell>
          <cell r="W213">
            <v>0</v>
          </cell>
          <cell r="X213">
            <v>100</v>
          </cell>
          <cell r="Y213">
            <v>0</v>
          </cell>
          <cell r="Z213">
            <v>100</v>
          </cell>
        </row>
        <row r="214">
          <cell r="B214" t="str">
            <v>CO-A99M103</v>
          </cell>
          <cell r="C214" t="str">
            <v>A99M103-CO</v>
          </cell>
          <cell r="E214" t="str">
            <v>A99M103</v>
          </cell>
          <cell r="F214">
            <v>2000</v>
          </cell>
          <cell r="G214" t="str">
            <v>p</v>
          </cell>
          <cell r="H214" t="str">
            <v>CO</v>
          </cell>
          <cell r="U214">
            <v>100</v>
          </cell>
          <cell r="V214">
            <v>0</v>
          </cell>
          <cell r="W214">
            <v>0</v>
          </cell>
          <cell r="X214">
            <v>100</v>
          </cell>
          <cell r="Y214">
            <v>0</v>
          </cell>
          <cell r="Z214">
            <v>100</v>
          </cell>
        </row>
        <row r="215">
          <cell r="B215" t="str">
            <v>IN-A99M103</v>
          </cell>
          <cell r="C215" t="str">
            <v>A99M103-IN</v>
          </cell>
          <cell r="E215" t="str">
            <v>A99M103</v>
          </cell>
          <cell r="F215">
            <v>2000</v>
          </cell>
          <cell r="G215" t="str">
            <v>p</v>
          </cell>
          <cell r="H215" t="str">
            <v>IN</v>
          </cell>
          <cell r="U215">
            <v>100</v>
          </cell>
          <cell r="V215">
            <v>0</v>
          </cell>
          <cell r="W215">
            <v>0</v>
          </cell>
          <cell r="X215">
            <v>100</v>
          </cell>
          <cell r="Y215">
            <v>0</v>
          </cell>
          <cell r="Z215">
            <v>100</v>
          </cell>
        </row>
        <row r="216">
          <cell r="B216" t="str">
            <v>AD-A99M301</v>
          </cell>
          <cell r="C216" t="str">
            <v>A99M301-AD</v>
          </cell>
          <cell r="E216" t="str">
            <v>A99M301</v>
          </cell>
          <cell r="F216">
            <v>1999</v>
          </cell>
          <cell r="G216" t="str">
            <v>p</v>
          </cell>
          <cell r="H216" t="str">
            <v>AD</v>
          </cell>
          <cell r="U216">
            <v>100</v>
          </cell>
          <cell r="V216">
            <v>0</v>
          </cell>
          <cell r="W216">
            <v>0</v>
          </cell>
          <cell r="X216">
            <v>100</v>
          </cell>
          <cell r="Y216">
            <v>0</v>
          </cell>
          <cell r="Z216">
            <v>100</v>
          </cell>
        </row>
        <row r="217">
          <cell r="B217" t="str">
            <v>CO-A99M301</v>
          </cell>
          <cell r="C217" t="str">
            <v>A99M301-CO</v>
          </cell>
          <cell r="E217" t="str">
            <v>A99M301</v>
          </cell>
          <cell r="F217">
            <v>1999</v>
          </cell>
          <cell r="G217" t="str">
            <v>p</v>
          </cell>
          <cell r="H217" t="str">
            <v>CO</v>
          </cell>
          <cell r="U217">
            <v>100</v>
          </cell>
          <cell r="V217">
            <v>0</v>
          </cell>
          <cell r="W217">
            <v>0</v>
          </cell>
          <cell r="X217">
            <v>100</v>
          </cell>
          <cell r="Y217">
            <v>0</v>
          </cell>
          <cell r="Z217">
            <v>100</v>
          </cell>
        </row>
        <row r="218">
          <cell r="B218" t="str">
            <v>IN-A99M301</v>
          </cell>
          <cell r="C218" t="str">
            <v>A99M301-IN</v>
          </cell>
          <cell r="E218" t="str">
            <v>A99M301</v>
          </cell>
          <cell r="F218">
            <v>1999</v>
          </cell>
          <cell r="G218" t="str">
            <v>p</v>
          </cell>
          <cell r="H218" t="str">
            <v>IN</v>
          </cell>
          <cell r="U218">
            <v>100</v>
          </cell>
          <cell r="V218">
            <v>0</v>
          </cell>
          <cell r="W218">
            <v>0</v>
          </cell>
          <cell r="X218">
            <v>100</v>
          </cell>
          <cell r="Y218">
            <v>0</v>
          </cell>
          <cell r="Z218">
            <v>100</v>
          </cell>
        </row>
        <row r="219">
          <cell r="B219" t="str">
            <v>AD-A99M302</v>
          </cell>
          <cell r="C219" t="str">
            <v>A99M302-AD</v>
          </cell>
          <cell r="E219" t="str">
            <v>A99M302</v>
          </cell>
          <cell r="F219">
            <v>1999</v>
          </cell>
          <cell r="G219" t="str">
            <v>p</v>
          </cell>
          <cell r="H219" t="str">
            <v>AD</v>
          </cell>
          <cell r="U219">
            <v>100</v>
          </cell>
          <cell r="V219">
            <v>0</v>
          </cell>
          <cell r="W219">
            <v>0</v>
          </cell>
          <cell r="X219">
            <v>100</v>
          </cell>
          <cell r="Y219">
            <v>0</v>
          </cell>
          <cell r="Z219">
            <v>100</v>
          </cell>
        </row>
        <row r="220">
          <cell r="B220" t="str">
            <v>CO-A99M302</v>
          </cell>
          <cell r="C220" t="str">
            <v>A99M302-CO</v>
          </cell>
          <cell r="E220" t="str">
            <v>A99M302</v>
          </cell>
          <cell r="F220">
            <v>1999</v>
          </cell>
          <cell r="G220" t="str">
            <v>p</v>
          </cell>
          <cell r="H220" t="str">
            <v>CO</v>
          </cell>
          <cell r="U220">
            <v>100</v>
          </cell>
          <cell r="V220">
            <v>0</v>
          </cell>
          <cell r="W220">
            <v>0</v>
          </cell>
          <cell r="X220">
            <v>100</v>
          </cell>
          <cell r="Y220">
            <v>0</v>
          </cell>
          <cell r="Z220">
            <v>100</v>
          </cell>
        </row>
        <row r="221">
          <cell r="B221" t="str">
            <v>IN-A99M302</v>
          </cell>
          <cell r="C221" t="str">
            <v>A99M302-IN</v>
          </cell>
          <cell r="E221" t="str">
            <v>A99M302</v>
          </cell>
          <cell r="F221">
            <v>1999</v>
          </cell>
          <cell r="G221" t="str">
            <v>p</v>
          </cell>
          <cell r="H221" t="str">
            <v>IN</v>
          </cell>
          <cell r="U221">
            <v>100</v>
          </cell>
          <cell r="V221">
            <v>0</v>
          </cell>
          <cell r="W221">
            <v>0</v>
          </cell>
          <cell r="X221">
            <v>100</v>
          </cell>
          <cell r="Y221">
            <v>0</v>
          </cell>
          <cell r="Z221">
            <v>100</v>
          </cell>
        </row>
        <row r="222">
          <cell r="B222" t="str">
            <v>AD-A99M304</v>
          </cell>
          <cell r="C222" t="str">
            <v>A99M304-AD</v>
          </cell>
          <cell r="E222" t="str">
            <v>A99M304</v>
          </cell>
          <cell r="F222">
            <v>2000</v>
          </cell>
          <cell r="G222" t="str">
            <v>p</v>
          </cell>
          <cell r="H222" t="str">
            <v>AD</v>
          </cell>
          <cell r="U222">
            <v>100</v>
          </cell>
          <cell r="V222">
            <v>0</v>
          </cell>
          <cell r="W222">
            <v>0</v>
          </cell>
          <cell r="X222">
            <v>100</v>
          </cell>
          <cell r="Y222">
            <v>0</v>
          </cell>
          <cell r="Z222">
            <v>100</v>
          </cell>
        </row>
        <row r="223">
          <cell r="B223" t="str">
            <v>CO-A99M304</v>
          </cell>
          <cell r="C223" t="str">
            <v>A99M304-CO</v>
          </cell>
          <cell r="E223" t="str">
            <v>A99M304</v>
          </cell>
          <cell r="F223">
            <v>2000</v>
          </cell>
          <cell r="G223" t="str">
            <v>p</v>
          </cell>
          <cell r="H223" t="str">
            <v>CO</v>
          </cell>
          <cell r="U223">
            <v>100</v>
          </cell>
          <cell r="V223">
            <v>0</v>
          </cell>
          <cell r="W223">
            <v>0</v>
          </cell>
          <cell r="X223">
            <v>100</v>
          </cell>
          <cell r="Y223">
            <v>0</v>
          </cell>
          <cell r="Z223">
            <v>100</v>
          </cell>
        </row>
        <row r="224">
          <cell r="B224" t="str">
            <v>IN-A99M304</v>
          </cell>
          <cell r="C224" t="str">
            <v>A99M304-IN</v>
          </cell>
          <cell r="E224" t="str">
            <v>A99M304</v>
          </cell>
          <cell r="F224">
            <v>2000</v>
          </cell>
          <cell r="G224" t="str">
            <v>p</v>
          </cell>
          <cell r="H224" t="str">
            <v>IN</v>
          </cell>
          <cell r="U224">
            <v>100</v>
          </cell>
          <cell r="V224">
            <v>0</v>
          </cell>
          <cell r="W224">
            <v>0</v>
          </cell>
          <cell r="X224">
            <v>100</v>
          </cell>
          <cell r="Y224">
            <v>0</v>
          </cell>
          <cell r="Z224">
            <v>100</v>
          </cell>
        </row>
        <row r="225">
          <cell r="B225" t="str">
            <v>AD-A99M305</v>
          </cell>
          <cell r="C225" t="str">
            <v>A99M305-AD</v>
          </cell>
          <cell r="E225" t="str">
            <v>A99M305</v>
          </cell>
          <cell r="F225">
            <v>2000</v>
          </cell>
          <cell r="G225" t="str">
            <v>p</v>
          </cell>
          <cell r="H225" t="str">
            <v>AD</v>
          </cell>
          <cell r="U225">
            <v>100</v>
          </cell>
          <cell r="V225">
            <v>0</v>
          </cell>
          <cell r="W225">
            <v>0</v>
          </cell>
          <cell r="X225">
            <v>100</v>
          </cell>
          <cell r="Y225">
            <v>0</v>
          </cell>
          <cell r="Z225">
            <v>100</v>
          </cell>
        </row>
        <row r="226">
          <cell r="B226" t="str">
            <v>CO-A99M305</v>
          </cell>
          <cell r="C226" t="str">
            <v>A99M305-CO</v>
          </cell>
          <cell r="E226" t="str">
            <v>A99M305</v>
          </cell>
          <cell r="F226">
            <v>2000</v>
          </cell>
          <cell r="G226" t="str">
            <v>p</v>
          </cell>
          <cell r="H226" t="str">
            <v>CO</v>
          </cell>
          <cell r="U226">
            <v>100</v>
          </cell>
          <cell r="V226">
            <v>0</v>
          </cell>
          <cell r="W226">
            <v>0</v>
          </cell>
          <cell r="X226">
            <v>100</v>
          </cell>
          <cell r="Y226">
            <v>0</v>
          </cell>
          <cell r="Z226">
            <v>100</v>
          </cell>
        </row>
        <row r="227">
          <cell r="B227" t="str">
            <v>IN-A99M305</v>
          </cell>
          <cell r="C227" t="str">
            <v>A99M305-IN</v>
          </cell>
          <cell r="E227" t="str">
            <v>A99M305</v>
          </cell>
          <cell r="F227">
            <v>2000</v>
          </cell>
          <cell r="G227" t="str">
            <v>p</v>
          </cell>
          <cell r="H227" t="str">
            <v>IN</v>
          </cell>
          <cell r="U227">
            <v>100</v>
          </cell>
          <cell r="V227">
            <v>0</v>
          </cell>
          <cell r="W227">
            <v>0</v>
          </cell>
          <cell r="X227">
            <v>100</v>
          </cell>
          <cell r="Y227">
            <v>0</v>
          </cell>
          <cell r="Z227">
            <v>100</v>
          </cell>
        </row>
        <row r="228">
          <cell r="B228" t="str">
            <v>AD-A99M306</v>
          </cell>
          <cell r="C228" t="str">
            <v>A99M306-AD</v>
          </cell>
          <cell r="E228" t="str">
            <v>A99M306</v>
          </cell>
          <cell r="F228">
            <v>2000</v>
          </cell>
          <cell r="G228" t="str">
            <v>p</v>
          </cell>
          <cell r="H228" t="str">
            <v>AD</v>
          </cell>
          <cell r="U228">
            <v>100</v>
          </cell>
          <cell r="V228">
            <v>0</v>
          </cell>
          <cell r="W228">
            <v>0</v>
          </cell>
          <cell r="X228">
            <v>100</v>
          </cell>
          <cell r="Y228">
            <v>0</v>
          </cell>
          <cell r="Z228">
            <v>100</v>
          </cell>
        </row>
        <row r="229">
          <cell r="B229" t="str">
            <v>CO-A99M306</v>
          </cell>
          <cell r="C229" t="str">
            <v>A99M306-CO</v>
          </cell>
          <cell r="E229" t="str">
            <v>A99M306</v>
          </cell>
          <cell r="F229">
            <v>2000</v>
          </cell>
          <cell r="G229" t="str">
            <v>p</v>
          </cell>
          <cell r="H229" t="str">
            <v>CO</v>
          </cell>
          <cell r="U229">
            <v>100</v>
          </cell>
          <cell r="V229">
            <v>0</v>
          </cell>
          <cell r="W229">
            <v>0</v>
          </cell>
          <cell r="X229">
            <v>100</v>
          </cell>
          <cell r="Y229">
            <v>0</v>
          </cell>
          <cell r="Z229">
            <v>100</v>
          </cell>
        </row>
        <row r="230">
          <cell r="B230" t="str">
            <v>IN-A99M306</v>
          </cell>
          <cell r="C230" t="str">
            <v>A99M306-IN</v>
          </cell>
          <cell r="E230" t="str">
            <v>A99M306</v>
          </cell>
          <cell r="F230">
            <v>2000</v>
          </cell>
          <cell r="G230" t="str">
            <v>p</v>
          </cell>
          <cell r="H230" t="str">
            <v>IN</v>
          </cell>
          <cell r="U230">
            <v>100</v>
          </cell>
          <cell r="V230">
            <v>0</v>
          </cell>
          <cell r="W230">
            <v>0</v>
          </cell>
          <cell r="X230">
            <v>100</v>
          </cell>
          <cell r="Y230">
            <v>0</v>
          </cell>
          <cell r="Z230">
            <v>100</v>
          </cell>
        </row>
        <row r="231">
          <cell r="B231" t="str">
            <v>AD-A99M307</v>
          </cell>
          <cell r="C231" t="str">
            <v>A99M307-AD</v>
          </cell>
          <cell r="E231" t="str">
            <v>A99M307</v>
          </cell>
          <cell r="F231">
            <v>2000</v>
          </cell>
          <cell r="G231" t="str">
            <v>p</v>
          </cell>
          <cell r="H231" t="str">
            <v>AD</v>
          </cell>
          <cell r="U231">
            <v>100</v>
          </cell>
          <cell r="V231">
            <v>0</v>
          </cell>
          <cell r="W231">
            <v>0</v>
          </cell>
          <cell r="X231">
            <v>100</v>
          </cell>
          <cell r="Y231">
            <v>0</v>
          </cell>
          <cell r="Z231">
            <v>100</v>
          </cell>
        </row>
        <row r="232">
          <cell r="B232" t="str">
            <v>CO-A99M307</v>
          </cell>
          <cell r="C232" t="str">
            <v>A99M307-CO</v>
          </cell>
          <cell r="E232" t="str">
            <v>A99M307</v>
          </cell>
          <cell r="F232">
            <v>2000</v>
          </cell>
          <cell r="G232" t="str">
            <v>p</v>
          </cell>
          <cell r="H232" t="str">
            <v>CO</v>
          </cell>
          <cell r="U232">
            <v>100</v>
          </cell>
          <cell r="V232">
            <v>0</v>
          </cell>
          <cell r="W232">
            <v>0</v>
          </cell>
          <cell r="X232">
            <v>100</v>
          </cell>
          <cell r="Y232">
            <v>0</v>
          </cell>
          <cell r="Z232">
            <v>100</v>
          </cell>
        </row>
        <row r="233">
          <cell r="B233" t="str">
            <v>IN-A99M307</v>
          </cell>
          <cell r="C233" t="str">
            <v>A99M307-IN</v>
          </cell>
          <cell r="E233" t="str">
            <v>A99M307</v>
          </cell>
          <cell r="F233">
            <v>2000</v>
          </cell>
          <cell r="G233" t="str">
            <v>p</v>
          </cell>
          <cell r="H233" t="str">
            <v>IN</v>
          </cell>
          <cell r="U233">
            <v>100</v>
          </cell>
          <cell r="V233">
            <v>0</v>
          </cell>
          <cell r="W233">
            <v>0</v>
          </cell>
          <cell r="X233">
            <v>100</v>
          </cell>
          <cell r="Y233">
            <v>0</v>
          </cell>
          <cell r="Z233">
            <v>100</v>
          </cell>
        </row>
        <row r="234">
          <cell r="B234" t="str">
            <v>AD-A99M309</v>
          </cell>
          <cell r="C234" t="str">
            <v>A99M309-AD</v>
          </cell>
          <cell r="E234" t="str">
            <v>A99M309</v>
          </cell>
          <cell r="F234">
            <v>2000</v>
          </cell>
          <cell r="G234" t="str">
            <v>p</v>
          </cell>
          <cell r="H234" t="str">
            <v>AD</v>
          </cell>
          <cell r="U234">
            <v>100</v>
          </cell>
          <cell r="V234">
            <v>0</v>
          </cell>
          <cell r="W234">
            <v>0</v>
          </cell>
          <cell r="X234">
            <v>100</v>
          </cell>
          <cell r="Y234">
            <v>0</v>
          </cell>
          <cell r="Z234">
            <v>100</v>
          </cell>
        </row>
        <row r="235">
          <cell r="B235" t="str">
            <v>CO-A99M309</v>
          </cell>
          <cell r="C235" t="str">
            <v>A99M309-CO</v>
          </cell>
          <cell r="E235" t="str">
            <v>A99M309</v>
          </cell>
          <cell r="F235">
            <v>2000</v>
          </cell>
          <cell r="G235" t="str">
            <v>p</v>
          </cell>
          <cell r="H235" t="str">
            <v>CO</v>
          </cell>
          <cell r="U235">
            <v>100</v>
          </cell>
          <cell r="V235">
            <v>0</v>
          </cell>
          <cell r="W235">
            <v>0</v>
          </cell>
          <cell r="X235">
            <v>100</v>
          </cell>
          <cell r="Y235">
            <v>0</v>
          </cell>
          <cell r="Z235">
            <v>100</v>
          </cell>
        </row>
        <row r="236">
          <cell r="B236" t="str">
            <v>IN-A99M309</v>
          </cell>
          <cell r="C236" t="str">
            <v>A99M309-IN</v>
          </cell>
          <cell r="E236" t="str">
            <v>A99M309</v>
          </cell>
          <cell r="F236">
            <v>2000</v>
          </cell>
          <cell r="G236" t="str">
            <v>p</v>
          </cell>
          <cell r="H236" t="str">
            <v>IN</v>
          </cell>
          <cell r="U236">
            <v>100</v>
          </cell>
          <cell r="V236">
            <v>0</v>
          </cell>
          <cell r="W236">
            <v>0</v>
          </cell>
          <cell r="X236">
            <v>100</v>
          </cell>
          <cell r="Y236">
            <v>0</v>
          </cell>
          <cell r="Z236">
            <v>100</v>
          </cell>
        </row>
        <row r="237">
          <cell r="B237" t="str">
            <v>AD-A99M310</v>
          </cell>
          <cell r="C237" t="str">
            <v>A99M310-AD</v>
          </cell>
          <cell r="E237" t="str">
            <v>A99M310</v>
          </cell>
          <cell r="F237">
            <v>2000</v>
          </cell>
          <cell r="G237" t="str">
            <v>p</v>
          </cell>
          <cell r="H237" t="str">
            <v>AD</v>
          </cell>
          <cell r="U237">
            <v>100</v>
          </cell>
          <cell r="V237">
            <v>0</v>
          </cell>
          <cell r="W237">
            <v>0</v>
          </cell>
          <cell r="X237">
            <v>100</v>
          </cell>
          <cell r="Y237">
            <v>0</v>
          </cell>
          <cell r="Z237">
            <v>100</v>
          </cell>
        </row>
        <row r="238">
          <cell r="B238" t="str">
            <v>CO-A99M310</v>
          </cell>
          <cell r="C238" t="str">
            <v>A99M310-CO</v>
          </cell>
          <cell r="E238" t="str">
            <v>A99M310</v>
          </cell>
          <cell r="F238">
            <v>2000</v>
          </cell>
          <cell r="G238" t="str">
            <v>p</v>
          </cell>
          <cell r="H238" t="str">
            <v>CO</v>
          </cell>
          <cell r="U238">
            <v>100</v>
          </cell>
          <cell r="V238">
            <v>0</v>
          </cell>
          <cell r="W238">
            <v>0</v>
          </cell>
          <cell r="X238">
            <v>100</v>
          </cell>
          <cell r="Y238">
            <v>0</v>
          </cell>
          <cell r="Z238">
            <v>100</v>
          </cell>
        </row>
        <row r="239">
          <cell r="B239" t="str">
            <v>IN-A99M310</v>
          </cell>
          <cell r="C239" t="str">
            <v>A99M310-IN</v>
          </cell>
          <cell r="E239" t="str">
            <v>A99M310</v>
          </cell>
          <cell r="F239">
            <v>2000</v>
          </cell>
          <cell r="G239" t="str">
            <v>p</v>
          </cell>
          <cell r="H239" t="str">
            <v>IN</v>
          </cell>
          <cell r="U239">
            <v>100</v>
          </cell>
          <cell r="V239">
            <v>0</v>
          </cell>
          <cell r="W239">
            <v>0</v>
          </cell>
          <cell r="X239">
            <v>100</v>
          </cell>
          <cell r="Y239">
            <v>0</v>
          </cell>
          <cell r="Z239">
            <v>100</v>
          </cell>
        </row>
        <row r="240">
          <cell r="B240" t="str">
            <v>AD-A99M312</v>
          </cell>
          <cell r="C240" t="str">
            <v>A99M312-AD</v>
          </cell>
          <cell r="E240" t="str">
            <v>A99M312</v>
          </cell>
          <cell r="F240">
            <v>2000</v>
          </cell>
          <cell r="G240" t="str">
            <v>p</v>
          </cell>
          <cell r="H240" t="str">
            <v>AD</v>
          </cell>
          <cell r="U240">
            <v>100</v>
          </cell>
          <cell r="V240">
            <v>0</v>
          </cell>
          <cell r="W240">
            <v>0</v>
          </cell>
          <cell r="X240">
            <v>100</v>
          </cell>
          <cell r="Y240">
            <v>0</v>
          </cell>
          <cell r="Z240">
            <v>100</v>
          </cell>
        </row>
        <row r="241">
          <cell r="B241" t="str">
            <v>CO-A99M312</v>
          </cell>
          <cell r="C241" t="str">
            <v>A99M312-CO</v>
          </cell>
          <cell r="E241" t="str">
            <v>A99M312</v>
          </cell>
          <cell r="F241">
            <v>2000</v>
          </cell>
          <cell r="G241" t="str">
            <v>p</v>
          </cell>
          <cell r="H241" t="str">
            <v>CO</v>
          </cell>
          <cell r="U241">
            <v>100</v>
          </cell>
          <cell r="V241">
            <v>0</v>
          </cell>
          <cell r="W241">
            <v>0</v>
          </cell>
          <cell r="X241">
            <v>100</v>
          </cell>
          <cell r="Y241">
            <v>0</v>
          </cell>
          <cell r="Z241">
            <v>100</v>
          </cell>
        </row>
        <row r="242">
          <cell r="B242" t="str">
            <v>IN-A99M312</v>
          </cell>
          <cell r="C242" t="str">
            <v>A99M312-IN</v>
          </cell>
          <cell r="E242" t="str">
            <v>A99M312</v>
          </cell>
          <cell r="F242">
            <v>2000</v>
          </cell>
          <cell r="G242" t="str">
            <v>p</v>
          </cell>
          <cell r="H242" t="str">
            <v>IN</v>
          </cell>
          <cell r="U242">
            <v>100</v>
          </cell>
          <cell r="V242">
            <v>0</v>
          </cell>
          <cell r="W242">
            <v>0</v>
          </cell>
          <cell r="X242">
            <v>100</v>
          </cell>
          <cell r="Y242">
            <v>0</v>
          </cell>
          <cell r="Z242">
            <v>100</v>
          </cell>
        </row>
        <row r="243">
          <cell r="B243" t="str">
            <v>AD-A99M314</v>
          </cell>
          <cell r="C243" t="str">
            <v>A99M314-AD</v>
          </cell>
          <cell r="E243" t="str">
            <v>A99M314</v>
          </cell>
          <cell r="F243">
            <v>2000</v>
          </cell>
          <cell r="G243" t="str">
            <v>p</v>
          </cell>
          <cell r="H243" t="str">
            <v>AD</v>
          </cell>
          <cell r="U243">
            <v>100</v>
          </cell>
          <cell r="V243">
            <v>0</v>
          </cell>
          <cell r="W243">
            <v>0</v>
          </cell>
          <cell r="X243">
            <v>100</v>
          </cell>
          <cell r="Y243">
            <v>0</v>
          </cell>
          <cell r="Z243">
            <v>100</v>
          </cell>
        </row>
        <row r="244">
          <cell r="B244" t="str">
            <v>CO-A99M314</v>
          </cell>
          <cell r="C244" t="str">
            <v>A99M314-CO</v>
          </cell>
          <cell r="E244" t="str">
            <v>A99M314</v>
          </cell>
          <cell r="F244">
            <v>2000</v>
          </cell>
          <cell r="G244" t="str">
            <v>p</v>
          </cell>
          <cell r="H244" t="str">
            <v>CO</v>
          </cell>
          <cell r="U244">
            <v>100</v>
          </cell>
          <cell r="V244">
            <v>0</v>
          </cell>
          <cell r="W244">
            <v>0</v>
          </cell>
          <cell r="X244">
            <v>100</v>
          </cell>
          <cell r="Y244">
            <v>0</v>
          </cell>
          <cell r="Z244">
            <v>100</v>
          </cell>
        </row>
        <row r="245">
          <cell r="B245" t="str">
            <v>IN-A99M314</v>
          </cell>
          <cell r="C245" t="str">
            <v>A99M314-IN</v>
          </cell>
          <cell r="E245" t="str">
            <v>A99M314</v>
          </cell>
          <cell r="F245">
            <v>2000</v>
          </cell>
          <cell r="G245" t="str">
            <v>p</v>
          </cell>
          <cell r="H245" t="str">
            <v>IN</v>
          </cell>
          <cell r="U245">
            <v>100</v>
          </cell>
          <cell r="V245">
            <v>0</v>
          </cell>
          <cell r="W245">
            <v>0</v>
          </cell>
          <cell r="X245">
            <v>100</v>
          </cell>
          <cell r="Y245">
            <v>0</v>
          </cell>
          <cell r="Z245">
            <v>100</v>
          </cell>
        </row>
        <row r="246">
          <cell r="B246" t="str">
            <v>AD-981002-1</v>
          </cell>
          <cell r="C246" t="str">
            <v>981002-1-AD</v>
          </cell>
          <cell r="E246" t="str">
            <v>981002-1</v>
          </cell>
          <cell r="F246">
            <v>1999</v>
          </cell>
          <cell r="G246" t="str">
            <v>P</v>
          </cell>
          <cell r="H246" t="str">
            <v>AD</v>
          </cell>
          <cell r="U246">
            <v>100</v>
          </cell>
          <cell r="V246">
            <v>0</v>
          </cell>
          <cell r="W246">
            <v>0</v>
          </cell>
          <cell r="X246">
            <v>100</v>
          </cell>
          <cell r="Y246">
            <v>0</v>
          </cell>
          <cell r="Z246">
            <v>100</v>
          </cell>
        </row>
        <row r="247">
          <cell r="B247" t="str">
            <v>CO-981002-1</v>
          </cell>
          <cell r="C247" t="str">
            <v>981002-1-CO</v>
          </cell>
          <cell r="E247" t="str">
            <v>981002-1</v>
          </cell>
          <cell r="F247">
            <v>1999</v>
          </cell>
          <cell r="G247" t="str">
            <v>P</v>
          </cell>
          <cell r="H247" t="str">
            <v>CO</v>
          </cell>
          <cell r="U247">
            <v>100</v>
          </cell>
          <cell r="V247">
            <v>0</v>
          </cell>
          <cell r="W247">
            <v>0</v>
          </cell>
          <cell r="X247">
            <v>100</v>
          </cell>
          <cell r="Y247">
            <v>0</v>
          </cell>
          <cell r="Z247">
            <v>100</v>
          </cell>
        </row>
        <row r="248">
          <cell r="B248" t="str">
            <v>IN-981002-1</v>
          </cell>
          <cell r="C248" t="str">
            <v>981002-1-IN</v>
          </cell>
          <cell r="E248" t="str">
            <v>981002-1</v>
          </cell>
          <cell r="F248">
            <v>1999</v>
          </cell>
          <cell r="G248" t="str">
            <v>P</v>
          </cell>
          <cell r="H248" t="str">
            <v>IN</v>
          </cell>
          <cell r="U248">
            <v>100</v>
          </cell>
          <cell r="V248">
            <v>0</v>
          </cell>
          <cell r="W248">
            <v>0</v>
          </cell>
          <cell r="X248">
            <v>100</v>
          </cell>
          <cell r="Y248">
            <v>0</v>
          </cell>
          <cell r="Z248">
            <v>100</v>
          </cell>
        </row>
        <row r="249">
          <cell r="B249" t="str">
            <v>AD-981501-1</v>
          </cell>
          <cell r="C249" t="str">
            <v>981501-1-AD</v>
          </cell>
          <cell r="E249" t="str">
            <v>981501-1</v>
          </cell>
          <cell r="F249">
            <v>2000</v>
          </cell>
          <cell r="G249" t="str">
            <v>P</v>
          </cell>
          <cell r="H249" t="str">
            <v>AD</v>
          </cell>
          <cell r="U249">
            <v>100</v>
          </cell>
          <cell r="V249">
            <v>0</v>
          </cell>
          <cell r="W249">
            <v>0</v>
          </cell>
          <cell r="X249">
            <v>100</v>
          </cell>
          <cell r="Y249">
            <v>0</v>
          </cell>
          <cell r="Z249">
            <v>100</v>
          </cell>
        </row>
        <row r="250">
          <cell r="B250" t="str">
            <v>CO-981501-1</v>
          </cell>
          <cell r="C250" t="str">
            <v>981501-1-CO</v>
          </cell>
          <cell r="E250" t="str">
            <v>981501-1</v>
          </cell>
          <cell r="F250">
            <v>2000</v>
          </cell>
          <cell r="G250" t="str">
            <v>P</v>
          </cell>
          <cell r="H250" t="str">
            <v>CO</v>
          </cell>
          <cell r="U250">
            <v>100</v>
          </cell>
          <cell r="V250">
            <v>0</v>
          </cell>
          <cell r="W250">
            <v>0</v>
          </cell>
          <cell r="X250">
            <v>100</v>
          </cell>
          <cell r="Y250">
            <v>0</v>
          </cell>
          <cell r="Z250">
            <v>100</v>
          </cell>
        </row>
        <row r="251">
          <cell r="B251" t="str">
            <v>IN-981501-1</v>
          </cell>
          <cell r="C251" t="str">
            <v>981501-1-IN</v>
          </cell>
          <cell r="E251" t="str">
            <v>981501-1</v>
          </cell>
          <cell r="F251">
            <v>2000</v>
          </cell>
          <cell r="G251" t="str">
            <v>P</v>
          </cell>
          <cell r="H251" t="str">
            <v>IN</v>
          </cell>
          <cell r="U251">
            <v>100</v>
          </cell>
          <cell r="V251">
            <v>0</v>
          </cell>
          <cell r="W251">
            <v>0</v>
          </cell>
          <cell r="X251">
            <v>100</v>
          </cell>
          <cell r="Y251">
            <v>0</v>
          </cell>
          <cell r="Z251">
            <v>100</v>
          </cell>
        </row>
        <row r="252">
          <cell r="B252" t="str">
            <v>AD-981501-2</v>
          </cell>
          <cell r="C252" t="str">
            <v>981501-2-AD</v>
          </cell>
          <cell r="E252" t="str">
            <v>981501-2</v>
          </cell>
          <cell r="F252">
            <v>1999</v>
          </cell>
          <cell r="G252" t="str">
            <v>P</v>
          </cell>
          <cell r="H252" t="str">
            <v>AD</v>
          </cell>
          <cell r="U252">
            <v>100</v>
          </cell>
          <cell r="V252">
            <v>0</v>
          </cell>
          <cell r="W252">
            <v>0</v>
          </cell>
          <cell r="X252">
            <v>100</v>
          </cell>
          <cell r="Y252">
            <v>0</v>
          </cell>
          <cell r="Z252">
            <v>100</v>
          </cell>
        </row>
        <row r="253">
          <cell r="B253" t="str">
            <v>CO-981501-2</v>
          </cell>
          <cell r="C253" t="str">
            <v>981501-2-CO</v>
          </cell>
          <cell r="E253" t="str">
            <v>981501-2</v>
          </cell>
          <cell r="F253">
            <v>1999</v>
          </cell>
          <cell r="G253" t="str">
            <v>P</v>
          </cell>
          <cell r="H253" t="str">
            <v>CO</v>
          </cell>
          <cell r="U253">
            <v>100</v>
          </cell>
          <cell r="V253">
            <v>0</v>
          </cell>
          <cell r="W253">
            <v>0</v>
          </cell>
          <cell r="X253">
            <v>100</v>
          </cell>
          <cell r="Y253">
            <v>0</v>
          </cell>
          <cell r="Z253">
            <v>100</v>
          </cell>
        </row>
        <row r="254">
          <cell r="B254" t="str">
            <v>IN-981501-2</v>
          </cell>
          <cell r="C254" t="str">
            <v>981501-2-IN</v>
          </cell>
          <cell r="E254" t="str">
            <v>981501-2</v>
          </cell>
          <cell r="F254">
            <v>1999</v>
          </cell>
          <cell r="G254" t="str">
            <v>P</v>
          </cell>
          <cell r="H254" t="str">
            <v>IN</v>
          </cell>
          <cell r="U254">
            <v>100</v>
          </cell>
          <cell r="V254">
            <v>0</v>
          </cell>
          <cell r="W254">
            <v>0</v>
          </cell>
          <cell r="X254">
            <v>100</v>
          </cell>
          <cell r="Y254">
            <v>0</v>
          </cell>
          <cell r="Z254">
            <v>100</v>
          </cell>
        </row>
      </sheetData>
      <sheetData sheetId="2" refreshError="1">
        <row r="6">
          <cell r="B6" t="str">
            <v>AD-930801</v>
          </cell>
          <cell r="C6" t="str">
            <v>930801-AD</v>
          </cell>
          <cell r="E6">
            <v>930801</v>
          </cell>
          <cell r="F6">
            <v>1999</v>
          </cell>
          <cell r="G6" t="str">
            <v>I</v>
          </cell>
          <cell r="H6" t="str">
            <v>AD</v>
          </cell>
          <cell r="U6">
            <v>100</v>
          </cell>
          <cell r="V6">
            <v>0</v>
          </cell>
          <cell r="W6">
            <v>0</v>
          </cell>
          <cell r="X6">
            <v>100</v>
          </cell>
          <cell r="Y6">
            <v>0</v>
          </cell>
          <cell r="Z6">
            <v>100</v>
          </cell>
        </row>
        <row r="7">
          <cell r="B7" t="str">
            <v>CO-930801</v>
          </cell>
          <cell r="C7" t="str">
            <v>930801-CO</v>
          </cell>
          <cell r="E7">
            <v>930801</v>
          </cell>
          <cell r="F7">
            <v>1999</v>
          </cell>
          <cell r="G7" t="str">
            <v>I</v>
          </cell>
          <cell r="H7" t="str">
            <v>CO</v>
          </cell>
          <cell r="U7">
            <v>100</v>
          </cell>
          <cell r="V7">
            <v>0</v>
          </cell>
          <cell r="W7">
            <v>0</v>
          </cell>
          <cell r="X7">
            <v>100</v>
          </cell>
          <cell r="Y7">
            <v>0</v>
          </cell>
          <cell r="Z7">
            <v>100</v>
          </cell>
        </row>
        <row r="8">
          <cell r="B8" t="str">
            <v>IN-930801</v>
          </cell>
          <cell r="C8" t="str">
            <v>930801-IN</v>
          </cell>
          <cell r="E8">
            <v>930801</v>
          </cell>
          <cell r="F8">
            <v>1999</v>
          </cell>
          <cell r="G8" t="str">
            <v>I</v>
          </cell>
          <cell r="H8" t="str">
            <v>IN</v>
          </cell>
          <cell r="U8">
            <v>100</v>
          </cell>
          <cell r="V8">
            <v>0</v>
          </cell>
          <cell r="W8">
            <v>0</v>
          </cell>
          <cell r="X8">
            <v>100</v>
          </cell>
          <cell r="Y8">
            <v>0</v>
          </cell>
          <cell r="Z8">
            <v>100</v>
          </cell>
        </row>
        <row r="9">
          <cell r="B9" t="str">
            <v>AD-940102</v>
          </cell>
          <cell r="C9" t="str">
            <v>940102-AD</v>
          </cell>
          <cell r="E9">
            <v>940102</v>
          </cell>
          <cell r="F9">
            <v>2000</v>
          </cell>
          <cell r="G9" t="str">
            <v>I</v>
          </cell>
          <cell r="H9" t="str">
            <v>AD</v>
          </cell>
          <cell r="U9">
            <v>100</v>
          </cell>
          <cell r="V9">
            <v>0</v>
          </cell>
          <cell r="W9">
            <v>0</v>
          </cell>
          <cell r="X9">
            <v>100</v>
          </cell>
          <cell r="Y9">
            <v>0</v>
          </cell>
          <cell r="Z9">
            <v>100</v>
          </cell>
        </row>
        <row r="10">
          <cell r="B10" t="str">
            <v>CO-940102</v>
          </cell>
          <cell r="C10" t="str">
            <v>940102-CO</v>
          </cell>
          <cell r="E10">
            <v>940102</v>
          </cell>
          <cell r="F10">
            <v>2000</v>
          </cell>
          <cell r="G10" t="str">
            <v>I</v>
          </cell>
          <cell r="H10" t="str">
            <v>CO</v>
          </cell>
          <cell r="U10">
            <v>100</v>
          </cell>
          <cell r="V10">
            <v>0</v>
          </cell>
          <cell r="W10">
            <v>0</v>
          </cell>
          <cell r="X10">
            <v>100</v>
          </cell>
          <cell r="Y10">
            <v>0</v>
          </cell>
          <cell r="Z10">
            <v>100</v>
          </cell>
        </row>
        <row r="11">
          <cell r="B11" t="str">
            <v>IN-940102</v>
          </cell>
          <cell r="C11" t="str">
            <v>940102-IN</v>
          </cell>
          <cell r="E11">
            <v>940102</v>
          </cell>
          <cell r="F11">
            <v>2000</v>
          </cell>
          <cell r="G11" t="str">
            <v>I</v>
          </cell>
          <cell r="H11" t="str">
            <v>IN</v>
          </cell>
          <cell r="U11">
            <v>100</v>
          </cell>
          <cell r="V11">
            <v>0</v>
          </cell>
          <cell r="W11">
            <v>0</v>
          </cell>
          <cell r="X11">
            <v>100</v>
          </cell>
          <cell r="Y11">
            <v>0</v>
          </cell>
          <cell r="Z11">
            <v>100</v>
          </cell>
        </row>
        <row r="12">
          <cell r="B12" t="str">
            <v>AD-940103</v>
          </cell>
          <cell r="C12" t="str">
            <v>940103-AD</v>
          </cell>
          <cell r="E12">
            <v>940103</v>
          </cell>
          <cell r="F12">
            <v>1999</v>
          </cell>
          <cell r="G12" t="str">
            <v>I</v>
          </cell>
          <cell r="H12" t="str">
            <v>AD</v>
          </cell>
          <cell r="U12">
            <v>100</v>
          </cell>
          <cell r="V12">
            <v>0</v>
          </cell>
          <cell r="W12">
            <v>0</v>
          </cell>
          <cell r="X12">
            <v>100</v>
          </cell>
          <cell r="Y12">
            <v>0</v>
          </cell>
          <cell r="Z12">
            <v>100</v>
          </cell>
        </row>
        <row r="13">
          <cell r="B13" t="str">
            <v>CO-940103</v>
          </cell>
          <cell r="C13" t="str">
            <v>940103-CO</v>
          </cell>
          <cell r="E13">
            <v>940103</v>
          </cell>
          <cell r="F13">
            <v>1999</v>
          </cell>
          <cell r="G13" t="str">
            <v>I</v>
          </cell>
          <cell r="H13" t="str">
            <v>CO</v>
          </cell>
          <cell r="U13">
            <v>100</v>
          </cell>
          <cell r="V13">
            <v>0</v>
          </cell>
          <cell r="W13">
            <v>0</v>
          </cell>
          <cell r="X13">
            <v>100</v>
          </cell>
          <cell r="Y13">
            <v>0</v>
          </cell>
          <cell r="Z13">
            <v>100</v>
          </cell>
        </row>
        <row r="14">
          <cell r="B14" t="str">
            <v>IN-940103</v>
          </cell>
          <cell r="C14" t="str">
            <v>940103-IN</v>
          </cell>
          <cell r="E14">
            <v>940103</v>
          </cell>
          <cell r="F14">
            <v>1999</v>
          </cell>
          <cell r="G14" t="str">
            <v>I</v>
          </cell>
          <cell r="H14" t="str">
            <v>IN</v>
          </cell>
          <cell r="U14">
            <v>100</v>
          </cell>
          <cell r="V14">
            <v>0</v>
          </cell>
          <cell r="W14">
            <v>0</v>
          </cell>
          <cell r="X14">
            <v>100</v>
          </cell>
          <cell r="Y14">
            <v>0</v>
          </cell>
          <cell r="Z14">
            <v>100</v>
          </cell>
        </row>
        <row r="15">
          <cell r="B15" t="str">
            <v>AD-950807</v>
          </cell>
          <cell r="C15" t="str">
            <v>950807-AD</v>
          </cell>
          <cell r="E15">
            <v>950807</v>
          </cell>
          <cell r="F15">
            <v>1999</v>
          </cell>
          <cell r="G15" t="str">
            <v>I</v>
          </cell>
          <cell r="H15" t="str">
            <v>AD</v>
          </cell>
          <cell r="U15">
            <v>100</v>
          </cell>
          <cell r="V15">
            <v>0</v>
          </cell>
          <cell r="W15">
            <v>0</v>
          </cell>
          <cell r="X15">
            <v>100</v>
          </cell>
          <cell r="Y15">
            <v>0</v>
          </cell>
          <cell r="Z15">
            <v>100</v>
          </cell>
        </row>
        <row r="16">
          <cell r="B16" t="str">
            <v>CO-950807</v>
          </cell>
          <cell r="C16" t="str">
            <v>950807-CO</v>
          </cell>
          <cell r="E16">
            <v>950807</v>
          </cell>
          <cell r="F16">
            <v>1999</v>
          </cell>
          <cell r="G16" t="str">
            <v>I</v>
          </cell>
          <cell r="H16" t="str">
            <v>CO</v>
          </cell>
          <cell r="U16">
            <v>100</v>
          </cell>
          <cell r="V16">
            <v>0</v>
          </cell>
          <cell r="W16">
            <v>0</v>
          </cell>
          <cell r="X16">
            <v>100</v>
          </cell>
          <cell r="Y16">
            <v>0</v>
          </cell>
          <cell r="Z16">
            <v>100</v>
          </cell>
        </row>
        <row r="17">
          <cell r="B17" t="str">
            <v>IN-950807</v>
          </cell>
          <cell r="C17" t="str">
            <v>950807-IN</v>
          </cell>
          <cell r="E17">
            <v>950807</v>
          </cell>
          <cell r="F17">
            <v>1999</v>
          </cell>
          <cell r="G17" t="str">
            <v>I</v>
          </cell>
          <cell r="H17" t="str">
            <v>IN</v>
          </cell>
          <cell r="U17">
            <v>100</v>
          </cell>
          <cell r="V17">
            <v>0</v>
          </cell>
          <cell r="W17">
            <v>0</v>
          </cell>
          <cell r="X17">
            <v>100</v>
          </cell>
          <cell r="Y17">
            <v>0</v>
          </cell>
          <cell r="Z17">
            <v>100</v>
          </cell>
        </row>
        <row r="18">
          <cell r="B18" t="str">
            <v>AD-961001</v>
          </cell>
          <cell r="C18" t="str">
            <v>961001-AD</v>
          </cell>
          <cell r="E18">
            <v>961001</v>
          </cell>
          <cell r="F18">
            <v>2000</v>
          </cell>
          <cell r="G18" t="str">
            <v>I</v>
          </cell>
          <cell r="H18" t="str">
            <v>AD</v>
          </cell>
          <cell r="U18">
            <v>100</v>
          </cell>
          <cell r="V18">
            <v>0</v>
          </cell>
          <cell r="W18">
            <v>0</v>
          </cell>
          <cell r="X18">
            <v>100</v>
          </cell>
          <cell r="Y18">
            <v>0</v>
          </cell>
          <cell r="Z18">
            <v>100</v>
          </cell>
        </row>
        <row r="19">
          <cell r="B19" t="str">
            <v>CO-961001</v>
          </cell>
          <cell r="C19" t="str">
            <v>961001-CO</v>
          </cell>
          <cell r="E19">
            <v>961001</v>
          </cell>
          <cell r="F19">
            <v>2000</v>
          </cell>
          <cell r="G19" t="str">
            <v>I</v>
          </cell>
          <cell r="H19" t="str">
            <v>CO</v>
          </cell>
          <cell r="U19">
            <v>100</v>
          </cell>
          <cell r="V19">
            <v>0</v>
          </cell>
          <cell r="W19">
            <v>0</v>
          </cell>
          <cell r="X19">
            <v>100</v>
          </cell>
          <cell r="Y19">
            <v>0</v>
          </cell>
          <cell r="Z19">
            <v>100</v>
          </cell>
        </row>
        <row r="20">
          <cell r="B20" t="str">
            <v>IN-961001</v>
          </cell>
          <cell r="C20" t="str">
            <v>961001-IN</v>
          </cell>
          <cell r="E20">
            <v>961001</v>
          </cell>
          <cell r="F20">
            <v>2000</v>
          </cell>
          <cell r="G20" t="str">
            <v>I</v>
          </cell>
          <cell r="H20" t="str">
            <v>IN</v>
          </cell>
          <cell r="U20">
            <v>100</v>
          </cell>
          <cell r="V20">
            <v>0</v>
          </cell>
          <cell r="W20">
            <v>0</v>
          </cell>
          <cell r="X20">
            <v>100</v>
          </cell>
          <cell r="Y20">
            <v>0</v>
          </cell>
          <cell r="Z20">
            <v>100</v>
          </cell>
        </row>
        <row r="21">
          <cell r="B21" t="str">
            <v>AD-970805</v>
          </cell>
          <cell r="C21" t="str">
            <v>970805-AD</v>
          </cell>
          <cell r="E21">
            <v>970805</v>
          </cell>
          <cell r="F21">
            <v>1999</v>
          </cell>
          <cell r="G21" t="str">
            <v>I</v>
          </cell>
          <cell r="H21" t="str">
            <v>AD</v>
          </cell>
          <cell r="U21">
            <v>100</v>
          </cell>
          <cell r="V21">
            <v>0</v>
          </cell>
          <cell r="W21">
            <v>0</v>
          </cell>
          <cell r="X21">
            <v>100</v>
          </cell>
          <cell r="Y21">
            <v>0</v>
          </cell>
          <cell r="Z21">
            <v>100</v>
          </cell>
        </row>
        <row r="22">
          <cell r="B22" t="str">
            <v>CO-970805</v>
          </cell>
          <cell r="C22" t="str">
            <v>970805-CO</v>
          </cell>
          <cell r="E22">
            <v>970805</v>
          </cell>
          <cell r="F22">
            <v>1999</v>
          </cell>
          <cell r="G22" t="str">
            <v>I</v>
          </cell>
          <cell r="H22" t="str">
            <v>CO</v>
          </cell>
          <cell r="U22">
            <v>100</v>
          </cell>
          <cell r="V22">
            <v>0</v>
          </cell>
          <cell r="W22">
            <v>0</v>
          </cell>
          <cell r="X22">
            <v>100</v>
          </cell>
          <cell r="Y22">
            <v>0</v>
          </cell>
          <cell r="Z22">
            <v>100</v>
          </cell>
        </row>
        <row r="23">
          <cell r="B23" t="str">
            <v>IN-970805</v>
          </cell>
          <cell r="C23" t="str">
            <v>970805-IN</v>
          </cell>
          <cell r="E23">
            <v>970805</v>
          </cell>
          <cell r="F23">
            <v>1999</v>
          </cell>
          <cell r="G23" t="str">
            <v>I</v>
          </cell>
          <cell r="H23" t="str">
            <v>IN</v>
          </cell>
          <cell r="U23">
            <v>100</v>
          </cell>
          <cell r="V23">
            <v>0</v>
          </cell>
          <cell r="W23">
            <v>0</v>
          </cell>
          <cell r="X23">
            <v>100</v>
          </cell>
          <cell r="Y23">
            <v>0</v>
          </cell>
          <cell r="Z23">
            <v>100</v>
          </cell>
        </row>
        <row r="24">
          <cell r="B24" t="str">
            <v>AD-980101</v>
          </cell>
          <cell r="C24" t="str">
            <v>980101-AD</v>
          </cell>
          <cell r="E24">
            <v>980101</v>
          </cell>
          <cell r="F24">
            <v>2000</v>
          </cell>
          <cell r="G24" t="str">
            <v>I</v>
          </cell>
          <cell r="H24" t="str">
            <v>AD</v>
          </cell>
          <cell r="U24">
            <v>100</v>
          </cell>
          <cell r="V24">
            <v>0</v>
          </cell>
          <cell r="W24">
            <v>0</v>
          </cell>
          <cell r="X24">
            <v>100</v>
          </cell>
          <cell r="Y24">
            <v>0</v>
          </cell>
          <cell r="Z24">
            <v>100</v>
          </cell>
        </row>
        <row r="25">
          <cell r="B25" t="str">
            <v>CO-980101</v>
          </cell>
          <cell r="C25" t="str">
            <v>980101-CO</v>
          </cell>
          <cell r="E25">
            <v>980101</v>
          </cell>
          <cell r="F25">
            <v>2000</v>
          </cell>
          <cell r="G25" t="str">
            <v>I</v>
          </cell>
          <cell r="H25" t="str">
            <v>CO</v>
          </cell>
          <cell r="U25">
            <v>100</v>
          </cell>
          <cell r="V25">
            <v>0</v>
          </cell>
          <cell r="W25">
            <v>0</v>
          </cell>
          <cell r="X25">
            <v>100</v>
          </cell>
          <cell r="Y25">
            <v>0</v>
          </cell>
          <cell r="Z25">
            <v>100</v>
          </cell>
        </row>
        <row r="26">
          <cell r="B26" t="str">
            <v>IN-980101</v>
          </cell>
          <cell r="C26" t="str">
            <v>980101-IN</v>
          </cell>
          <cell r="E26">
            <v>980101</v>
          </cell>
          <cell r="F26">
            <v>2000</v>
          </cell>
          <cell r="G26" t="str">
            <v>I</v>
          </cell>
          <cell r="H26" t="str">
            <v>IN</v>
          </cell>
          <cell r="U26">
            <v>100</v>
          </cell>
          <cell r="V26">
            <v>0</v>
          </cell>
          <cell r="W26">
            <v>0</v>
          </cell>
          <cell r="X26">
            <v>100</v>
          </cell>
          <cell r="Y26">
            <v>0</v>
          </cell>
          <cell r="Z26">
            <v>100</v>
          </cell>
        </row>
        <row r="27">
          <cell r="B27" t="str">
            <v>AD-980502</v>
          </cell>
          <cell r="C27" t="str">
            <v>980502-AD</v>
          </cell>
          <cell r="E27">
            <v>980502</v>
          </cell>
          <cell r="F27">
            <v>1999</v>
          </cell>
          <cell r="G27" t="str">
            <v>I</v>
          </cell>
          <cell r="H27" t="str">
            <v>AD</v>
          </cell>
          <cell r="U27">
            <v>100</v>
          </cell>
          <cell r="V27">
            <v>0</v>
          </cell>
          <cell r="W27">
            <v>0</v>
          </cell>
          <cell r="X27">
            <v>100</v>
          </cell>
          <cell r="Y27">
            <v>0</v>
          </cell>
          <cell r="Z27">
            <v>100</v>
          </cell>
        </row>
        <row r="28">
          <cell r="B28" t="str">
            <v>CO-980502</v>
          </cell>
          <cell r="C28" t="str">
            <v>980502-CO</v>
          </cell>
          <cell r="E28">
            <v>980502</v>
          </cell>
          <cell r="F28">
            <v>1999</v>
          </cell>
          <cell r="G28" t="str">
            <v>I</v>
          </cell>
          <cell r="H28" t="str">
            <v>CO</v>
          </cell>
          <cell r="U28">
            <v>100</v>
          </cell>
          <cell r="V28">
            <v>0</v>
          </cell>
          <cell r="W28">
            <v>0</v>
          </cell>
          <cell r="X28">
            <v>100</v>
          </cell>
          <cell r="Y28">
            <v>0</v>
          </cell>
          <cell r="Z28">
            <v>100</v>
          </cell>
        </row>
        <row r="29">
          <cell r="B29" t="str">
            <v>IN-980502</v>
          </cell>
          <cell r="C29" t="str">
            <v>980502-IN</v>
          </cell>
          <cell r="E29">
            <v>980502</v>
          </cell>
          <cell r="F29">
            <v>1999</v>
          </cell>
          <cell r="G29" t="str">
            <v>I</v>
          </cell>
          <cell r="H29" t="str">
            <v>IN</v>
          </cell>
          <cell r="U29">
            <v>100</v>
          </cell>
          <cell r="V29">
            <v>0</v>
          </cell>
          <cell r="W29">
            <v>0</v>
          </cell>
          <cell r="X29">
            <v>100</v>
          </cell>
          <cell r="Y29">
            <v>0</v>
          </cell>
          <cell r="Z29">
            <v>100</v>
          </cell>
        </row>
        <row r="30">
          <cell r="B30" t="str">
            <v>AD-980503</v>
          </cell>
          <cell r="C30" t="str">
            <v>980503-AD</v>
          </cell>
          <cell r="E30">
            <v>980503</v>
          </cell>
          <cell r="F30">
            <v>1999</v>
          </cell>
          <cell r="G30" t="str">
            <v>I</v>
          </cell>
          <cell r="H30" t="str">
            <v>AD</v>
          </cell>
          <cell r="U30">
            <v>100</v>
          </cell>
          <cell r="V30">
            <v>0</v>
          </cell>
          <cell r="W30">
            <v>0</v>
          </cell>
          <cell r="X30">
            <v>100</v>
          </cell>
          <cell r="Y30">
            <v>0</v>
          </cell>
          <cell r="Z30">
            <v>100</v>
          </cell>
        </row>
        <row r="31">
          <cell r="B31" t="str">
            <v>CO-980503</v>
          </cell>
          <cell r="C31" t="str">
            <v>980503-CO</v>
          </cell>
          <cell r="E31">
            <v>980503</v>
          </cell>
          <cell r="F31">
            <v>1999</v>
          </cell>
          <cell r="G31" t="str">
            <v>I</v>
          </cell>
          <cell r="H31" t="str">
            <v>CO</v>
          </cell>
          <cell r="U31">
            <v>100</v>
          </cell>
          <cell r="V31">
            <v>0</v>
          </cell>
          <cell r="W31">
            <v>0</v>
          </cell>
          <cell r="X31">
            <v>100</v>
          </cell>
          <cell r="Y31">
            <v>0</v>
          </cell>
          <cell r="Z31">
            <v>100</v>
          </cell>
        </row>
        <row r="32">
          <cell r="B32" t="str">
            <v>IN-980503</v>
          </cell>
          <cell r="C32" t="str">
            <v>980503-IN</v>
          </cell>
          <cell r="E32">
            <v>980503</v>
          </cell>
          <cell r="F32">
            <v>1999</v>
          </cell>
          <cell r="G32" t="str">
            <v>I</v>
          </cell>
          <cell r="H32" t="str">
            <v>IN</v>
          </cell>
          <cell r="U32">
            <v>100</v>
          </cell>
          <cell r="V32">
            <v>0</v>
          </cell>
          <cell r="W32">
            <v>0</v>
          </cell>
          <cell r="X32">
            <v>100</v>
          </cell>
          <cell r="Y32">
            <v>0</v>
          </cell>
          <cell r="Z32">
            <v>100</v>
          </cell>
        </row>
        <row r="33">
          <cell r="B33" t="str">
            <v>AD-980602</v>
          </cell>
          <cell r="C33" t="str">
            <v>980602-AD</v>
          </cell>
          <cell r="E33">
            <v>980602</v>
          </cell>
          <cell r="F33">
            <v>1999</v>
          </cell>
          <cell r="G33" t="str">
            <v>I</v>
          </cell>
          <cell r="H33" t="str">
            <v>AD</v>
          </cell>
          <cell r="U33">
            <v>100</v>
          </cell>
          <cell r="V33">
            <v>0</v>
          </cell>
          <cell r="W33">
            <v>0</v>
          </cell>
          <cell r="X33">
            <v>100</v>
          </cell>
          <cell r="Y33">
            <v>0</v>
          </cell>
          <cell r="Z33">
            <v>100</v>
          </cell>
        </row>
        <row r="34">
          <cell r="B34" t="str">
            <v>CO-980602</v>
          </cell>
          <cell r="C34" t="str">
            <v>980602-CO</v>
          </cell>
          <cell r="E34">
            <v>980602</v>
          </cell>
          <cell r="F34">
            <v>1999</v>
          </cell>
          <cell r="G34" t="str">
            <v>I</v>
          </cell>
          <cell r="H34" t="str">
            <v>CO</v>
          </cell>
          <cell r="U34">
            <v>100</v>
          </cell>
          <cell r="V34">
            <v>0</v>
          </cell>
          <cell r="W34">
            <v>0</v>
          </cell>
          <cell r="X34">
            <v>100</v>
          </cell>
          <cell r="Y34">
            <v>0</v>
          </cell>
          <cell r="Z34">
            <v>100</v>
          </cell>
        </row>
        <row r="35">
          <cell r="B35" t="str">
            <v>IN-980602</v>
          </cell>
          <cell r="C35" t="str">
            <v>980602-IN</v>
          </cell>
          <cell r="E35">
            <v>980602</v>
          </cell>
          <cell r="F35">
            <v>1999</v>
          </cell>
          <cell r="G35" t="str">
            <v>I</v>
          </cell>
          <cell r="H35" t="str">
            <v>IN</v>
          </cell>
          <cell r="U35">
            <v>100</v>
          </cell>
          <cell r="V35">
            <v>0</v>
          </cell>
          <cell r="W35">
            <v>0</v>
          </cell>
          <cell r="X35">
            <v>100</v>
          </cell>
          <cell r="Y35">
            <v>0</v>
          </cell>
          <cell r="Z35">
            <v>100</v>
          </cell>
        </row>
        <row r="36">
          <cell r="B36" t="str">
            <v>AD-980808</v>
          </cell>
          <cell r="C36" t="str">
            <v>980808-AD</v>
          </cell>
          <cell r="E36">
            <v>980808</v>
          </cell>
          <cell r="F36">
            <v>1999</v>
          </cell>
          <cell r="G36" t="str">
            <v>I</v>
          </cell>
          <cell r="H36" t="str">
            <v>AD</v>
          </cell>
          <cell r="U36">
            <v>100</v>
          </cell>
          <cell r="V36">
            <v>0</v>
          </cell>
          <cell r="W36">
            <v>0</v>
          </cell>
          <cell r="X36">
            <v>100</v>
          </cell>
          <cell r="Y36">
            <v>0</v>
          </cell>
          <cell r="Z36">
            <v>100</v>
          </cell>
        </row>
        <row r="37">
          <cell r="B37" t="str">
            <v>CO-980808</v>
          </cell>
          <cell r="C37" t="str">
            <v>980808-CO</v>
          </cell>
          <cell r="E37">
            <v>980808</v>
          </cell>
          <cell r="F37">
            <v>1999</v>
          </cell>
          <cell r="G37" t="str">
            <v>I</v>
          </cell>
          <cell r="H37" t="str">
            <v>CO</v>
          </cell>
          <cell r="U37">
            <v>100</v>
          </cell>
          <cell r="V37">
            <v>0</v>
          </cell>
          <cell r="W37">
            <v>0</v>
          </cell>
          <cell r="X37">
            <v>100</v>
          </cell>
          <cell r="Y37">
            <v>0</v>
          </cell>
          <cell r="Z37">
            <v>100</v>
          </cell>
        </row>
        <row r="38">
          <cell r="B38" t="str">
            <v>IN-980808</v>
          </cell>
          <cell r="C38" t="str">
            <v>980808-IN</v>
          </cell>
          <cell r="E38">
            <v>980808</v>
          </cell>
          <cell r="F38">
            <v>1999</v>
          </cell>
          <cell r="G38" t="str">
            <v>I</v>
          </cell>
          <cell r="H38" t="str">
            <v>IN</v>
          </cell>
          <cell r="U38">
            <v>100</v>
          </cell>
          <cell r="V38">
            <v>0</v>
          </cell>
          <cell r="W38">
            <v>0</v>
          </cell>
          <cell r="X38">
            <v>100</v>
          </cell>
          <cell r="Y38">
            <v>0</v>
          </cell>
          <cell r="Z38">
            <v>100</v>
          </cell>
        </row>
        <row r="39">
          <cell r="B39" t="str">
            <v>AD-980809</v>
          </cell>
          <cell r="C39" t="str">
            <v>980809-AD</v>
          </cell>
          <cell r="E39">
            <v>980809</v>
          </cell>
          <cell r="F39">
            <v>2000</v>
          </cell>
          <cell r="G39" t="str">
            <v>I</v>
          </cell>
          <cell r="H39" t="str">
            <v>AD</v>
          </cell>
          <cell r="U39">
            <v>100</v>
          </cell>
          <cell r="V39">
            <v>0</v>
          </cell>
          <cell r="W39">
            <v>0</v>
          </cell>
          <cell r="X39">
            <v>100</v>
          </cell>
          <cell r="Y39">
            <v>0</v>
          </cell>
          <cell r="Z39">
            <v>100</v>
          </cell>
        </row>
        <row r="40">
          <cell r="B40" t="str">
            <v>CO-980809</v>
          </cell>
          <cell r="C40" t="str">
            <v>980809-CO</v>
          </cell>
          <cell r="E40">
            <v>980809</v>
          </cell>
          <cell r="F40">
            <v>2000</v>
          </cell>
          <cell r="G40" t="str">
            <v>I</v>
          </cell>
          <cell r="H40" t="str">
            <v>CO</v>
          </cell>
          <cell r="U40">
            <v>100</v>
          </cell>
          <cell r="V40">
            <v>0</v>
          </cell>
          <cell r="W40">
            <v>0</v>
          </cell>
          <cell r="X40">
            <v>100</v>
          </cell>
          <cell r="Y40">
            <v>0</v>
          </cell>
          <cell r="Z40">
            <v>100</v>
          </cell>
        </row>
        <row r="41">
          <cell r="B41" t="str">
            <v>IN-980809</v>
          </cell>
          <cell r="C41" t="str">
            <v>980809-IN</v>
          </cell>
          <cell r="E41">
            <v>980809</v>
          </cell>
          <cell r="F41">
            <v>2000</v>
          </cell>
          <cell r="G41" t="str">
            <v>I</v>
          </cell>
          <cell r="H41" t="str">
            <v>IN</v>
          </cell>
          <cell r="U41">
            <v>100</v>
          </cell>
          <cell r="V41">
            <v>0</v>
          </cell>
          <cell r="W41">
            <v>0</v>
          </cell>
          <cell r="X41">
            <v>100</v>
          </cell>
          <cell r="Y41">
            <v>0</v>
          </cell>
          <cell r="Z41">
            <v>100</v>
          </cell>
        </row>
        <row r="42">
          <cell r="B42" t="str">
            <v>AD-981004</v>
          </cell>
          <cell r="C42" t="str">
            <v>981004-AD</v>
          </cell>
          <cell r="E42">
            <v>981004</v>
          </cell>
          <cell r="F42">
            <v>1999</v>
          </cell>
          <cell r="G42" t="str">
            <v>I</v>
          </cell>
          <cell r="H42" t="str">
            <v>AD</v>
          </cell>
          <cell r="U42">
            <v>100</v>
          </cell>
          <cell r="V42">
            <v>0</v>
          </cell>
          <cell r="W42">
            <v>0</v>
          </cell>
          <cell r="X42">
            <v>100</v>
          </cell>
          <cell r="Y42">
            <v>0</v>
          </cell>
          <cell r="Z42">
            <v>100</v>
          </cell>
        </row>
        <row r="43">
          <cell r="B43" t="str">
            <v>CO-981004</v>
          </cell>
          <cell r="C43" t="str">
            <v>981004-CO</v>
          </cell>
          <cell r="E43">
            <v>981004</v>
          </cell>
          <cell r="F43">
            <v>1999</v>
          </cell>
          <cell r="G43" t="str">
            <v>I</v>
          </cell>
          <cell r="H43" t="str">
            <v>CO</v>
          </cell>
          <cell r="U43">
            <v>100</v>
          </cell>
          <cell r="V43">
            <v>0</v>
          </cell>
          <cell r="W43">
            <v>0</v>
          </cell>
          <cell r="X43">
            <v>100</v>
          </cell>
          <cell r="Y43">
            <v>0</v>
          </cell>
          <cell r="Z43">
            <v>100</v>
          </cell>
        </row>
        <row r="44">
          <cell r="B44" t="str">
            <v>IN-981004</v>
          </cell>
          <cell r="C44" t="str">
            <v>981004-IN</v>
          </cell>
          <cell r="E44">
            <v>981004</v>
          </cell>
          <cell r="F44">
            <v>1999</v>
          </cell>
          <cell r="G44" t="str">
            <v>I</v>
          </cell>
          <cell r="H44" t="str">
            <v>IN</v>
          </cell>
          <cell r="U44">
            <v>100</v>
          </cell>
          <cell r="V44">
            <v>0</v>
          </cell>
          <cell r="W44">
            <v>0</v>
          </cell>
          <cell r="X44">
            <v>100</v>
          </cell>
          <cell r="Y44">
            <v>0</v>
          </cell>
          <cell r="Z44">
            <v>100</v>
          </cell>
        </row>
        <row r="45">
          <cell r="B45" t="str">
            <v>AD-A99M401</v>
          </cell>
          <cell r="C45" t="str">
            <v>A99M401-AD</v>
          </cell>
          <cell r="E45" t="str">
            <v>A99M401</v>
          </cell>
          <cell r="F45">
            <v>1999</v>
          </cell>
          <cell r="G45" t="str">
            <v>I</v>
          </cell>
          <cell r="H45" t="str">
            <v>AD</v>
          </cell>
          <cell r="U45">
            <v>100</v>
          </cell>
          <cell r="V45">
            <v>0</v>
          </cell>
          <cell r="W45">
            <v>0</v>
          </cell>
          <cell r="X45">
            <v>100</v>
          </cell>
          <cell r="Y45">
            <v>0</v>
          </cell>
          <cell r="Z45">
            <v>100</v>
          </cell>
        </row>
        <row r="46">
          <cell r="B46" t="str">
            <v>CO-A99M401</v>
          </cell>
          <cell r="C46" t="str">
            <v>A99M401-CO</v>
          </cell>
          <cell r="E46" t="str">
            <v>A99M401</v>
          </cell>
          <cell r="F46">
            <v>1999</v>
          </cell>
          <cell r="G46" t="str">
            <v>I</v>
          </cell>
          <cell r="H46" t="str">
            <v>CO</v>
          </cell>
          <cell r="U46">
            <v>100</v>
          </cell>
          <cell r="V46">
            <v>0</v>
          </cell>
          <cell r="W46">
            <v>0</v>
          </cell>
          <cell r="X46">
            <v>100</v>
          </cell>
          <cell r="Y46">
            <v>0</v>
          </cell>
          <cell r="Z46">
            <v>100</v>
          </cell>
        </row>
        <row r="47">
          <cell r="B47" t="str">
            <v>IN-A99M401</v>
          </cell>
          <cell r="C47" t="str">
            <v>A99M401-IN</v>
          </cell>
          <cell r="E47" t="str">
            <v>A99M401</v>
          </cell>
          <cell r="F47">
            <v>1999</v>
          </cell>
          <cell r="G47" t="str">
            <v>I</v>
          </cell>
          <cell r="H47" t="str">
            <v>IN</v>
          </cell>
          <cell r="U47">
            <v>100</v>
          </cell>
          <cell r="V47">
            <v>0</v>
          </cell>
          <cell r="W47">
            <v>0</v>
          </cell>
          <cell r="X47">
            <v>100</v>
          </cell>
          <cell r="Y47">
            <v>0</v>
          </cell>
          <cell r="Z47">
            <v>100</v>
          </cell>
        </row>
        <row r="48">
          <cell r="B48" t="str">
            <v>AD-A99M402</v>
          </cell>
          <cell r="C48" t="str">
            <v>A99M402-AD</v>
          </cell>
          <cell r="E48" t="str">
            <v>A99M402</v>
          </cell>
          <cell r="F48">
            <v>1999</v>
          </cell>
          <cell r="G48" t="str">
            <v>I</v>
          </cell>
          <cell r="H48" t="str">
            <v>AD</v>
          </cell>
          <cell r="U48">
            <v>100</v>
          </cell>
          <cell r="V48">
            <v>0</v>
          </cell>
          <cell r="W48">
            <v>0</v>
          </cell>
          <cell r="X48">
            <v>100</v>
          </cell>
          <cell r="Y48">
            <v>0</v>
          </cell>
          <cell r="Z48">
            <v>100</v>
          </cell>
        </row>
        <row r="49">
          <cell r="B49" t="str">
            <v>CO-A99M402</v>
          </cell>
          <cell r="C49" t="str">
            <v>A99M402-CO</v>
          </cell>
          <cell r="E49" t="str">
            <v>A99M402</v>
          </cell>
          <cell r="F49">
            <v>1999</v>
          </cell>
          <cell r="G49" t="str">
            <v>I</v>
          </cell>
          <cell r="H49" t="str">
            <v>CO</v>
          </cell>
          <cell r="U49">
            <v>100</v>
          </cell>
          <cell r="V49">
            <v>0</v>
          </cell>
          <cell r="W49">
            <v>0</v>
          </cell>
          <cell r="X49">
            <v>100</v>
          </cell>
          <cell r="Y49">
            <v>0</v>
          </cell>
          <cell r="Z49">
            <v>100</v>
          </cell>
        </row>
        <row r="50">
          <cell r="B50" t="str">
            <v>IN-A99M402</v>
          </cell>
          <cell r="C50" t="str">
            <v>A99M402-IN</v>
          </cell>
          <cell r="E50" t="str">
            <v>A99M402</v>
          </cell>
          <cell r="F50">
            <v>1999</v>
          </cell>
          <cell r="G50" t="str">
            <v>I</v>
          </cell>
          <cell r="H50" t="str">
            <v>IN</v>
          </cell>
          <cell r="U50">
            <v>100</v>
          </cell>
          <cell r="V50">
            <v>0</v>
          </cell>
          <cell r="W50">
            <v>0</v>
          </cell>
          <cell r="X50">
            <v>100</v>
          </cell>
          <cell r="Y50">
            <v>0</v>
          </cell>
          <cell r="Z50">
            <v>100</v>
          </cell>
        </row>
        <row r="51">
          <cell r="B51" t="str">
            <v>AD-A99M403</v>
          </cell>
          <cell r="C51" t="str">
            <v>A99M403-AD</v>
          </cell>
          <cell r="E51" t="str">
            <v>A99M403</v>
          </cell>
          <cell r="F51">
            <v>1999</v>
          </cell>
          <cell r="G51" t="str">
            <v>I</v>
          </cell>
          <cell r="H51" t="str">
            <v>AD</v>
          </cell>
          <cell r="U51">
            <v>100</v>
          </cell>
          <cell r="V51">
            <v>0</v>
          </cell>
          <cell r="W51">
            <v>0</v>
          </cell>
          <cell r="X51">
            <v>100</v>
          </cell>
          <cell r="Y51">
            <v>0</v>
          </cell>
          <cell r="Z51">
            <v>100</v>
          </cell>
        </row>
        <row r="52">
          <cell r="B52" t="str">
            <v>CO-A99M403</v>
          </cell>
          <cell r="C52" t="str">
            <v>A99M403-CO</v>
          </cell>
          <cell r="E52" t="str">
            <v>A99M403</v>
          </cell>
          <cell r="F52">
            <v>1999</v>
          </cell>
          <cell r="G52" t="str">
            <v>I</v>
          </cell>
          <cell r="H52" t="str">
            <v>CO</v>
          </cell>
          <cell r="U52">
            <v>100</v>
          </cell>
          <cell r="V52">
            <v>0</v>
          </cell>
          <cell r="W52">
            <v>0</v>
          </cell>
          <cell r="X52">
            <v>100</v>
          </cell>
          <cell r="Y52">
            <v>0</v>
          </cell>
          <cell r="Z52">
            <v>100</v>
          </cell>
        </row>
        <row r="53">
          <cell r="B53" t="str">
            <v>IN-A99M403</v>
          </cell>
          <cell r="C53" t="str">
            <v>A99M403-IN</v>
          </cell>
          <cell r="E53" t="str">
            <v>A99M403</v>
          </cell>
          <cell r="F53">
            <v>1999</v>
          </cell>
          <cell r="G53" t="str">
            <v>I</v>
          </cell>
          <cell r="H53" t="str">
            <v>IN</v>
          </cell>
          <cell r="U53">
            <v>100</v>
          </cell>
          <cell r="V53">
            <v>0</v>
          </cell>
          <cell r="W53">
            <v>0</v>
          </cell>
          <cell r="X53">
            <v>100</v>
          </cell>
          <cell r="Y53">
            <v>0</v>
          </cell>
          <cell r="Z53">
            <v>100</v>
          </cell>
        </row>
        <row r="54">
          <cell r="B54" t="str">
            <v>AD-A99M406</v>
          </cell>
          <cell r="C54" t="str">
            <v>A99M406-AD</v>
          </cell>
          <cell r="E54" t="str">
            <v>A99M406</v>
          </cell>
          <cell r="F54">
            <v>1999</v>
          </cell>
          <cell r="G54" t="str">
            <v>I</v>
          </cell>
          <cell r="H54" t="str">
            <v>AD</v>
          </cell>
          <cell r="U54">
            <v>100</v>
          </cell>
          <cell r="V54">
            <v>0</v>
          </cell>
          <cell r="W54">
            <v>0</v>
          </cell>
          <cell r="X54">
            <v>100</v>
          </cell>
          <cell r="Y54">
            <v>0</v>
          </cell>
          <cell r="Z54">
            <v>100</v>
          </cell>
        </row>
        <row r="55">
          <cell r="B55" t="str">
            <v>CO-A99M406</v>
          </cell>
          <cell r="C55" t="str">
            <v>A99M406-CO</v>
          </cell>
          <cell r="E55" t="str">
            <v>A99M406</v>
          </cell>
          <cell r="F55">
            <v>1999</v>
          </cell>
          <cell r="G55" t="str">
            <v>I</v>
          </cell>
          <cell r="H55" t="str">
            <v>CO</v>
          </cell>
          <cell r="U55">
            <v>100</v>
          </cell>
          <cell r="V55">
            <v>0</v>
          </cell>
          <cell r="W55">
            <v>0</v>
          </cell>
          <cell r="X55">
            <v>100</v>
          </cell>
          <cell r="Y55">
            <v>0</v>
          </cell>
          <cell r="Z55">
            <v>100</v>
          </cell>
        </row>
        <row r="56">
          <cell r="B56" t="str">
            <v>IN-A99M406</v>
          </cell>
          <cell r="C56" t="str">
            <v>A99M406-IN</v>
          </cell>
          <cell r="E56" t="str">
            <v>A99M406</v>
          </cell>
          <cell r="F56">
            <v>1999</v>
          </cell>
          <cell r="G56" t="str">
            <v>I</v>
          </cell>
          <cell r="H56" t="str">
            <v>IN</v>
          </cell>
          <cell r="U56">
            <v>100</v>
          </cell>
          <cell r="V56">
            <v>0</v>
          </cell>
          <cell r="W56">
            <v>0</v>
          </cell>
          <cell r="X56">
            <v>100</v>
          </cell>
          <cell r="Y56">
            <v>0</v>
          </cell>
          <cell r="Z56">
            <v>100</v>
          </cell>
        </row>
        <row r="57">
          <cell r="B57" t="str">
            <v>AD-A99M407</v>
          </cell>
          <cell r="C57" t="str">
            <v>A99M407-AD</v>
          </cell>
          <cell r="E57" t="str">
            <v>A99M407</v>
          </cell>
          <cell r="F57">
            <v>2000</v>
          </cell>
          <cell r="G57" t="str">
            <v>I</v>
          </cell>
          <cell r="H57" t="str">
            <v>AD</v>
          </cell>
          <cell r="U57">
            <v>100</v>
          </cell>
          <cell r="V57">
            <v>0</v>
          </cell>
          <cell r="W57">
            <v>0</v>
          </cell>
          <cell r="X57">
            <v>100</v>
          </cell>
          <cell r="Y57">
            <v>0</v>
          </cell>
          <cell r="Z57">
            <v>100</v>
          </cell>
        </row>
        <row r="58">
          <cell r="B58" t="str">
            <v>CO-A99M407</v>
          </cell>
          <cell r="C58" t="str">
            <v>A99M407-CO</v>
          </cell>
          <cell r="E58" t="str">
            <v>A99M407</v>
          </cell>
          <cell r="F58">
            <v>2000</v>
          </cell>
          <cell r="G58" t="str">
            <v>I</v>
          </cell>
          <cell r="H58" t="str">
            <v>CO</v>
          </cell>
          <cell r="U58">
            <v>100</v>
          </cell>
          <cell r="V58">
            <v>0</v>
          </cell>
          <cell r="W58">
            <v>0</v>
          </cell>
          <cell r="X58">
            <v>100</v>
          </cell>
          <cell r="Y58">
            <v>0</v>
          </cell>
          <cell r="Z58">
            <v>100</v>
          </cell>
        </row>
        <row r="59">
          <cell r="B59" t="str">
            <v>IN-A99M407</v>
          </cell>
          <cell r="C59" t="str">
            <v>A99M407-IN</v>
          </cell>
          <cell r="E59" t="str">
            <v>A99M407</v>
          </cell>
          <cell r="F59">
            <v>2000</v>
          </cell>
          <cell r="G59" t="str">
            <v>I</v>
          </cell>
          <cell r="H59" t="str">
            <v>IN</v>
          </cell>
          <cell r="U59">
            <v>100</v>
          </cell>
          <cell r="V59">
            <v>0</v>
          </cell>
          <cell r="W59">
            <v>0</v>
          </cell>
          <cell r="X59">
            <v>100</v>
          </cell>
          <cell r="Y59">
            <v>0</v>
          </cell>
          <cell r="Z59">
            <v>100</v>
          </cell>
        </row>
        <row r="60">
          <cell r="B60" t="str">
            <v>AD-A00M201</v>
          </cell>
          <cell r="C60" t="str">
            <v>A00M201-AD</v>
          </cell>
          <cell r="E60" t="str">
            <v>A00M201</v>
          </cell>
          <cell r="F60">
            <v>2000</v>
          </cell>
          <cell r="G60" t="str">
            <v>I</v>
          </cell>
          <cell r="H60" t="str">
            <v>AD</v>
          </cell>
          <cell r="U60">
            <v>100</v>
          </cell>
          <cell r="V60">
            <v>0</v>
          </cell>
          <cell r="W60">
            <v>0</v>
          </cell>
          <cell r="X60">
            <v>100</v>
          </cell>
          <cell r="Y60">
            <v>0</v>
          </cell>
          <cell r="Z60">
            <v>100</v>
          </cell>
        </row>
        <row r="61">
          <cell r="B61" t="str">
            <v>CO-A00M201</v>
          </cell>
          <cell r="C61" t="str">
            <v>A00M201-CO</v>
          </cell>
          <cell r="E61" t="str">
            <v>A00M201</v>
          </cell>
          <cell r="F61">
            <v>2000</v>
          </cell>
          <cell r="G61" t="str">
            <v>I</v>
          </cell>
          <cell r="H61" t="str">
            <v>CO</v>
          </cell>
          <cell r="U61">
            <v>100</v>
          </cell>
          <cell r="V61">
            <v>0</v>
          </cell>
          <cell r="W61">
            <v>0</v>
          </cell>
          <cell r="X61">
            <v>100</v>
          </cell>
          <cell r="Y61">
            <v>0</v>
          </cell>
          <cell r="Z61">
            <v>100</v>
          </cell>
        </row>
        <row r="62">
          <cell r="B62" t="str">
            <v>IN-A00M201</v>
          </cell>
          <cell r="C62" t="str">
            <v>A00M201-IN</v>
          </cell>
          <cell r="E62" t="str">
            <v>A00M201</v>
          </cell>
          <cell r="F62">
            <v>2000</v>
          </cell>
          <cell r="G62" t="str">
            <v>I</v>
          </cell>
          <cell r="H62" t="str">
            <v>IN</v>
          </cell>
          <cell r="U62">
            <v>100</v>
          </cell>
          <cell r="V62">
            <v>0</v>
          </cell>
          <cell r="W62">
            <v>0</v>
          </cell>
          <cell r="X62">
            <v>100</v>
          </cell>
          <cell r="Y62">
            <v>0</v>
          </cell>
          <cell r="Z62">
            <v>100</v>
          </cell>
        </row>
        <row r="63">
          <cell r="B63" t="str">
            <v>AD-A00M202</v>
          </cell>
          <cell r="C63" t="str">
            <v>A00M202-AD</v>
          </cell>
          <cell r="E63" t="str">
            <v>A00M202</v>
          </cell>
          <cell r="F63">
            <v>2001</v>
          </cell>
          <cell r="G63" t="str">
            <v>I</v>
          </cell>
          <cell r="H63" t="str">
            <v>AD</v>
          </cell>
          <cell r="U63">
            <v>0</v>
          </cell>
          <cell r="V63">
            <v>0</v>
          </cell>
          <cell r="W63">
            <v>100</v>
          </cell>
          <cell r="X63">
            <v>100</v>
          </cell>
          <cell r="Y63">
            <v>0</v>
          </cell>
          <cell r="Z63">
            <v>0</v>
          </cell>
        </row>
        <row r="64">
          <cell r="B64" t="str">
            <v>CO-A00M202</v>
          </cell>
          <cell r="C64" t="str">
            <v>A00M202-CO</v>
          </cell>
          <cell r="E64" t="str">
            <v>A00M202</v>
          </cell>
          <cell r="F64">
            <v>2001</v>
          </cell>
          <cell r="G64" t="str">
            <v>I</v>
          </cell>
          <cell r="H64" t="str">
            <v>CO</v>
          </cell>
          <cell r="U64">
            <v>0</v>
          </cell>
          <cell r="V64">
            <v>0</v>
          </cell>
          <cell r="W64">
            <v>100</v>
          </cell>
          <cell r="X64">
            <v>100</v>
          </cell>
          <cell r="Y64">
            <v>0</v>
          </cell>
          <cell r="Z64">
            <v>0</v>
          </cell>
        </row>
        <row r="65">
          <cell r="B65" t="str">
            <v>IN-A00M202</v>
          </cell>
          <cell r="C65" t="str">
            <v>A00M202-IN</v>
          </cell>
          <cell r="E65" t="str">
            <v>A00M202</v>
          </cell>
          <cell r="F65">
            <v>2001</v>
          </cell>
          <cell r="G65" t="str">
            <v>I</v>
          </cell>
          <cell r="H65" t="str">
            <v>IN</v>
          </cell>
          <cell r="I65">
            <v>14.01</v>
          </cell>
          <cell r="U65">
            <v>85.99</v>
          </cell>
          <cell r="V65">
            <v>14.01</v>
          </cell>
          <cell r="W65">
            <v>0</v>
          </cell>
          <cell r="X65">
            <v>100</v>
          </cell>
          <cell r="Y65">
            <v>14.01</v>
          </cell>
          <cell r="Z65">
            <v>100</v>
          </cell>
        </row>
        <row r="66">
          <cell r="B66" t="str">
            <v>AD-A00M401</v>
          </cell>
          <cell r="C66" t="str">
            <v>A00M401-AD</v>
          </cell>
          <cell r="E66" t="str">
            <v>A00M401</v>
          </cell>
          <cell r="F66">
            <v>2001</v>
          </cell>
          <cell r="G66" t="str">
            <v>I</v>
          </cell>
          <cell r="H66" t="str">
            <v>AD</v>
          </cell>
          <cell r="I66">
            <v>20</v>
          </cell>
          <cell r="U66">
            <v>80</v>
          </cell>
          <cell r="V66">
            <v>20</v>
          </cell>
          <cell r="W66">
            <v>0</v>
          </cell>
          <cell r="X66">
            <v>100</v>
          </cell>
          <cell r="Y66">
            <v>20</v>
          </cell>
          <cell r="Z66">
            <v>100</v>
          </cell>
        </row>
        <row r="67">
          <cell r="B67" t="str">
            <v>CO-A00M401</v>
          </cell>
          <cell r="C67" t="str">
            <v>A00M401-CO</v>
          </cell>
          <cell r="E67" t="str">
            <v>A00M401</v>
          </cell>
          <cell r="F67">
            <v>2001</v>
          </cell>
          <cell r="G67" t="str">
            <v>I</v>
          </cell>
          <cell r="H67" t="str">
            <v>CO</v>
          </cell>
          <cell r="U67">
            <v>0</v>
          </cell>
          <cell r="V67">
            <v>0</v>
          </cell>
          <cell r="W67">
            <v>100</v>
          </cell>
          <cell r="X67">
            <v>100</v>
          </cell>
          <cell r="Y67">
            <v>0</v>
          </cell>
          <cell r="Z67">
            <v>0</v>
          </cell>
        </row>
        <row r="68">
          <cell r="B68" t="str">
            <v>IN-A00M401</v>
          </cell>
          <cell r="C68" t="str">
            <v>A00M401-IN</v>
          </cell>
          <cell r="E68" t="str">
            <v>A00M401</v>
          </cell>
          <cell r="F68">
            <v>2001</v>
          </cell>
          <cell r="G68" t="str">
            <v>I</v>
          </cell>
          <cell r="H68" t="str">
            <v>IN</v>
          </cell>
          <cell r="U68">
            <v>0</v>
          </cell>
          <cell r="V68">
            <v>0</v>
          </cell>
          <cell r="W68">
            <v>100</v>
          </cell>
          <cell r="X68">
            <v>100</v>
          </cell>
          <cell r="Y68">
            <v>0</v>
          </cell>
          <cell r="Z68">
            <v>0</v>
          </cell>
        </row>
        <row r="69">
          <cell r="B69" t="str">
            <v>AD-A00M405</v>
          </cell>
          <cell r="C69" t="str">
            <v>A00M405-AD</v>
          </cell>
          <cell r="E69" t="str">
            <v>A00M405</v>
          </cell>
          <cell r="F69">
            <v>2001</v>
          </cell>
          <cell r="G69" t="str">
            <v>I</v>
          </cell>
          <cell r="H69" t="str">
            <v>AD</v>
          </cell>
          <cell r="U69">
            <v>100</v>
          </cell>
          <cell r="V69">
            <v>0</v>
          </cell>
          <cell r="W69">
            <v>0</v>
          </cell>
          <cell r="X69">
            <v>100</v>
          </cell>
          <cell r="Y69">
            <v>0</v>
          </cell>
          <cell r="Z69">
            <v>100</v>
          </cell>
        </row>
        <row r="70">
          <cell r="B70" t="str">
            <v>CO-A00M405</v>
          </cell>
          <cell r="C70" t="str">
            <v>A00M405-CO</v>
          </cell>
          <cell r="E70" t="str">
            <v>A00M405</v>
          </cell>
          <cell r="F70">
            <v>2001</v>
          </cell>
          <cell r="G70" t="str">
            <v>I</v>
          </cell>
          <cell r="H70" t="str">
            <v>CO</v>
          </cell>
          <cell r="I70">
            <v>4.2</v>
          </cell>
          <cell r="J70">
            <v>4</v>
          </cell>
          <cell r="K70">
            <v>1.7</v>
          </cell>
          <cell r="N70">
            <v>2</v>
          </cell>
          <cell r="O70">
            <v>1</v>
          </cell>
          <cell r="P70">
            <v>3.1</v>
          </cell>
          <cell r="U70">
            <v>84</v>
          </cell>
          <cell r="V70">
            <v>15.999999999999998</v>
          </cell>
          <cell r="W70">
            <v>0</v>
          </cell>
          <cell r="X70">
            <v>100</v>
          </cell>
          <cell r="Y70">
            <v>12.899999999999999</v>
          </cell>
          <cell r="Z70">
            <v>96.9</v>
          </cell>
        </row>
        <row r="71">
          <cell r="B71" t="str">
            <v>IN-A00M405</v>
          </cell>
          <cell r="C71" t="str">
            <v>A00M405-IN</v>
          </cell>
          <cell r="E71" t="str">
            <v>A00M405</v>
          </cell>
          <cell r="F71">
            <v>2001</v>
          </cell>
          <cell r="G71" t="str">
            <v>I</v>
          </cell>
          <cell r="H71" t="str">
            <v>IN</v>
          </cell>
          <cell r="I71">
            <v>1.2</v>
          </cell>
          <cell r="U71">
            <v>98.8</v>
          </cell>
          <cell r="V71">
            <v>1.2</v>
          </cell>
          <cell r="W71">
            <v>0</v>
          </cell>
          <cell r="X71">
            <v>100</v>
          </cell>
          <cell r="Y71">
            <v>1.2</v>
          </cell>
          <cell r="Z71">
            <v>100</v>
          </cell>
        </row>
        <row r="72">
          <cell r="B72" t="str">
            <v>AD-A00M406</v>
          </cell>
          <cell r="C72" t="str">
            <v>A00M406-AD</v>
          </cell>
          <cell r="E72" t="str">
            <v>A00M406</v>
          </cell>
          <cell r="F72">
            <v>2001</v>
          </cell>
          <cell r="G72" t="str">
            <v>I</v>
          </cell>
          <cell r="H72" t="str">
            <v>AD</v>
          </cell>
          <cell r="I72">
            <v>9</v>
          </cell>
          <cell r="J72">
            <v>9</v>
          </cell>
          <cell r="M72">
            <v>13.9</v>
          </cell>
          <cell r="N72">
            <v>10</v>
          </cell>
          <cell r="U72">
            <v>58.1</v>
          </cell>
          <cell r="V72">
            <v>41.9</v>
          </cell>
          <cell r="W72">
            <v>0</v>
          </cell>
          <cell r="X72">
            <v>100</v>
          </cell>
          <cell r="Y72">
            <v>41.9</v>
          </cell>
          <cell r="Z72">
            <v>100</v>
          </cell>
        </row>
        <row r="73">
          <cell r="B73" t="str">
            <v>CO-A00M406</v>
          </cell>
          <cell r="C73" t="str">
            <v>A00M406-CO</v>
          </cell>
          <cell r="E73" t="str">
            <v>A00M406</v>
          </cell>
          <cell r="F73">
            <v>2001</v>
          </cell>
          <cell r="G73" t="str">
            <v>I</v>
          </cell>
          <cell r="H73" t="str">
            <v>CO</v>
          </cell>
          <cell r="U73">
            <v>0</v>
          </cell>
          <cell r="V73">
            <v>0</v>
          </cell>
          <cell r="W73">
            <v>100</v>
          </cell>
          <cell r="X73">
            <v>100</v>
          </cell>
          <cell r="Y73">
            <v>0</v>
          </cell>
          <cell r="Z73">
            <v>0</v>
          </cell>
        </row>
        <row r="74">
          <cell r="B74" t="str">
            <v>IN-A00M406</v>
          </cell>
          <cell r="C74" t="str">
            <v>A00M406-IN</v>
          </cell>
          <cell r="E74" t="str">
            <v>A00M406</v>
          </cell>
          <cell r="F74">
            <v>2001</v>
          </cell>
          <cell r="G74" t="str">
            <v>I</v>
          </cell>
          <cell r="H74" t="str">
            <v>IN</v>
          </cell>
          <cell r="I74">
            <v>15</v>
          </cell>
          <cell r="J74">
            <v>35</v>
          </cell>
          <cell r="K74">
            <v>8</v>
          </cell>
          <cell r="L74">
            <v>6</v>
          </cell>
          <cell r="U74">
            <v>36</v>
          </cell>
          <cell r="V74">
            <v>64</v>
          </cell>
          <cell r="W74">
            <v>0</v>
          </cell>
          <cell r="X74">
            <v>100</v>
          </cell>
          <cell r="Y74">
            <v>64</v>
          </cell>
          <cell r="Z74">
            <v>100</v>
          </cell>
        </row>
        <row r="75">
          <cell r="B75" t="str">
            <v>AD-A00M101</v>
          </cell>
          <cell r="C75" t="str">
            <v>A00M101-AD</v>
          </cell>
          <cell r="E75" t="str">
            <v>A00M101</v>
          </cell>
          <cell r="F75">
            <v>2000</v>
          </cell>
          <cell r="G75" t="str">
            <v>I</v>
          </cell>
          <cell r="H75" t="str">
            <v>AD</v>
          </cell>
          <cell r="U75">
            <v>100</v>
          </cell>
          <cell r="V75">
            <v>0</v>
          </cell>
          <cell r="W75">
            <v>0</v>
          </cell>
          <cell r="X75">
            <v>100</v>
          </cell>
          <cell r="Y75">
            <v>0</v>
          </cell>
          <cell r="Z75">
            <v>100</v>
          </cell>
        </row>
        <row r="76">
          <cell r="B76" t="str">
            <v>CO-A00M101</v>
          </cell>
          <cell r="C76" t="str">
            <v>A00M101-CO</v>
          </cell>
          <cell r="E76" t="str">
            <v>A00M101</v>
          </cell>
          <cell r="F76">
            <v>2000</v>
          </cell>
          <cell r="G76" t="str">
            <v>I</v>
          </cell>
          <cell r="H76" t="str">
            <v>CO</v>
          </cell>
          <cell r="U76">
            <v>100</v>
          </cell>
          <cell r="V76">
            <v>0</v>
          </cell>
          <cell r="W76">
            <v>0</v>
          </cell>
          <cell r="X76">
            <v>100</v>
          </cell>
          <cell r="Y76">
            <v>0</v>
          </cell>
          <cell r="Z76">
            <v>100</v>
          </cell>
        </row>
        <row r="77">
          <cell r="B77" t="str">
            <v>IN-A00M101</v>
          </cell>
          <cell r="C77" t="str">
            <v>A00M101-IN</v>
          </cell>
          <cell r="E77" t="str">
            <v>A00M101</v>
          </cell>
          <cell r="F77">
            <v>2000</v>
          </cell>
          <cell r="G77" t="str">
            <v>I</v>
          </cell>
          <cell r="H77" t="str">
            <v>IN</v>
          </cell>
          <cell r="U77">
            <v>100</v>
          </cell>
          <cell r="V77">
            <v>0</v>
          </cell>
          <cell r="W77">
            <v>0</v>
          </cell>
          <cell r="X77">
            <v>100</v>
          </cell>
          <cell r="Y77">
            <v>0</v>
          </cell>
          <cell r="Z77">
            <v>100</v>
          </cell>
        </row>
        <row r="78">
          <cell r="B78" t="str">
            <v>AD-A00M102</v>
          </cell>
          <cell r="C78" t="str">
            <v>A00M102-AD</v>
          </cell>
          <cell r="E78" t="str">
            <v>A00M102</v>
          </cell>
          <cell r="F78">
            <v>2001</v>
          </cell>
          <cell r="G78" t="str">
            <v>I</v>
          </cell>
          <cell r="H78" t="str">
            <v>AD</v>
          </cell>
          <cell r="U78">
            <v>0</v>
          </cell>
          <cell r="V78">
            <v>0</v>
          </cell>
          <cell r="W78">
            <v>100</v>
          </cell>
          <cell r="X78">
            <v>100</v>
          </cell>
          <cell r="Y78">
            <v>0</v>
          </cell>
          <cell r="Z78">
            <v>0</v>
          </cell>
        </row>
        <row r="79">
          <cell r="B79" t="str">
            <v>CO-A00M102</v>
          </cell>
          <cell r="C79" t="str">
            <v>A00M102-CO</v>
          </cell>
          <cell r="E79" t="str">
            <v>A00M102</v>
          </cell>
          <cell r="F79">
            <v>2001</v>
          </cell>
          <cell r="G79" t="str">
            <v>I</v>
          </cell>
          <cell r="H79" t="str">
            <v>CO</v>
          </cell>
          <cell r="U79">
            <v>0</v>
          </cell>
          <cell r="V79">
            <v>0</v>
          </cell>
          <cell r="W79">
            <v>100</v>
          </cell>
          <cell r="X79">
            <v>100</v>
          </cell>
          <cell r="Y79">
            <v>0</v>
          </cell>
          <cell r="Z79">
            <v>0</v>
          </cell>
        </row>
        <row r="80">
          <cell r="B80" t="str">
            <v>IN-A00M102</v>
          </cell>
          <cell r="C80" t="str">
            <v>A00M102-IN</v>
          </cell>
          <cell r="E80" t="str">
            <v>A00M102</v>
          </cell>
          <cell r="F80">
            <v>2001</v>
          </cell>
          <cell r="G80" t="str">
            <v>I</v>
          </cell>
          <cell r="H80" t="str">
            <v>IN</v>
          </cell>
          <cell r="I80">
            <v>40</v>
          </cell>
          <cell r="J80">
            <v>20</v>
          </cell>
          <cell r="K80">
            <v>10</v>
          </cell>
          <cell r="U80">
            <v>30</v>
          </cell>
          <cell r="V80">
            <v>70</v>
          </cell>
          <cell r="W80">
            <v>0</v>
          </cell>
          <cell r="X80">
            <v>100</v>
          </cell>
          <cell r="Y80">
            <v>70</v>
          </cell>
          <cell r="Z80">
            <v>100</v>
          </cell>
        </row>
        <row r="81">
          <cell r="B81" t="str">
            <v>AD-A00M103</v>
          </cell>
          <cell r="C81" t="str">
            <v>A00M103-AD</v>
          </cell>
          <cell r="E81" t="str">
            <v>A00M103</v>
          </cell>
          <cell r="F81">
            <v>2001</v>
          </cell>
          <cell r="G81" t="str">
            <v>I</v>
          </cell>
          <cell r="H81" t="str">
            <v>AD</v>
          </cell>
          <cell r="U81">
            <v>0</v>
          </cell>
          <cell r="V81">
            <v>0</v>
          </cell>
          <cell r="W81">
            <v>100</v>
          </cell>
          <cell r="X81">
            <v>100</v>
          </cell>
          <cell r="Y81">
            <v>0</v>
          </cell>
          <cell r="Z81">
            <v>0</v>
          </cell>
        </row>
        <row r="82">
          <cell r="B82" t="str">
            <v>CO-A00M103</v>
          </cell>
          <cell r="C82" t="str">
            <v>A00M103-CO</v>
          </cell>
          <cell r="E82" t="str">
            <v>A00M103</v>
          </cell>
          <cell r="F82">
            <v>2001</v>
          </cell>
          <cell r="G82" t="str">
            <v>I</v>
          </cell>
          <cell r="H82" t="str">
            <v>CO</v>
          </cell>
          <cell r="U82">
            <v>0</v>
          </cell>
          <cell r="V82">
            <v>0</v>
          </cell>
          <cell r="W82">
            <v>100</v>
          </cell>
          <cell r="X82">
            <v>100</v>
          </cell>
          <cell r="Y82">
            <v>0</v>
          </cell>
          <cell r="Z82">
            <v>0</v>
          </cell>
        </row>
        <row r="83">
          <cell r="B83" t="str">
            <v>IN-A00M103</v>
          </cell>
          <cell r="C83" t="str">
            <v>A00M103-IN</v>
          </cell>
          <cell r="E83" t="str">
            <v>A00M103</v>
          </cell>
          <cell r="F83">
            <v>2001</v>
          </cell>
          <cell r="G83" t="str">
            <v>I</v>
          </cell>
          <cell r="H83" t="str">
            <v>IN</v>
          </cell>
          <cell r="I83">
            <v>10</v>
          </cell>
          <cell r="J83">
            <v>15</v>
          </cell>
          <cell r="K83">
            <v>25</v>
          </cell>
          <cell r="L83">
            <v>10</v>
          </cell>
          <cell r="M83">
            <v>40</v>
          </cell>
          <cell r="U83">
            <v>0</v>
          </cell>
          <cell r="V83">
            <v>100</v>
          </cell>
          <cell r="W83">
            <v>0</v>
          </cell>
          <cell r="X83">
            <v>100</v>
          </cell>
          <cell r="Y83">
            <v>100</v>
          </cell>
          <cell r="Z83">
            <v>100</v>
          </cell>
        </row>
        <row r="84">
          <cell r="B84" t="str">
            <v>AD-A00M301</v>
          </cell>
          <cell r="C84" t="str">
            <v>A00M301-AD</v>
          </cell>
          <cell r="E84" t="str">
            <v>A00M301</v>
          </cell>
          <cell r="F84">
            <v>2001</v>
          </cell>
          <cell r="G84" t="str">
            <v>I</v>
          </cell>
          <cell r="H84" t="str">
            <v>AD</v>
          </cell>
          <cell r="U84">
            <v>100</v>
          </cell>
          <cell r="V84">
            <v>0</v>
          </cell>
          <cell r="W84">
            <v>0</v>
          </cell>
          <cell r="X84">
            <v>100</v>
          </cell>
          <cell r="Y84">
            <v>0</v>
          </cell>
          <cell r="Z84">
            <v>100</v>
          </cell>
        </row>
        <row r="85">
          <cell r="B85" t="str">
            <v>CO-A00M301</v>
          </cell>
          <cell r="C85" t="str">
            <v>A00M301-CO</v>
          </cell>
          <cell r="E85" t="str">
            <v>A00M301</v>
          </cell>
          <cell r="F85">
            <v>2001</v>
          </cell>
          <cell r="G85" t="str">
            <v>I</v>
          </cell>
          <cell r="H85" t="str">
            <v>CO</v>
          </cell>
          <cell r="I85">
            <v>8.8000000000000007</v>
          </cell>
          <cell r="J85">
            <v>11.2</v>
          </cell>
          <cell r="U85">
            <v>80</v>
          </cell>
          <cell r="V85">
            <v>20</v>
          </cell>
          <cell r="W85">
            <v>0</v>
          </cell>
          <cell r="X85">
            <v>100</v>
          </cell>
          <cell r="Y85">
            <v>20</v>
          </cell>
          <cell r="Z85">
            <v>100</v>
          </cell>
        </row>
        <row r="86">
          <cell r="B86" t="str">
            <v>IN-A00M301</v>
          </cell>
          <cell r="C86" t="str">
            <v>A00M301-IN</v>
          </cell>
          <cell r="E86" t="str">
            <v>A00M301</v>
          </cell>
          <cell r="F86">
            <v>2001</v>
          </cell>
          <cell r="G86" t="str">
            <v>I</v>
          </cell>
          <cell r="H86" t="str">
            <v>IN</v>
          </cell>
          <cell r="U86">
            <v>100</v>
          </cell>
          <cell r="V86">
            <v>0</v>
          </cell>
          <cell r="W86">
            <v>0</v>
          </cell>
          <cell r="X86">
            <v>100</v>
          </cell>
          <cell r="Y86">
            <v>0</v>
          </cell>
          <cell r="Z86">
            <v>100</v>
          </cell>
        </row>
        <row r="87">
          <cell r="B87" t="str">
            <v>AD-A00M302</v>
          </cell>
          <cell r="C87" t="str">
            <v>A00M302-AD</v>
          </cell>
          <cell r="E87" t="str">
            <v>A00M302</v>
          </cell>
          <cell r="F87">
            <v>2001</v>
          </cell>
          <cell r="G87" t="str">
            <v>I</v>
          </cell>
          <cell r="H87" t="str">
            <v>AD</v>
          </cell>
          <cell r="U87">
            <v>100</v>
          </cell>
          <cell r="V87">
            <v>0</v>
          </cell>
          <cell r="W87">
            <v>0</v>
          </cell>
          <cell r="X87">
            <v>100</v>
          </cell>
          <cell r="Y87">
            <v>0</v>
          </cell>
          <cell r="Z87">
            <v>100</v>
          </cell>
        </row>
        <row r="88">
          <cell r="B88" t="str">
            <v>CO-A00M302</v>
          </cell>
          <cell r="C88" t="str">
            <v>A00M302-CO</v>
          </cell>
          <cell r="E88" t="str">
            <v>A00M302</v>
          </cell>
          <cell r="F88">
            <v>2001</v>
          </cell>
          <cell r="G88" t="str">
            <v>I</v>
          </cell>
          <cell r="H88" t="str">
            <v>CO</v>
          </cell>
          <cell r="I88">
            <v>4</v>
          </cell>
          <cell r="J88">
            <v>2.2000000000000002</v>
          </cell>
          <cell r="K88">
            <v>2.1</v>
          </cell>
          <cell r="L88">
            <v>2</v>
          </cell>
          <cell r="U88">
            <v>89.7</v>
          </cell>
          <cell r="V88">
            <v>10.3</v>
          </cell>
          <cell r="W88">
            <v>0</v>
          </cell>
          <cell r="X88">
            <v>100</v>
          </cell>
          <cell r="Y88">
            <v>10.3</v>
          </cell>
          <cell r="Z88">
            <v>100</v>
          </cell>
        </row>
        <row r="89">
          <cell r="B89" t="str">
            <v>IN-A00M302</v>
          </cell>
          <cell r="C89" t="str">
            <v>A00M302-IN</v>
          </cell>
          <cell r="E89" t="str">
            <v>A00M302</v>
          </cell>
          <cell r="F89">
            <v>2001</v>
          </cell>
          <cell r="G89" t="str">
            <v>I</v>
          </cell>
          <cell r="H89" t="str">
            <v>IN</v>
          </cell>
          <cell r="U89">
            <v>100</v>
          </cell>
          <cell r="V89">
            <v>0</v>
          </cell>
          <cell r="W89">
            <v>0</v>
          </cell>
          <cell r="X89">
            <v>100</v>
          </cell>
          <cell r="Y89">
            <v>0</v>
          </cell>
          <cell r="Z89">
            <v>100</v>
          </cell>
        </row>
        <row r="90">
          <cell r="B90" t="str">
            <v>AD-A00M303</v>
          </cell>
          <cell r="C90" t="str">
            <v>A00M303-AD</v>
          </cell>
          <cell r="E90" t="str">
            <v>A00M303</v>
          </cell>
          <cell r="F90">
            <v>2001</v>
          </cell>
          <cell r="G90" t="str">
            <v>I</v>
          </cell>
          <cell r="H90" t="str">
            <v>AD</v>
          </cell>
          <cell r="N90">
            <v>10</v>
          </cell>
          <cell r="O90">
            <v>45</v>
          </cell>
          <cell r="P90">
            <v>10</v>
          </cell>
          <cell r="Q90">
            <v>20</v>
          </cell>
          <cell r="U90">
            <v>15</v>
          </cell>
          <cell r="V90">
            <v>85</v>
          </cell>
          <cell r="W90">
            <v>0</v>
          </cell>
          <cell r="X90">
            <v>100</v>
          </cell>
          <cell r="Y90">
            <v>55</v>
          </cell>
          <cell r="Z90">
            <v>70</v>
          </cell>
        </row>
        <row r="91">
          <cell r="B91" t="str">
            <v>CO-A00M303</v>
          </cell>
          <cell r="C91" t="str">
            <v>A00M303-CO</v>
          </cell>
          <cell r="E91" t="str">
            <v>A00M303</v>
          </cell>
          <cell r="F91">
            <v>2001</v>
          </cell>
          <cell r="G91" t="str">
            <v>I</v>
          </cell>
          <cell r="H91" t="str">
            <v>CO</v>
          </cell>
          <cell r="U91">
            <v>0</v>
          </cell>
          <cell r="V91">
            <v>0</v>
          </cell>
          <cell r="W91">
            <v>100</v>
          </cell>
          <cell r="X91">
            <v>100</v>
          </cell>
          <cell r="Y91">
            <v>0</v>
          </cell>
          <cell r="Z91">
            <v>0</v>
          </cell>
        </row>
        <row r="92">
          <cell r="B92" t="str">
            <v>IN-A00M303</v>
          </cell>
          <cell r="C92" t="str">
            <v>A00M303-IN</v>
          </cell>
          <cell r="E92" t="str">
            <v>A00M303</v>
          </cell>
          <cell r="F92">
            <v>2001</v>
          </cell>
          <cell r="G92" t="str">
            <v>I</v>
          </cell>
          <cell r="H92" t="str">
            <v>IN</v>
          </cell>
          <cell r="U92">
            <v>0</v>
          </cell>
          <cell r="V92">
            <v>0</v>
          </cell>
          <cell r="W92">
            <v>100</v>
          </cell>
          <cell r="X92">
            <v>100</v>
          </cell>
          <cell r="Y92">
            <v>0</v>
          </cell>
          <cell r="Z92">
            <v>0</v>
          </cell>
        </row>
        <row r="93">
          <cell r="B93" t="str">
            <v>AD-A00M304</v>
          </cell>
          <cell r="C93" t="str">
            <v>A00M304-AD</v>
          </cell>
          <cell r="E93" t="str">
            <v>A00M304</v>
          </cell>
          <cell r="F93">
            <v>2000</v>
          </cell>
          <cell r="G93" t="str">
            <v>I</v>
          </cell>
          <cell r="H93" t="str">
            <v>AD</v>
          </cell>
          <cell r="U93">
            <v>100</v>
          </cell>
          <cell r="V93">
            <v>0</v>
          </cell>
          <cell r="W93">
            <v>0</v>
          </cell>
          <cell r="X93">
            <v>100</v>
          </cell>
          <cell r="Y93">
            <v>0</v>
          </cell>
          <cell r="Z93">
            <v>100</v>
          </cell>
        </row>
        <row r="94">
          <cell r="B94" t="str">
            <v>CO-A00M304</v>
          </cell>
          <cell r="C94" t="str">
            <v>A00M304-CO</v>
          </cell>
          <cell r="E94" t="str">
            <v>A00M304</v>
          </cell>
          <cell r="F94">
            <v>2000</v>
          </cell>
          <cell r="G94" t="str">
            <v>I</v>
          </cell>
          <cell r="H94" t="str">
            <v>CO</v>
          </cell>
          <cell r="U94">
            <v>100</v>
          </cell>
          <cell r="V94">
            <v>0</v>
          </cell>
          <cell r="W94">
            <v>0</v>
          </cell>
          <cell r="X94">
            <v>100</v>
          </cell>
          <cell r="Y94">
            <v>0</v>
          </cell>
          <cell r="Z94">
            <v>100</v>
          </cell>
        </row>
        <row r="95">
          <cell r="B95" t="str">
            <v>IN-A00M304</v>
          </cell>
          <cell r="C95" t="str">
            <v>A00M304-IN</v>
          </cell>
          <cell r="E95" t="str">
            <v>A00M304</v>
          </cell>
          <cell r="F95">
            <v>2000</v>
          </cell>
          <cell r="G95" t="str">
            <v>I</v>
          </cell>
          <cell r="H95" t="str">
            <v>IN</v>
          </cell>
          <cell r="U95">
            <v>100</v>
          </cell>
          <cell r="V95">
            <v>0</v>
          </cell>
          <cell r="W95">
            <v>0</v>
          </cell>
          <cell r="X95">
            <v>100</v>
          </cell>
          <cell r="Y95">
            <v>0</v>
          </cell>
          <cell r="Z95">
            <v>100</v>
          </cell>
        </row>
        <row r="96">
          <cell r="B96" t="str">
            <v>AD-A00M305</v>
          </cell>
          <cell r="C96" t="str">
            <v>A00M305-AD</v>
          </cell>
          <cell r="E96" t="str">
            <v>A00M305</v>
          </cell>
          <cell r="F96">
            <v>2001</v>
          </cell>
          <cell r="G96" t="str">
            <v>I</v>
          </cell>
          <cell r="H96" t="str">
            <v>AD</v>
          </cell>
          <cell r="J96">
            <v>100</v>
          </cell>
          <cell r="U96">
            <v>0</v>
          </cell>
          <cell r="V96">
            <v>100</v>
          </cell>
          <cell r="W96">
            <v>0</v>
          </cell>
          <cell r="X96">
            <v>100</v>
          </cell>
          <cell r="Y96">
            <v>100</v>
          </cell>
          <cell r="Z96">
            <v>100</v>
          </cell>
        </row>
        <row r="97">
          <cell r="B97" t="str">
            <v>CO-A00M305</v>
          </cell>
          <cell r="C97" t="str">
            <v>A00M305-CO</v>
          </cell>
          <cell r="E97" t="str">
            <v>A00M305</v>
          </cell>
          <cell r="F97">
            <v>2001</v>
          </cell>
          <cell r="G97" t="str">
            <v>I</v>
          </cell>
          <cell r="H97" t="str">
            <v>CO</v>
          </cell>
          <cell r="I97">
            <v>37</v>
          </cell>
          <cell r="J97">
            <v>2</v>
          </cell>
          <cell r="U97">
            <v>61</v>
          </cell>
          <cell r="V97">
            <v>39</v>
          </cell>
          <cell r="W97">
            <v>0</v>
          </cell>
          <cell r="X97">
            <v>100</v>
          </cell>
          <cell r="Y97">
            <v>39</v>
          </cell>
          <cell r="Z97">
            <v>100</v>
          </cell>
        </row>
        <row r="98">
          <cell r="B98" t="str">
            <v>IN-A00M305</v>
          </cell>
          <cell r="C98" t="str">
            <v>A00M305-IN</v>
          </cell>
          <cell r="E98" t="str">
            <v>A00M305</v>
          </cell>
          <cell r="F98">
            <v>2001</v>
          </cell>
          <cell r="G98" t="str">
            <v>I</v>
          </cell>
          <cell r="H98" t="str">
            <v>IN</v>
          </cell>
          <cell r="U98">
            <v>0</v>
          </cell>
          <cell r="V98">
            <v>0</v>
          </cell>
          <cell r="W98">
            <v>100</v>
          </cell>
          <cell r="X98">
            <v>100</v>
          </cell>
          <cell r="Y98">
            <v>0</v>
          </cell>
          <cell r="Z98">
            <v>0</v>
          </cell>
        </row>
        <row r="99">
          <cell r="B99" t="str">
            <v>AD-A00M306</v>
          </cell>
          <cell r="C99" t="str">
            <v>A00M306-AD</v>
          </cell>
          <cell r="E99" t="str">
            <v>A00M306</v>
          </cell>
          <cell r="F99">
            <v>2000</v>
          </cell>
          <cell r="G99" t="str">
            <v>I</v>
          </cell>
          <cell r="H99" t="str">
            <v>AD</v>
          </cell>
          <cell r="U99">
            <v>100</v>
          </cell>
          <cell r="V99">
            <v>0</v>
          </cell>
          <cell r="W99">
            <v>0</v>
          </cell>
          <cell r="X99">
            <v>100</v>
          </cell>
          <cell r="Y99">
            <v>0</v>
          </cell>
          <cell r="Z99">
            <v>100</v>
          </cell>
        </row>
        <row r="100">
          <cell r="B100" t="str">
            <v>CO-A00M306</v>
          </cell>
          <cell r="C100" t="str">
            <v>A00M306-CO</v>
          </cell>
          <cell r="E100" t="str">
            <v>A00M306</v>
          </cell>
          <cell r="F100">
            <v>2000</v>
          </cell>
          <cell r="G100" t="str">
            <v>I</v>
          </cell>
          <cell r="H100" t="str">
            <v>CO</v>
          </cell>
          <cell r="U100">
            <v>100</v>
          </cell>
          <cell r="V100">
            <v>0</v>
          </cell>
          <cell r="W100">
            <v>0</v>
          </cell>
          <cell r="X100">
            <v>100</v>
          </cell>
          <cell r="Y100">
            <v>0</v>
          </cell>
          <cell r="Z100">
            <v>100</v>
          </cell>
        </row>
        <row r="101">
          <cell r="B101" t="str">
            <v>IN-A00M306</v>
          </cell>
          <cell r="C101" t="str">
            <v>A00M306-IN</v>
          </cell>
          <cell r="E101" t="str">
            <v>A00M306</v>
          </cell>
          <cell r="F101">
            <v>2000</v>
          </cell>
          <cell r="G101" t="str">
            <v>I</v>
          </cell>
          <cell r="H101" t="str">
            <v>IN</v>
          </cell>
          <cell r="U101">
            <v>100</v>
          </cell>
          <cell r="V101">
            <v>0</v>
          </cell>
          <cell r="W101">
            <v>0</v>
          </cell>
          <cell r="X101">
            <v>100</v>
          </cell>
          <cell r="Y101">
            <v>0</v>
          </cell>
          <cell r="Z101">
            <v>100</v>
          </cell>
        </row>
        <row r="102">
          <cell r="B102" t="str">
            <v>AD-A00M310</v>
          </cell>
          <cell r="C102" t="str">
            <v>A00M310-AD</v>
          </cell>
          <cell r="E102" t="str">
            <v>A00M310</v>
          </cell>
          <cell r="F102">
            <v>2001</v>
          </cell>
          <cell r="G102" t="str">
            <v>I</v>
          </cell>
          <cell r="H102" t="str">
            <v>AD</v>
          </cell>
          <cell r="I102">
            <v>9.6</v>
          </cell>
          <cell r="J102">
            <v>7.2</v>
          </cell>
          <cell r="K102">
            <v>2.4</v>
          </cell>
          <cell r="U102">
            <v>80.8</v>
          </cell>
          <cell r="V102">
            <v>19.2</v>
          </cell>
          <cell r="W102">
            <v>0</v>
          </cell>
          <cell r="X102">
            <v>100</v>
          </cell>
          <cell r="Y102">
            <v>19.2</v>
          </cell>
          <cell r="Z102">
            <v>100</v>
          </cell>
        </row>
        <row r="103">
          <cell r="B103" t="str">
            <v>CO-A00M310</v>
          </cell>
          <cell r="C103" t="str">
            <v>A00M310-CO</v>
          </cell>
          <cell r="E103" t="str">
            <v>A00M310</v>
          </cell>
          <cell r="F103">
            <v>2001</v>
          </cell>
          <cell r="G103" t="str">
            <v>I</v>
          </cell>
          <cell r="H103" t="str">
            <v>CO</v>
          </cell>
          <cell r="I103">
            <v>5</v>
          </cell>
          <cell r="U103">
            <v>95</v>
          </cell>
          <cell r="V103">
            <v>5</v>
          </cell>
          <cell r="W103">
            <v>0</v>
          </cell>
          <cell r="X103">
            <v>100</v>
          </cell>
          <cell r="Y103">
            <v>5</v>
          </cell>
          <cell r="Z103">
            <v>100</v>
          </cell>
        </row>
        <row r="104">
          <cell r="B104" t="str">
            <v>IN-A00M310</v>
          </cell>
          <cell r="C104" t="str">
            <v>A00M310-IN</v>
          </cell>
          <cell r="E104" t="str">
            <v>A00M310</v>
          </cell>
          <cell r="F104">
            <v>2001</v>
          </cell>
          <cell r="G104" t="str">
            <v>I</v>
          </cell>
          <cell r="H104" t="str">
            <v>IN</v>
          </cell>
          <cell r="U104">
            <v>100</v>
          </cell>
          <cell r="V104">
            <v>0</v>
          </cell>
          <cell r="W104">
            <v>0</v>
          </cell>
          <cell r="X104">
            <v>100</v>
          </cell>
          <cell r="Y104">
            <v>0</v>
          </cell>
          <cell r="Z104">
            <v>100</v>
          </cell>
        </row>
        <row r="105">
          <cell r="B105" t="str">
            <v>AD-A00M312</v>
          </cell>
          <cell r="C105" t="str">
            <v>A00M312-AD</v>
          </cell>
          <cell r="E105" t="str">
            <v>A00M312</v>
          </cell>
          <cell r="F105">
            <v>2001</v>
          </cell>
          <cell r="G105" t="str">
            <v>I</v>
          </cell>
          <cell r="H105" t="str">
            <v>AD</v>
          </cell>
          <cell r="K105">
            <v>10</v>
          </cell>
          <cell r="L105">
            <v>0</v>
          </cell>
          <cell r="M105">
            <v>0</v>
          </cell>
          <cell r="N105">
            <v>0</v>
          </cell>
          <cell r="O105">
            <v>10</v>
          </cell>
          <cell r="P105">
            <v>25</v>
          </cell>
          <cell r="Q105">
            <v>50</v>
          </cell>
          <cell r="U105">
            <v>5</v>
          </cell>
          <cell r="V105">
            <v>95</v>
          </cell>
          <cell r="W105">
            <v>0</v>
          </cell>
          <cell r="X105">
            <v>100</v>
          </cell>
          <cell r="Y105">
            <v>20</v>
          </cell>
          <cell r="Z105">
            <v>25</v>
          </cell>
        </row>
        <row r="106">
          <cell r="B106" t="str">
            <v>CO-A00M312</v>
          </cell>
          <cell r="C106" t="str">
            <v>A00M312-CO</v>
          </cell>
          <cell r="E106" t="str">
            <v>A00M312</v>
          </cell>
          <cell r="F106">
            <v>2001</v>
          </cell>
          <cell r="G106" t="str">
            <v>I</v>
          </cell>
          <cell r="H106" t="str">
            <v>CO</v>
          </cell>
          <cell r="P106">
            <v>7</v>
          </cell>
          <cell r="Q106">
            <v>63</v>
          </cell>
          <cell r="R106">
            <v>30</v>
          </cell>
          <cell r="U106">
            <v>0</v>
          </cell>
          <cell r="V106">
            <v>100</v>
          </cell>
          <cell r="W106">
            <v>0</v>
          </cell>
          <cell r="X106">
            <v>100</v>
          </cell>
          <cell r="Y106">
            <v>0</v>
          </cell>
          <cell r="Z106">
            <v>0</v>
          </cell>
        </row>
        <row r="107">
          <cell r="B107" t="str">
            <v>IN-A00M312</v>
          </cell>
          <cell r="C107" t="str">
            <v>A00M312-IN</v>
          </cell>
          <cell r="E107" t="str">
            <v>A00M312</v>
          </cell>
          <cell r="F107">
            <v>2001</v>
          </cell>
          <cell r="G107" t="str">
            <v>I</v>
          </cell>
          <cell r="H107" t="str">
            <v>IN</v>
          </cell>
          <cell r="U107">
            <v>0</v>
          </cell>
          <cell r="V107">
            <v>0</v>
          </cell>
          <cell r="W107">
            <v>100</v>
          </cell>
          <cell r="X107">
            <v>100</v>
          </cell>
          <cell r="Y107">
            <v>0</v>
          </cell>
          <cell r="Z107">
            <v>0</v>
          </cell>
        </row>
        <row r="108">
          <cell r="B108" t="str">
            <v>AD-A00M313</v>
          </cell>
          <cell r="C108" t="str">
            <v>A00M313-AD</v>
          </cell>
          <cell r="E108" t="str">
            <v>A00M313</v>
          </cell>
          <cell r="F108">
            <v>2001</v>
          </cell>
          <cell r="G108" t="str">
            <v>I</v>
          </cell>
          <cell r="H108" t="str">
            <v>AD</v>
          </cell>
          <cell r="I108">
            <v>10</v>
          </cell>
          <cell r="J108">
            <v>10</v>
          </cell>
          <cell r="K108">
            <v>5</v>
          </cell>
          <cell r="U108">
            <v>75</v>
          </cell>
          <cell r="V108">
            <v>25</v>
          </cell>
          <cell r="W108">
            <v>0</v>
          </cell>
          <cell r="X108">
            <v>100</v>
          </cell>
          <cell r="Y108">
            <v>25</v>
          </cell>
          <cell r="Z108">
            <v>100</v>
          </cell>
        </row>
        <row r="109">
          <cell r="B109" t="str">
            <v>CO-A00M313</v>
          </cell>
          <cell r="C109" t="str">
            <v>A00M313-CO</v>
          </cell>
          <cell r="E109" t="str">
            <v>A00M313</v>
          </cell>
          <cell r="F109">
            <v>2001</v>
          </cell>
          <cell r="G109" t="str">
            <v>I</v>
          </cell>
          <cell r="H109" t="str">
            <v>CO</v>
          </cell>
          <cell r="I109">
            <v>25</v>
          </cell>
          <cell r="J109">
            <v>25</v>
          </cell>
          <cell r="U109">
            <v>50</v>
          </cell>
          <cell r="V109">
            <v>50</v>
          </cell>
          <cell r="W109">
            <v>0</v>
          </cell>
          <cell r="X109">
            <v>100</v>
          </cell>
          <cell r="Y109">
            <v>50</v>
          </cell>
          <cell r="Z109">
            <v>100</v>
          </cell>
        </row>
        <row r="110">
          <cell r="B110" t="str">
            <v>IN-A00M313</v>
          </cell>
          <cell r="C110" t="str">
            <v>A00M313-IN</v>
          </cell>
          <cell r="E110" t="str">
            <v>A00M313</v>
          </cell>
          <cell r="F110">
            <v>2001</v>
          </cell>
          <cell r="G110" t="str">
            <v>I</v>
          </cell>
          <cell r="H110" t="str">
            <v>IN</v>
          </cell>
          <cell r="U110">
            <v>100</v>
          </cell>
          <cell r="V110">
            <v>0</v>
          </cell>
          <cell r="W110">
            <v>0</v>
          </cell>
          <cell r="X110">
            <v>100</v>
          </cell>
          <cell r="Y110">
            <v>0</v>
          </cell>
          <cell r="Z110">
            <v>100</v>
          </cell>
        </row>
        <row r="111">
          <cell r="B111" t="str">
            <v>AD-A00M315</v>
          </cell>
          <cell r="C111" t="str">
            <v>A00M315-AD</v>
          </cell>
          <cell r="E111" t="str">
            <v>A00M315</v>
          </cell>
          <cell r="F111">
            <v>2000</v>
          </cell>
          <cell r="G111" t="str">
            <v>I</v>
          </cell>
          <cell r="H111" t="str">
            <v>AD</v>
          </cell>
          <cell r="U111">
            <v>100</v>
          </cell>
          <cell r="V111">
            <v>0</v>
          </cell>
          <cell r="W111">
            <v>0</v>
          </cell>
          <cell r="X111">
            <v>100</v>
          </cell>
          <cell r="Y111">
            <v>0</v>
          </cell>
          <cell r="Z111">
            <v>100</v>
          </cell>
        </row>
        <row r="112">
          <cell r="B112" t="str">
            <v>CO-A00M315</v>
          </cell>
          <cell r="C112" t="str">
            <v>A00M315-CO</v>
          </cell>
          <cell r="E112" t="str">
            <v>A00M315</v>
          </cell>
          <cell r="F112">
            <v>2000</v>
          </cell>
          <cell r="G112" t="str">
            <v>I</v>
          </cell>
          <cell r="H112" t="str">
            <v>CO</v>
          </cell>
          <cell r="U112">
            <v>100</v>
          </cell>
          <cell r="V112">
            <v>0</v>
          </cell>
          <cell r="W112">
            <v>0</v>
          </cell>
          <cell r="X112">
            <v>100</v>
          </cell>
          <cell r="Y112">
            <v>0</v>
          </cell>
          <cell r="Z112">
            <v>100</v>
          </cell>
        </row>
        <row r="113">
          <cell r="B113" t="str">
            <v>IN-A00M315</v>
          </cell>
          <cell r="C113" t="str">
            <v>A00M315-IN</v>
          </cell>
          <cell r="E113" t="str">
            <v>A00M315</v>
          </cell>
          <cell r="F113">
            <v>2000</v>
          </cell>
          <cell r="G113" t="str">
            <v>I</v>
          </cell>
          <cell r="H113" t="str">
            <v>IN</v>
          </cell>
          <cell r="U113">
            <v>100</v>
          </cell>
          <cell r="V113">
            <v>0</v>
          </cell>
          <cell r="W113">
            <v>0</v>
          </cell>
          <cell r="X113">
            <v>100</v>
          </cell>
          <cell r="Y113">
            <v>0</v>
          </cell>
          <cell r="Z113">
            <v>100</v>
          </cell>
        </row>
        <row r="114">
          <cell r="B114" t="str">
            <v>AD-A00M318</v>
          </cell>
          <cell r="C114" t="str">
            <v>A00M318-AD</v>
          </cell>
          <cell r="E114" t="str">
            <v>A00M318</v>
          </cell>
          <cell r="F114">
            <v>2001</v>
          </cell>
          <cell r="G114" t="str">
            <v>I</v>
          </cell>
          <cell r="H114" t="str">
            <v>AD</v>
          </cell>
          <cell r="J114">
            <v>5</v>
          </cell>
          <cell r="K114">
            <v>4</v>
          </cell>
          <cell r="L114">
            <v>3.7</v>
          </cell>
          <cell r="U114">
            <v>87.3</v>
          </cell>
          <cell r="V114">
            <v>12.7</v>
          </cell>
          <cell r="W114">
            <v>0</v>
          </cell>
          <cell r="X114">
            <v>100</v>
          </cell>
          <cell r="Y114">
            <v>12.7</v>
          </cell>
          <cell r="Z114">
            <v>100</v>
          </cell>
        </row>
        <row r="115">
          <cell r="B115" t="str">
            <v>CO-A00M318</v>
          </cell>
          <cell r="C115" t="str">
            <v>A00M318-CO</v>
          </cell>
          <cell r="E115" t="str">
            <v>A00M318</v>
          </cell>
          <cell r="F115">
            <v>2001</v>
          </cell>
          <cell r="G115" t="str">
            <v>I</v>
          </cell>
          <cell r="H115" t="str">
            <v>CO</v>
          </cell>
          <cell r="I115">
            <v>15</v>
          </cell>
          <cell r="J115">
            <v>21</v>
          </cell>
          <cell r="K115">
            <v>6.2</v>
          </cell>
          <cell r="L115">
            <v>3.2</v>
          </cell>
          <cell r="M115">
            <v>1.6</v>
          </cell>
          <cell r="U115">
            <v>53</v>
          </cell>
          <cell r="V115">
            <v>47.000000000000007</v>
          </cell>
          <cell r="W115">
            <v>0</v>
          </cell>
          <cell r="X115">
            <v>100</v>
          </cell>
          <cell r="Y115">
            <v>47.000000000000007</v>
          </cell>
          <cell r="Z115">
            <v>100</v>
          </cell>
        </row>
        <row r="116">
          <cell r="B116" t="str">
            <v>IN-A00M318</v>
          </cell>
          <cell r="C116" t="str">
            <v>A00M318-IN</v>
          </cell>
          <cell r="E116" t="str">
            <v>A00M318</v>
          </cell>
          <cell r="F116">
            <v>2001</v>
          </cell>
          <cell r="G116" t="str">
            <v>I</v>
          </cell>
          <cell r="H116" t="str">
            <v>IN</v>
          </cell>
          <cell r="U116">
            <v>100</v>
          </cell>
          <cell r="V116">
            <v>0</v>
          </cell>
          <cell r="W116">
            <v>0</v>
          </cell>
          <cell r="X116">
            <v>100</v>
          </cell>
          <cell r="Y116">
            <v>0</v>
          </cell>
          <cell r="Z116">
            <v>100</v>
          </cell>
        </row>
        <row r="117">
          <cell r="B117" t="str">
            <v>AD-A00M319</v>
          </cell>
          <cell r="C117" t="str">
            <v>A00M319-AD</v>
          </cell>
          <cell r="E117" t="str">
            <v>A00M319</v>
          </cell>
          <cell r="F117">
            <v>2001</v>
          </cell>
          <cell r="G117" t="str">
            <v>I</v>
          </cell>
          <cell r="H117" t="str">
            <v>AD</v>
          </cell>
          <cell r="U117">
            <v>100</v>
          </cell>
          <cell r="V117">
            <v>0</v>
          </cell>
          <cell r="W117">
            <v>0</v>
          </cell>
          <cell r="X117">
            <v>100</v>
          </cell>
          <cell r="Y117">
            <v>0</v>
          </cell>
          <cell r="Z117">
            <v>100</v>
          </cell>
        </row>
        <row r="118">
          <cell r="B118" t="str">
            <v>CO-A00M319</v>
          </cell>
          <cell r="C118" t="str">
            <v>A00M319-CO</v>
          </cell>
          <cell r="E118" t="str">
            <v>A00M319</v>
          </cell>
          <cell r="F118">
            <v>2001</v>
          </cell>
          <cell r="G118" t="str">
            <v>I</v>
          </cell>
          <cell r="H118" t="str">
            <v>CO</v>
          </cell>
          <cell r="I118">
            <v>24</v>
          </cell>
          <cell r="J118">
            <v>76</v>
          </cell>
          <cell r="U118">
            <v>0</v>
          </cell>
          <cell r="V118">
            <v>100</v>
          </cell>
          <cell r="W118">
            <v>0</v>
          </cell>
          <cell r="X118">
            <v>100</v>
          </cell>
          <cell r="Y118">
            <v>100</v>
          </cell>
          <cell r="Z118">
            <v>100</v>
          </cell>
        </row>
        <row r="119">
          <cell r="B119" t="str">
            <v>IN-A00M319</v>
          </cell>
          <cell r="C119" t="str">
            <v>A00M319-IN</v>
          </cell>
          <cell r="E119" t="str">
            <v>A00M319</v>
          </cell>
          <cell r="F119">
            <v>2001</v>
          </cell>
          <cell r="G119" t="str">
            <v>I</v>
          </cell>
          <cell r="H119" t="str">
            <v>IN</v>
          </cell>
          <cell r="U119">
            <v>0</v>
          </cell>
          <cell r="V119">
            <v>0</v>
          </cell>
          <cell r="W119">
            <v>100</v>
          </cell>
          <cell r="X119">
            <v>100</v>
          </cell>
          <cell r="Y119">
            <v>0</v>
          </cell>
          <cell r="Z119">
            <v>0</v>
          </cell>
        </row>
        <row r="120">
          <cell r="B120" t="str">
            <v>AD-A00M321</v>
          </cell>
          <cell r="C120" t="str">
            <v>A00M321-AD</v>
          </cell>
          <cell r="E120" t="str">
            <v>A00M321</v>
          </cell>
          <cell r="F120">
            <v>2000</v>
          </cell>
          <cell r="G120" t="str">
            <v>I</v>
          </cell>
          <cell r="H120" t="str">
            <v>AD</v>
          </cell>
          <cell r="U120">
            <v>100</v>
          </cell>
          <cell r="V120">
            <v>0</v>
          </cell>
          <cell r="W120">
            <v>0</v>
          </cell>
          <cell r="X120">
            <v>100</v>
          </cell>
          <cell r="Y120">
            <v>0</v>
          </cell>
          <cell r="Z120">
            <v>100</v>
          </cell>
        </row>
        <row r="121">
          <cell r="B121" t="str">
            <v>CO-A00M321</v>
          </cell>
          <cell r="C121" t="str">
            <v>A00M321-CO</v>
          </cell>
          <cell r="E121" t="str">
            <v>A00M321</v>
          </cell>
          <cell r="F121">
            <v>2000</v>
          </cell>
          <cell r="G121" t="str">
            <v>I</v>
          </cell>
          <cell r="H121" t="str">
            <v>CO</v>
          </cell>
          <cell r="U121">
            <v>100</v>
          </cell>
          <cell r="V121">
            <v>0</v>
          </cell>
          <cell r="W121">
            <v>0</v>
          </cell>
          <cell r="X121">
            <v>100</v>
          </cell>
          <cell r="Y121">
            <v>0</v>
          </cell>
          <cell r="Z121">
            <v>100</v>
          </cell>
        </row>
        <row r="122">
          <cell r="B122" t="str">
            <v>IN-A00M321</v>
          </cell>
          <cell r="C122" t="str">
            <v>A00M321-IN</v>
          </cell>
          <cell r="E122" t="str">
            <v>A00M321</v>
          </cell>
          <cell r="F122">
            <v>2000</v>
          </cell>
          <cell r="G122" t="str">
            <v>I</v>
          </cell>
          <cell r="H122" t="str">
            <v>IN</v>
          </cell>
          <cell r="U122">
            <v>100</v>
          </cell>
          <cell r="V122">
            <v>0</v>
          </cell>
          <cell r="W122">
            <v>0</v>
          </cell>
          <cell r="X122">
            <v>100</v>
          </cell>
          <cell r="Y122">
            <v>0</v>
          </cell>
          <cell r="Z122">
            <v>100</v>
          </cell>
        </row>
        <row r="123">
          <cell r="B123" t="str">
            <v>AD-A00M322</v>
          </cell>
          <cell r="C123" t="str">
            <v>A00M322-AD</v>
          </cell>
          <cell r="E123" t="str">
            <v>A00M322</v>
          </cell>
          <cell r="F123">
            <v>2001</v>
          </cell>
          <cell r="G123" t="str">
            <v>I</v>
          </cell>
          <cell r="H123" t="str">
            <v>AD</v>
          </cell>
          <cell r="K123">
            <v>57</v>
          </cell>
          <cell r="L123">
            <v>18</v>
          </cell>
          <cell r="U123">
            <v>25</v>
          </cell>
          <cell r="V123">
            <v>75</v>
          </cell>
          <cell r="W123">
            <v>0</v>
          </cell>
          <cell r="X123">
            <v>100</v>
          </cell>
          <cell r="Y123">
            <v>75</v>
          </cell>
          <cell r="Z123">
            <v>100</v>
          </cell>
        </row>
        <row r="124">
          <cell r="B124" t="str">
            <v>CO-A00M322</v>
          </cell>
          <cell r="C124" t="str">
            <v>A00M322-CO</v>
          </cell>
          <cell r="E124" t="str">
            <v>A00M322</v>
          </cell>
          <cell r="F124">
            <v>2001</v>
          </cell>
          <cell r="G124" t="str">
            <v>I</v>
          </cell>
          <cell r="H124" t="str">
            <v>CO</v>
          </cell>
          <cell r="M124">
            <v>50</v>
          </cell>
          <cell r="N124">
            <v>35</v>
          </cell>
          <cell r="U124">
            <v>0</v>
          </cell>
          <cell r="V124">
            <v>85</v>
          </cell>
          <cell r="W124">
            <v>15</v>
          </cell>
          <cell r="X124">
            <v>100</v>
          </cell>
          <cell r="Y124">
            <v>85</v>
          </cell>
          <cell r="Z124">
            <v>85</v>
          </cell>
        </row>
        <row r="125">
          <cell r="B125" t="str">
            <v>IN-A00M322</v>
          </cell>
          <cell r="C125" t="str">
            <v>A00M322-IN</v>
          </cell>
          <cell r="E125" t="str">
            <v>A00M322</v>
          </cell>
          <cell r="F125">
            <v>2001</v>
          </cell>
          <cell r="G125" t="str">
            <v>I</v>
          </cell>
          <cell r="H125" t="str">
            <v>IN</v>
          </cell>
          <cell r="U125">
            <v>0</v>
          </cell>
          <cell r="V125">
            <v>0</v>
          </cell>
          <cell r="W125">
            <v>100</v>
          </cell>
          <cell r="X125">
            <v>100</v>
          </cell>
          <cell r="Y125">
            <v>0</v>
          </cell>
          <cell r="Z125">
            <v>0</v>
          </cell>
        </row>
        <row r="126">
          <cell r="B126" t="str">
            <v>AD-A00M330</v>
          </cell>
          <cell r="C126" t="str">
            <v>A00M330-AD</v>
          </cell>
          <cell r="E126" t="str">
            <v>A00M330</v>
          </cell>
          <cell r="F126">
            <v>2000</v>
          </cell>
          <cell r="G126" t="str">
            <v>I</v>
          </cell>
          <cell r="H126" t="str">
            <v>AD</v>
          </cell>
          <cell r="U126">
            <v>100</v>
          </cell>
          <cell r="V126">
            <v>0</v>
          </cell>
          <cell r="W126">
            <v>0</v>
          </cell>
          <cell r="X126">
            <v>100</v>
          </cell>
          <cell r="Y126">
            <v>0</v>
          </cell>
          <cell r="Z126">
            <v>100</v>
          </cell>
        </row>
        <row r="127">
          <cell r="B127" t="str">
            <v>CO-A00M330</v>
          </cell>
          <cell r="C127" t="str">
            <v>A00M330-CO</v>
          </cell>
          <cell r="E127" t="str">
            <v>A00M330</v>
          </cell>
          <cell r="F127">
            <v>2000</v>
          </cell>
          <cell r="G127" t="str">
            <v>I</v>
          </cell>
          <cell r="H127" t="str">
            <v>CO</v>
          </cell>
          <cell r="U127">
            <v>100</v>
          </cell>
          <cell r="V127">
            <v>0</v>
          </cell>
          <cell r="W127">
            <v>0</v>
          </cell>
          <cell r="X127">
            <v>100</v>
          </cell>
          <cell r="Y127">
            <v>0</v>
          </cell>
          <cell r="Z127">
            <v>100</v>
          </cell>
        </row>
        <row r="128">
          <cell r="B128" t="str">
            <v>IN-A00M330</v>
          </cell>
          <cell r="C128" t="str">
            <v>A00M330-IN</v>
          </cell>
          <cell r="E128" t="str">
            <v>A00M330</v>
          </cell>
          <cell r="F128">
            <v>2000</v>
          </cell>
          <cell r="G128" t="str">
            <v>I</v>
          </cell>
          <cell r="H128" t="str">
            <v>IN</v>
          </cell>
          <cell r="U128">
            <v>100</v>
          </cell>
          <cell r="V128">
            <v>0</v>
          </cell>
          <cell r="W128">
            <v>0</v>
          </cell>
          <cell r="X128">
            <v>100</v>
          </cell>
          <cell r="Y128">
            <v>0</v>
          </cell>
          <cell r="Z128">
            <v>100</v>
          </cell>
        </row>
        <row r="129">
          <cell r="B129" t="str">
            <v>AD-A00M331</v>
          </cell>
          <cell r="C129" t="str">
            <v>A00M331-AD</v>
          </cell>
          <cell r="E129" t="str">
            <v>A00M331</v>
          </cell>
          <cell r="F129">
            <v>2000</v>
          </cell>
          <cell r="G129" t="str">
            <v>I</v>
          </cell>
          <cell r="H129" t="str">
            <v>AD</v>
          </cell>
          <cell r="U129">
            <v>100</v>
          </cell>
          <cell r="V129">
            <v>0</v>
          </cell>
          <cell r="W129">
            <v>0</v>
          </cell>
          <cell r="X129">
            <v>100</v>
          </cell>
          <cell r="Y129">
            <v>0</v>
          </cell>
          <cell r="Z129">
            <v>100</v>
          </cell>
        </row>
        <row r="130">
          <cell r="B130" t="str">
            <v>CO-A00M331</v>
          </cell>
          <cell r="C130" t="str">
            <v>A00M331-CO</v>
          </cell>
          <cell r="E130" t="str">
            <v>A00M331</v>
          </cell>
          <cell r="F130">
            <v>2000</v>
          </cell>
          <cell r="G130" t="str">
            <v>I</v>
          </cell>
          <cell r="H130" t="str">
            <v>CO</v>
          </cell>
          <cell r="U130">
            <v>100</v>
          </cell>
          <cell r="V130">
            <v>0</v>
          </cell>
          <cell r="W130">
            <v>0</v>
          </cell>
          <cell r="X130">
            <v>100</v>
          </cell>
          <cell r="Y130">
            <v>0</v>
          </cell>
          <cell r="Z130">
            <v>100</v>
          </cell>
        </row>
        <row r="131">
          <cell r="B131" t="str">
            <v>IN-A00M331</v>
          </cell>
          <cell r="C131" t="str">
            <v>A00M331-IN</v>
          </cell>
          <cell r="E131" t="str">
            <v>A00M331</v>
          </cell>
          <cell r="F131">
            <v>2000</v>
          </cell>
          <cell r="G131" t="str">
            <v>I</v>
          </cell>
          <cell r="H131" t="str">
            <v>IN</v>
          </cell>
          <cell r="U131">
            <v>100</v>
          </cell>
          <cell r="V131">
            <v>0</v>
          </cell>
          <cell r="W131">
            <v>0</v>
          </cell>
          <cell r="X131">
            <v>100</v>
          </cell>
          <cell r="Y131">
            <v>0</v>
          </cell>
          <cell r="Z131">
            <v>100</v>
          </cell>
        </row>
        <row r="132">
          <cell r="B132" t="str">
            <v>AD-A01M101</v>
          </cell>
          <cell r="C132" t="str">
            <v>A01M101-AD</v>
          </cell>
          <cell r="E132" t="str">
            <v>A01M101</v>
          </cell>
          <cell r="F132">
            <v>2001</v>
          </cell>
          <cell r="G132" t="str">
            <v>I</v>
          </cell>
          <cell r="H132" t="str">
            <v>AD</v>
          </cell>
          <cell r="U132">
            <v>0</v>
          </cell>
          <cell r="V132">
            <v>0</v>
          </cell>
          <cell r="W132">
            <v>100</v>
          </cell>
          <cell r="X132">
            <v>100</v>
          </cell>
          <cell r="Y132">
            <v>0</v>
          </cell>
          <cell r="Z132">
            <v>0</v>
          </cell>
        </row>
        <row r="133">
          <cell r="B133" t="str">
            <v>CO-A01M101</v>
          </cell>
          <cell r="C133" t="str">
            <v>A01M101-CO</v>
          </cell>
          <cell r="E133" t="str">
            <v>A01M101</v>
          </cell>
          <cell r="F133">
            <v>2001</v>
          </cell>
          <cell r="G133" t="str">
            <v>I</v>
          </cell>
          <cell r="H133" t="str">
            <v>CO</v>
          </cell>
          <cell r="U133">
            <v>0</v>
          </cell>
          <cell r="V133">
            <v>0</v>
          </cell>
          <cell r="W133">
            <v>100</v>
          </cell>
          <cell r="X133">
            <v>100</v>
          </cell>
          <cell r="Y133">
            <v>0</v>
          </cell>
          <cell r="Z133">
            <v>0</v>
          </cell>
        </row>
        <row r="134">
          <cell r="B134" t="str">
            <v>IN-A01M101</v>
          </cell>
          <cell r="C134" t="str">
            <v>A01M101-IN</v>
          </cell>
          <cell r="E134" t="str">
            <v>A01M101</v>
          </cell>
          <cell r="F134">
            <v>2001</v>
          </cell>
          <cell r="G134" t="str">
            <v>I</v>
          </cell>
          <cell r="H134" t="str">
            <v>IN</v>
          </cell>
          <cell r="L134">
            <v>32.9</v>
          </cell>
          <cell r="M134">
            <v>46.4</v>
          </cell>
          <cell r="N134">
            <v>16</v>
          </cell>
          <cell r="O134">
            <v>2.7</v>
          </cell>
          <cell r="P134">
            <v>2</v>
          </cell>
          <cell r="U134">
            <v>0</v>
          </cell>
          <cell r="V134">
            <v>100</v>
          </cell>
          <cell r="W134">
            <v>0</v>
          </cell>
          <cell r="X134">
            <v>100</v>
          </cell>
          <cell r="Y134">
            <v>98</v>
          </cell>
          <cell r="Z134">
            <v>98</v>
          </cell>
        </row>
        <row r="135">
          <cell r="B135" t="str">
            <v>AD-A01M103</v>
          </cell>
          <cell r="C135" t="str">
            <v>A01M103-AD</v>
          </cell>
          <cell r="E135" t="str">
            <v>A01M103</v>
          </cell>
          <cell r="F135">
            <v>2001</v>
          </cell>
          <cell r="G135" t="str">
            <v>I</v>
          </cell>
          <cell r="H135" t="str">
            <v>AD</v>
          </cell>
          <cell r="U135">
            <v>0</v>
          </cell>
          <cell r="V135">
            <v>0</v>
          </cell>
          <cell r="W135">
            <v>100</v>
          </cell>
          <cell r="X135">
            <v>100</v>
          </cell>
          <cell r="Y135">
            <v>0</v>
          </cell>
          <cell r="Z135">
            <v>0</v>
          </cell>
        </row>
        <row r="136">
          <cell r="B136" t="str">
            <v>CO-A01M103</v>
          </cell>
          <cell r="C136" t="str">
            <v>A01M103-CO</v>
          </cell>
          <cell r="E136" t="str">
            <v>A01M103</v>
          </cell>
          <cell r="F136">
            <v>2001</v>
          </cell>
          <cell r="G136" t="str">
            <v>I</v>
          </cell>
          <cell r="H136" t="str">
            <v>CO</v>
          </cell>
          <cell r="U136">
            <v>0</v>
          </cell>
          <cell r="V136">
            <v>0</v>
          </cell>
          <cell r="W136">
            <v>100</v>
          </cell>
          <cell r="X136">
            <v>100</v>
          </cell>
          <cell r="Y136">
            <v>0</v>
          </cell>
          <cell r="Z136">
            <v>0</v>
          </cell>
        </row>
        <row r="137">
          <cell r="B137" t="str">
            <v>IN-A01M103</v>
          </cell>
          <cell r="C137" t="str">
            <v>A01M103-IN</v>
          </cell>
          <cell r="E137" t="str">
            <v>A01M103</v>
          </cell>
          <cell r="F137">
            <v>2001</v>
          </cell>
          <cell r="G137" t="str">
            <v>I</v>
          </cell>
          <cell r="H137" t="str">
            <v>IN</v>
          </cell>
          <cell r="N137">
            <v>75</v>
          </cell>
          <cell r="O137">
            <v>1</v>
          </cell>
          <cell r="P137">
            <v>15.5</v>
          </cell>
          <cell r="Q137">
            <v>8.5</v>
          </cell>
          <cell r="U137">
            <v>0</v>
          </cell>
          <cell r="V137">
            <v>100</v>
          </cell>
          <cell r="W137">
            <v>0</v>
          </cell>
          <cell r="X137">
            <v>100</v>
          </cell>
          <cell r="Y137">
            <v>76</v>
          </cell>
          <cell r="Z137">
            <v>76</v>
          </cell>
        </row>
        <row r="138">
          <cell r="B138" t="str">
            <v>AD-A01M104</v>
          </cell>
          <cell r="C138" t="str">
            <v>A01M104-AD</v>
          </cell>
          <cell r="E138" t="str">
            <v>A01M104</v>
          </cell>
          <cell r="F138">
            <v>2001</v>
          </cell>
          <cell r="G138" t="str">
            <v>I</v>
          </cell>
          <cell r="H138" t="str">
            <v>AD</v>
          </cell>
          <cell r="U138">
            <v>0</v>
          </cell>
          <cell r="V138">
            <v>0</v>
          </cell>
          <cell r="W138">
            <v>100</v>
          </cell>
          <cell r="X138">
            <v>100</v>
          </cell>
          <cell r="Y138">
            <v>0</v>
          </cell>
          <cell r="Z138">
            <v>0</v>
          </cell>
        </row>
        <row r="139">
          <cell r="B139" t="str">
            <v>CO-A01M104</v>
          </cell>
          <cell r="C139" t="str">
            <v>A01M104-CO</v>
          </cell>
          <cell r="E139" t="str">
            <v>A01M104</v>
          </cell>
          <cell r="F139">
            <v>2001</v>
          </cell>
          <cell r="G139" t="str">
            <v>I</v>
          </cell>
          <cell r="H139" t="str">
            <v>CO</v>
          </cell>
          <cell r="U139">
            <v>0</v>
          </cell>
          <cell r="V139">
            <v>0</v>
          </cell>
          <cell r="W139">
            <v>100</v>
          </cell>
          <cell r="X139">
            <v>100</v>
          </cell>
          <cell r="Y139">
            <v>0</v>
          </cell>
          <cell r="Z139">
            <v>0</v>
          </cell>
        </row>
        <row r="140">
          <cell r="B140" t="str">
            <v>IN-A01M104</v>
          </cell>
          <cell r="C140" t="str">
            <v>A01M104-IN</v>
          </cell>
          <cell r="E140" t="str">
            <v>A01M104</v>
          </cell>
          <cell r="F140">
            <v>2001</v>
          </cell>
          <cell r="G140" t="str">
            <v>I</v>
          </cell>
          <cell r="H140" t="str">
            <v>IN</v>
          </cell>
          <cell r="M140">
            <v>40.5</v>
          </cell>
          <cell r="N140">
            <v>43.5</v>
          </cell>
          <cell r="O140">
            <v>14</v>
          </cell>
          <cell r="P140">
            <v>2</v>
          </cell>
          <cell r="U140">
            <v>0</v>
          </cell>
          <cell r="V140">
            <v>100</v>
          </cell>
          <cell r="W140">
            <v>0</v>
          </cell>
          <cell r="X140">
            <v>100</v>
          </cell>
          <cell r="Y140">
            <v>98</v>
          </cell>
          <cell r="Z140">
            <v>98</v>
          </cell>
        </row>
        <row r="141">
          <cell r="B141" t="str">
            <v>AD-A01M201</v>
          </cell>
          <cell r="C141" t="str">
            <v>A01M201-AD</v>
          </cell>
          <cell r="E141" t="str">
            <v>A01M201</v>
          </cell>
          <cell r="F141">
            <v>2002</v>
          </cell>
          <cell r="G141" t="str">
            <v>I</v>
          </cell>
          <cell r="H141" t="str">
            <v>AD</v>
          </cell>
          <cell r="U141">
            <v>0</v>
          </cell>
          <cell r="V141">
            <v>0</v>
          </cell>
          <cell r="W141">
            <v>100</v>
          </cell>
          <cell r="X141">
            <v>100</v>
          </cell>
          <cell r="Y141">
            <v>0</v>
          </cell>
          <cell r="Z141">
            <v>0</v>
          </cell>
        </row>
        <row r="142">
          <cell r="B142" t="str">
            <v>CO-A01M201</v>
          </cell>
          <cell r="C142" t="str">
            <v>A01M201-CO</v>
          </cell>
          <cell r="E142" t="str">
            <v>A01M201</v>
          </cell>
          <cell r="F142">
            <v>2002</v>
          </cell>
          <cell r="G142" t="str">
            <v>I</v>
          </cell>
          <cell r="H142" t="str">
            <v>CO</v>
          </cell>
          <cell r="U142">
            <v>0</v>
          </cell>
          <cell r="V142">
            <v>0</v>
          </cell>
          <cell r="W142">
            <v>100</v>
          </cell>
          <cell r="X142">
            <v>100</v>
          </cell>
          <cell r="Y142">
            <v>0</v>
          </cell>
          <cell r="Z142">
            <v>0</v>
          </cell>
        </row>
        <row r="143">
          <cell r="B143" t="str">
            <v>IN-A01M201</v>
          </cell>
          <cell r="C143" t="str">
            <v>A01M201-IN</v>
          </cell>
          <cell r="E143" t="str">
            <v>A01M201</v>
          </cell>
          <cell r="F143">
            <v>2002</v>
          </cell>
          <cell r="G143" t="str">
            <v>I</v>
          </cell>
          <cell r="H143" t="str">
            <v>IN</v>
          </cell>
          <cell r="P143">
            <v>5.2</v>
          </cell>
          <cell r="Q143">
            <v>11.1</v>
          </cell>
          <cell r="R143">
            <v>18.2</v>
          </cell>
          <cell r="S143">
            <v>25.7</v>
          </cell>
          <cell r="T143">
            <v>18.600000000000001</v>
          </cell>
          <cell r="U143">
            <v>0</v>
          </cell>
          <cell r="V143">
            <v>78.800000000000011</v>
          </cell>
          <cell r="W143">
            <v>21.199999999999989</v>
          </cell>
          <cell r="X143">
            <v>100</v>
          </cell>
          <cell r="Y143">
            <v>0</v>
          </cell>
          <cell r="Z143">
            <v>0</v>
          </cell>
        </row>
        <row r="144">
          <cell r="B144" t="str">
            <v>AD-A01M301</v>
          </cell>
          <cell r="C144" t="str">
            <v>A01M301-AD</v>
          </cell>
          <cell r="E144" t="str">
            <v>A01M301</v>
          </cell>
          <cell r="F144">
            <v>2001</v>
          </cell>
          <cell r="G144" t="str">
            <v>I</v>
          </cell>
          <cell r="H144" t="str">
            <v>AD</v>
          </cell>
          <cell r="U144">
            <v>0</v>
          </cell>
          <cell r="V144">
            <v>0</v>
          </cell>
          <cell r="W144">
            <v>100</v>
          </cell>
          <cell r="X144">
            <v>100</v>
          </cell>
          <cell r="Y144">
            <v>0</v>
          </cell>
          <cell r="Z144">
            <v>0</v>
          </cell>
        </row>
        <row r="145">
          <cell r="B145" t="str">
            <v>CO-A01M301</v>
          </cell>
          <cell r="C145" t="str">
            <v>A01M301-CO</v>
          </cell>
          <cell r="E145" t="str">
            <v>A01M301</v>
          </cell>
          <cell r="F145">
            <v>2001</v>
          </cell>
          <cell r="G145" t="str">
            <v>I</v>
          </cell>
          <cell r="H145" t="str">
            <v>CO</v>
          </cell>
          <cell r="Q145">
            <v>20</v>
          </cell>
          <cell r="R145">
            <v>19</v>
          </cell>
          <cell r="S145">
            <v>45</v>
          </cell>
          <cell r="T145">
            <v>16</v>
          </cell>
          <cell r="U145">
            <v>0</v>
          </cell>
          <cell r="V145">
            <v>100</v>
          </cell>
          <cell r="W145">
            <v>0</v>
          </cell>
          <cell r="X145">
            <v>100</v>
          </cell>
          <cell r="Y145">
            <v>0</v>
          </cell>
          <cell r="Z145">
            <v>0</v>
          </cell>
        </row>
        <row r="146">
          <cell r="B146" t="str">
            <v>IN-A01M301</v>
          </cell>
          <cell r="C146" t="str">
            <v>A01M301-IN</v>
          </cell>
          <cell r="E146" t="str">
            <v>A01M301</v>
          </cell>
          <cell r="F146">
            <v>2001</v>
          </cell>
          <cell r="G146" t="str">
            <v>I</v>
          </cell>
          <cell r="H146" t="str">
            <v>IN</v>
          </cell>
          <cell r="M146">
            <v>80</v>
          </cell>
          <cell r="N146">
            <v>15</v>
          </cell>
          <cell r="O146">
            <v>5</v>
          </cell>
          <cell r="U146">
            <v>0</v>
          </cell>
          <cell r="V146">
            <v>100</v>
          </cell>
          <cell r="W146">
            <v>0</v>
          </cell>
          <cell r="X146">
            <v>100</v>
          </cell>
          <cell r="Y146">
            <v>100</v>
          </cell>
          <cell r="Z146">
            <v>100</v>
          </cell>
        </row>
        <row r="147">
          <cell r="B147" t="str">
            <v>AD-A01M303</v>
          </cell>
          <cell r="C147" t="str">
            <v>A01M303-AD</v>
          </cell>
          <cell r="E147" t="str">
            <v>A01M303</v>
          </cell>
          <cell r="F147">
            <v>2002</v>
          </cell>
          <cell r="G147" t="str">
            <v>I</v>
          </cell>
          <cell r="H147" t="str">
            <v>AD</v>
          </cell>
          <cell r="P147">
            <v>25</v>
          </cell>
          <cell r="T147">
            <v>45</v>
          </cell>
          <cell r="U147">
            <v>0</v>
          </cell>
          <cell r="V147">
            <v>70</v>
          </cell>
          <cell r="W147">
            <v>30</v>
          </cell>
          <cell r="X147">
            <v>100</v>
          </cell>
          <cell r="Y147">
            <v>0</v>
          </cell>
          <cell r="Z147">
            <v>0</v>
          </cell>
        </row>
        <row r="148">
          <cell r="B148" t="str">
            <v>CO-A01M303</v>
          </cell>
          <cell r="C148" t="str">
            <v>A01M303-CO</v>
          </cell>
          <cell r="E148" t="str">
            <v>A01M303</v>
          </cell>
          <cell r="F148">
            <v>2002</v>
          </cell>
          <cell r="G148" t="str">
            <v>I</v>
          </cell>
          <cell r="H148" t="str">
            <v>CO</v>
          </cell>
          <cell r="U148">
            <v>0</v>
          </cell>
          <cell r="V148">
            <v>0</v>
          </cell>
          <cell r="W148">
            <v>100</v>
          </cell>
          <cell r="X148">
            <v>100</v>
          </cell>
          <cell r="Y148">
            <v>0</v>
          </cell>
          <cell r="Z148">
            <v>0</v>
          </cell>
        </row>
        <row r="149">
          <cell r="B149" t="str">
            <v>IN-A01M303</v>
          </cell>
          <cell r="C149" t="str">
            <v>A01M303-IN</v>
          </cell>
          <cell r="E149" t="str">
            <v>A01M303</v>
          </cell>
          <cell r="F149">
            <v>2002</v>
          </cell>
          <cell r="G149" t="str">
            <v>I</v>
          </cell>
          <cell r="H149" t="str">
            <v>IN</v>
          </cell>
          <cell r="P149">
            <v>13</v>
          </cell>
          <cell r="Q149">
            <v>12</v>
          </cell>
          <cell r="R149">
            <v>12</v>
          </cell>
          <cell r="S149">
            <v>12</v>
          </cell>
          <cell r="T149">
            <v>12</v>
          </cell>
          <cell r="U149">
            <v>0</v>
          </cell>
          <cell r="V149">
            <v>61</v>
          </cell>
          <cell r="W149">
            <v>39</v>
          </cell>
          <cell r="X149">
            <v>100</v>
          </cell>
          <cell r="Y149">
            <v>0</v>
          </cell>
          <cell r="Z149">
            <v>0</v>
          </cell>
        </row>
        <row r="150">
          <cell r="B150" t="str">
            <v>AD-A01M304</v>
          </cell>
          <cell r="C150" t="str">
            <v>A01M304-AD</v>
          </cell>
          <cell r="E150" t="str">
            <v>A01M304</v>
          </cell>
          <cell r="F150">
            <v>2001</v>
          </cell>
          <cell r="G150" t="str">
            <v>I</v>
          </cell>
          <cell r="H150" t="str">
            <v>AD</v>
          </cell>
          <cell r="P150">
            <v>5</v>
          </cell>
          <cell r="Q150">
            <v>10</v>
          </cell>
          <cell r="R150">
            <v>85</v>
          </cell>
          <cell r="U150">
            <v>0</v>
          </cell>
          <cell r="V150">
            <v>100</v>
          </cell>
          <cell r="W150">
            <v>0</v>
          </cell>
          <cell r="X150">
            <v>100</v>
          </cell>
          <cell r="Y150">
            <v>0</v>
          </cell>
          <cell r="Z150">
            <v>0</v>
          </cell>
        </row>
        <row r="151">
          <cell r="B151" t="str">
            <v>CO-A01M304</v>
          </cell>
          <cell r="C151" t="str">
            <v>A01M304-CO</v>
          </cell>
          <cell r="E151" t="str">
            <v>A01M304</v>
          </cell>
          <cell r="F151">
            <v>2001</v>
          </cell>
          <cell r="G151" t="str">
            <v>I</v>
          </cell>
          <cell r="H151" t="str">
            <v>CO</v>
          </cell>
          <cell r="S151">
            <v>50</v>
          </cell>
          <cell r="T151">
            <v>50</v>
          </cell>
          <cell r="U151">
            <v>0</v>
          </cell>
          <cell r="V151">
            <v>100</v>
          </cell>
          <cell r="W151">
            <v>0</v>
          </cell>
          <cell r="X151">
            <v>100</v>
          </cell>
          <cell r="Y151">
            <v>0</v>
          </cell>
          <cell r="Z151">
            <v>0</v>
          </cell>
        </row>
        <row r="152">
          <cell r="B152" t="str">
            <v>IN-A01M304</v>
          </cell>
          <cell r="C152" t="str">
            <v>A01M304-IN</v>
          </cell>
          <cell r="E152" t="str">
            <v>A01M304</v>
          </cell>
          <cell r="F152">
            <v>2001</v>
          </cell>
          <cell r="G152" t="str">
            <v>I</v>
          </cell>
          <cell r="H152" t="str">
            <v>IN</v>
          </cell>
          <cell r="U152">
            <v>0</v>
          </cell>
          <cell r="V152">
            <v>0</v>
          </cell>
          <cell r="W152">
            <v>100</v>
          </cell>
          <cell r="X152">
            <v>100</v>
          </cell>
          <cell r="Y152">
            <v>0</v>
          </cell>
          <cell r="Z152">
            <v>0</v>
          </cell>
        </row>
        <row r="153">
          <cell r="B153" t="str">
            <v>AD-A01M305</v>
          </cell>
          <cell r="C153" t="str">
            <v>A01M305-AD</v>
          </cell>
          <cell r="E153" t="str">
            <v>A01M305</v>
          </cell>
          <cell r="F153">
            <v>2001</v>
          </cell>
          <cell r="G153" t="str">
            <v>I</v>
          </cell>
          <cell r="H153" t="str">
            <v>AD</v>
          </cell>
          <cell r="P153">
            <v>5</v>
          </cell>
          <cell r="Q153">
            <v>10</v>
          </cell>
          <cell r="R153">
            <v>85</v>
          </cell>
          <cell r="U153">
            <v>0</v>
          </cell>
          <cell r="V153">
            <v>100</v>
          </cell>
          <cell r="W153">
            <v>0</v>
          </cell>
          <cell r="X153">
            <v>100</v>
          </cell>
          <cell r="Y153">
            <v>0</v>
          </cell>
          <cell r="Z153">
            <v>0</v>
          </cell>
        </row>
        <row r="154">
          <cell r="B154" t="str">
            <v>CO-A01M305</v>
          </cell>
          <cell r="C154" t="str">
            <v>A01M305-CO</v>
          </cell>
          <cell r="E154" t="str">
            <v>A01M305</v>
          </cell>
          <cell r="F154">
            <v>2001</v>
          </cell>
          <cell r="G154" t="str">
            <v>I</v>
          </cell>
          <cell r="H154" t="str">
            <v>CO</v>
          </cell>
          <cell r="S154">
            <v>50</v>
          </cell>
          <cell r="T154">
            <v>50</v>
          </cell>
          <cell r="U154">
            <v>0</v>
          </cell>
          <cell r="V154">
            <v>100</v>
          </cell>
          <cell r="W154">
            <v>0</v>
          </cell>
          <cell r="X154">
            <v>100</v>
          </cell>
          <cell r="Y154">
            <v>0</v>
          </cell>
          <cell r="Z154">
            <v>0</v>
          </cell>
        </row>
        <row r="155">
          <cell r="B155" t="str">
            <v>IN-A01M305</v>
          </cell>
          <cell r="C155" t="str">
            <v>A01M305-IN</v>
          </cell>
          <cell r="E155" t="str">
            <v>A01M305</v>
          </cell>
          <cell r="F155">
            <v>2001</v>
          </cell>
          <cell r="G155" t="str">
            <v>I</v>
          </cell>
          <cell r="H155" t="str">
            <v>IN</v>
          </cell>
          <cell r="U155">
            <v>0</v>
          </cell>
          <cell r="V155">
            <v>0</v>
          </cell>
          <cell r="W155">
            <v>100</v>
          </cell>
          <cell r="X155">
            <v>100</v>
          </cell>
          <cell r="Y155">
            <v>0</v>
          </cell>
          <cell r="Z155">
            <v>0</v>
          </cell>
        </row>
        <row r="156">
          <cell r="B156" t="str">
            <v>AD-A01M307</v>
          </cell>
          <cell r="C156" t="str">
            <v>A01M307-AD</v>
          </cell>
          <cell r="E156" t="str">
            <v>A01M307</v>
          </cell>
          <cell r="F156">
            <v>2002</v>
          </cell>
          <cell r="G156" t="str">
            <v>I</v>
          </cell>
          <cell r="H156" t="str">
            <v>AD</v>
          </cell>
          <cell r="Q156">
            <v>5</v>
          </cell>
          <cell r="R156">
            <v>10</v>
          </cell>
          <cell r="T156">
            <v>85</v>
          </cell>
          <cell r="U156">
            <v>0</v>
          </cell>
          <cell r="V156">
            <v>100</v>
          </cell>
          <cell r="W156">
            <v>0</v>
          </cell>
          <cell r="X156">
            <v>100</v>
          </cell>
          <cell r="Y156">
            <v>0</v>
          </cell>
          <cell r="Z156">
            <v>0</v>
          </cell>
        </row>
        <row r="157">
          <cell r="B157" t="str">
            <v>CO-A01M307</v>
          </cell>
          <cell r="C157" t="str">
            <v>A01M307-CO</v>
          </cell>
          <cell r="E157" t="str">
            <v>A01M307</v>
          </cell>
          <cell r="F157">
            <v>2002</v>
          </cell>
          <cell r="G157" t="str">
            <v>I</v>
          </cell>
          <cell r="H157" t="str">
            <v>CO</v>
          </cell>
          <cell r="U157">
            <v>0</v>
          </cell>
          <cell r="V157">
            <v>0</v>
          </cell>
          <cell r="W157">
            <v>100</v>
          </cell>
          <cell r="X157">
            <v>100</v>
          </cell>
          <cell r="Y157">
            <v>0</v>
          </cell>
          <cell r="Z157">
            <v>0</v>
          </cell>
        </row>
        <row r="158">
          <cell r="B158" t="str">
            <v>IN-A01M307</v>
          </cell>
          <cell r="C158" t="str">
            <v>A01M307-IN</v>
          </cell>
          <cell r="E158" t="str">
            <v>A01M307</v>
          </cell>
          <cell r="F158">
            <v>2002</v>
          </cell>
          <cell r="G158" t="str">
            <v>I</v>
          </cell>
          <cell r="H158" t="str">
            <v>IN</v>
          </cell>
          <cell r="Q158">
            <v>70</v>
          </cell>
          <cell r="R158">
            <v>30</v>
          </cell>
          <cell r="U158">
            <v>0</v>
          </cell>
          <cell r="V158">
            <v>100</v>
          </cell>
          <cell r="W158">
            <v>0</v>
          </cell>
          <cell r="X158">
            <v>100</v>
          </cell>
          <cell r="Y158">
            <v>0</v>
          </cell>
          <cell r="Z158">
            <v>0</v>
          </cell>
        </row>
        <row r="159">
          <cell r="B159" t="str">
            <v>AD-A01M308</v>
          </cell>
          <cell r="C159" t="str">
            <v>A01M308-AD</v>
          </cell>
          <cell r="E159" t="str">
            <v>A01M308</v>
          </cell>
          <cell r="F159">
            <v>2001</v>
          </cell>
          <cell r="G159" t="str">
            <v>I</v>
          </cell>
          <cell r="H159" t="str">
            <v>AD</v>
          </cell>
          <cell r="L159">
            <v>5</v>
          </cell>
          <cell r="M159">
            <v>10</v>
          </cell>
          <cell r="N159">
            <v>10</v>
          </cell>
          <cell r="P159">
            <v>65</v>
          </cell>
          <cell r="Q159">
            <v>10</v>
          </cell>
          <cell r="U159">
            <v>0</v>
          </cell>
          <cell r="V159">
            <v>100</v>
          </cell>
          <cell r="W159">
            <v>0</v>
          </cell>
          <cell r="X159">
            <v>100</v>
          </cell>
          <cell r="Y159">
            <v>25</v>
          </cell>
          <cell r="Z159">
            <v>25</v>
          </cell>
        </row>
        <row r="160">
          <cell r="B160" t="str">
            <v>CO-A01M308</v>
          </cell>
          <cell r="C160" t="str">
            <v>A01M308-CO</v>
          </cell>
          <cell r="E160" t="str">
            <v>A01M308</v>
          </cell>
          <cell r="F160">
            <v>2001</v>
          </cell>
          <cell r="G160" t="str">
            <v>I</v>
          </cell>
          <cell r="H160" t="str">
            <v>CO</v>
          </cell>
          <cell r="P160">
            <v>25</v>
          </cell>
          <cell r="Q160">
            <v>67.5</v>
          </cell>
          <cell r="R160">
            <v>7.5</v>
          </cell>
          <cell r="U160">
            <v>0</v>
          </cell>
          <cell r="V160">
            <v>100</v>
          </cell>
          <cell r="W160">
            <v>0</v>
          </cell>
          <cell r="X160">
            <v>100</v>
          </cell>
          <cell r="Y160">
            <v>0</v>
          </cell>
          <cell r="Z160">
            <v>0</v>
          </cell>
        </row>
        <row r="161">
          <cell r="B161" t="str">
            <v>IN-A01M308</v>
          </cell>
          <cell r="C161" t="str">
            <v>A01M308-IN</v>
          </cell>
          <cell r="E161" t="str">
            <v>A01M308</v>
          </cell>
          <cell r="F161">
            <v>2001</v>
          </cell>
          <cell r="G161" t="str">
            <v>I</v>
          </cell>
          <cell r="H161" t="str">
            <v>IN</v>
          </cell>
          <cell r="M161">
            <v>50</v>
          </cell>
          <cell r="N161">
            <v>25</v>
          </cell>
          <cell r="O161">
            <v>10</v>
          </cell>
          <cell r="P161">
            <v>15</v>
          </cell>
          <cell r="U161">
            <v>0</v>
          </cell>
          <cell r="V161">
            <v>100</v>
          </cell>
          <cell r="W161">
            <v>0</v>
          </cell>
          <cell r="X161">
            <v>100</v>
          </cell>
          <cell r="Y161">
            <v>85</v>
          </cell>
          <cell r="Z161">
            <v>85</v>
          </cell>
        </row>
        <row r="162">
          <cell r="B162" t="str">
            <v>AD-A01M310</v>
          </cell>
          <cell r="C162" t="str">
            <v>A01M310-AD</v>
          </cell>
          <cell r="E162" t="str">
            <v>A01M310</v>
          </cell>
          <cell r="F162">
            <v>2001</v>
          </cell>
          <cell r="G162" t="str">
            <v>I</v>
          </cell>
          <cell r="H162" t="str">
            <v>AD</v>
          </cell>
          <cell r="U162">
            <v>0</v>
          </cell>
          <cell r="V162">
            <v>0</v>
          </cell>
          <cell r="W162">
            <v>100</v>
          </cell>
          <cell r="X162">
            <v>100</v>
          </cell>
          <cell r="Y162">
            <v>0</v>
          </cell>
          <cell r="Z162">
            <v>0</v>
          </cell>
        </row>
        <row r="163">
          <cell r="B163" t="str">
            <v>CO-A01M310</v>
          </cell>
          <cell r="C163" t="str">
            <v>A01M310-CO</v>
          </cell>
          <cell r="E163" t="str">
            <v>A01M310</v>
          </cell>
          <cell r="F163">
            <v>2001</v>
          </cell>
          <cell r="G163" t="str">
            <v>I</v>
          </cell>
          <cell r="H163" t="str">
            <v>CO</v>
          </cell>
          <cell r="M163">
            <v>90</v>
          </cell>
          <cell r="N163">
            <v>10</v>
          </cell>
          <cell r="U163">
            <v>0</v>
          </cell>
          <cell r="V163">
            <v>100</v>
          </cell>
          <cell r="W163">
            <v>0</v>
          </cell>
          <cell r="X163">
            <v>100</v>
          </cell>
          <cell r="Y163">
            <v>100</v>
          </cell>
          <cell r="Z163">
            <v>100</v>
          </cell>
        </row>
        <row r="164">
          <cell r="B164" t="str">
            <v>IN-A01M310</v>
          </cell>
          <cell r="C164" t="str">
            <v>A01M310-IN</v>
          </cell>
          <cell r="E164" t="str">
            <v>A01M310</v>
          </cell>
          <cell r="F164">
            <v>2001</v>
          </cell>
          <cell r="G164" t="str">
            <v>I</v>
          </cell>
          <cell r="H164" t="str">
            <v>IN</v>
          </cell>
          <cell r="U164">
            <v>0</v>
          </cell>
          <cell r="V164">
            <v>0</v>
          </cell>
          <cell r="W164">
            <v>100</v>
          </cell>
          <cell r="X164">
            <v>100</v>
          </cell>
          <cell r="Y164">
            <v>0</v>
          </cell>
          <cell r="Z164">
            <v>0</v>
          </cell>
        </row>
        <row r="165">
          <cell r="B165" t="str">
            <v>IN-A01M312</v>
          </cell>
          <cell r="C165" t="str">
            <v>A01M312-IN</v>
          </cell>
          <cell r="E165" t="str">
            <v>A01M312</v>
          </cell>
          <cell r="F165">
            <v>2001</v>
          </cell>
          <cell r="G165" t="str">
            <v>I</v>
          </cell>
          <cell r="H165" t="str">
            <v>IN</v>
          </cell>
          <cell r="N165">
            <v>60</v>
          </cell>
          <cell r="O165">
            <v>40</v>
          </cell>
          <cell r="U165">
            <v>0</v>
          </cell>
          <cell r="V165">
            <v>100</v>
          </cell>
          <cell r="W165">
            <v>0</v>
          </cell>
          <cell r="X165">
            <v>100</v>
          </cell>
          <cell r="Y165">
            <v>100</v>
          </cell>
          <cell r="Z165">
            <v>100</v>
          </cell>
        </row>
        <row r="166">
          <cell r="B166" t="str">
            <v>AD-A01M312</v>
          </cell>
          <cell r="C166" t="str">
            <v>A01M312-AD</v>
          </cell>
          <cell r="E166" t="str">
            <v>A01M312</v>
          </cell>
          <cell r="F166">
            <v>2001</v>
          </cell>
          <cell r="G166" t="str">
            <v>I</v>
          </cell>
          <cell r="H166" t="str">
            <v>AD</v>
          </cell>
          <cell r="N166">
            <v>0</v>
          </cell>
          <cell r="O166">
            <v>3.9</v>
          </cell>
          <cell r="P166">
            <v>7.7</v>
          </cell>
          <cell r="Q166">
            <v>88.5</v>
          </cell>
          <cell r="U166">
            <v>0</v>
          </cell>
          <cell r="V166">
            <v>100.1</v>
          </cell>
          <cell r="W166">
            <v>-9.9999999999994316E-2</v>
          </cell>
          <cell r="X166">
            <v>100</v>
          </cell>
          <cell r="Y166">
            <v>3.9</v>
          </cell>
          <cell r="Z166">
            <v>3.9</v>
          </cell>
        </row>
        <row r="167">
          <cell r="B167" t="str">
            <v>CO-A01M312</v>
          </cell>
          <cell r="C167" t="str">
            <v>A01M312-CO</v>
          </cell>
          <cell r="E167" t="str">
            <v>A01M312</v>
          </cell>
          <cell r="F167">
            <v>2001</v>
          </cell>
          <cell r="G167" t="str">
            <v>I</v>
          </cell>
          <cell r="H167" t="str">
            <v>CO</v>
          </cell>
          <cell r="P167">
            <v>43.7</v>
          </cell>
          <cell r="Q167">
            <v>56.3</v>
          </cell>
          <cell r="R167">
            <v>0</v>
          </cell>
          <cell r="U167">
            <v>0</v>
          </cell>
          <cell r="V167">
            <v>100</v>
          </cell>
          <cell r="W167">
            <v>0</v>
          </cell>
          <cell r="X167">
            <v>100</v>
          </cell>
          <cell r="Y167">
            <v>0</v>
          </cell>
          <cell r="Z167">
            <v>0</v>
          </cell>
        </row>
        <row r="168">
          <cell r="B168" t="str">
            <v>IN-A01M317</v>
          </cell>
          <cell r="C168" t="str">
            <v>A01M317-IN</v>
          </cell>
          <cell r="E168" t="str">
            <v>A01M317</v>
          </cell>
          <cell r="F168">
            <v>2001</v>
          </cell>
          <cell r="G168" t="str">
            <v>I</v>
          </cell>
          <cell r="H168" t="str">
            <v>IN</v>
          </cell>
          <cell r="O168">
            <v>10</v>
          </cell>
          <cell r="P168">
            <v>90</v>
          </cell>
          <cell r="U168">
            <v>0</v>
          </cell>
          <cell r="V168">
            <v>100</v>
          </cell>
          <cell r="W168">
            <v>0</v>
          </cell>
          <cell r="X168">
            <v>100</v>
          </cell>
          <cell r="Y168">
            <v>10</v>
          </cell>
          <cell r="Z168">
            <v>10</v>
          </cell>
        </row>
        <row r="169">
          <cell r="B169" t="str">
            <v>AD-A01M317</v>
          </cell>
          <cell r="C169" t="str">
            <v>A01M317-AD</v>
          </cell>
          <cell r="E169" t="str">
            <v>A01M317</v>
          </cell>
          <cell r="F169">
            <v>2001</v>
          </cell>
          <cell r="G169" t="str">
            <v>I</v>
          </cell>
          <cell r="H169" t="str">
            <v>AD</v>
          </cell>
          <cell r="P169">
            <v>15</v>
          </cell>
          <cell r="Q169">
            <v>57.5</v>
          </cell>
          <cell r="R169">
            <v>27.5</v>
          </cell>
          <cell r="U169">
            <v>0</v>
          </cell>
          <cell r="V169">
            <v>100</v>
          </cell>
          <cell r="W169">
            <v>0</v>
          </cell>
          <cell r="X169">
            <v>100</v>
          </cell>
          <cell r="Y169">
            <v>0</v>
          </cell>
          <cell r="Z169">
            <v>0</v>
          </cell>
        </row>
        <row r="170">
          <cell r="B170" t="str">
            <v>CO-A01M317</v>
          </cell>
          <cell r="C170" t="str">
            <v>A01M317-CO</v>
          </cell>
          <cell r="E170" t="str">
            <v>A01M317</v>
          </cell>
          <cell r="F170">
            <v>2001</v>
          </cell>
          <cell r="G170" t="str">
            <v>I</v>
          </cell>
          <cell r="H170" t="str">
            <v>CO</v>
          </cell>
          <cell r="Q170">
            <v>11.7</v>
          </cell>
          <cell r="R170">
            <v>68</v>
          </cell>
          <cell r="S170">
            <v>20.3</v>
          </cell>
          <cell r="U170">
            <v>0</v>
          </cell>
          <cell r="V170">
            <v>100</v>
          </cell>
          <cell r="W170">
            <v>0</v>
          </cell>
          <cell r="X170">
            <v>100</v>
          </cell>
          <cell r="Y170">
            <v>0</v>
          </cell>
          <cell r="Z170">
            <v>0</v>
          </cell>
        </row>
        <row r="171">
          <cell r="B171" t="str">
            <v>AD-A01M321</v>
          </cell>
          <cell r="C171" t="str">
            <v>A01M321-AD</v>
          </cell>
          <cell r="E171" t="str">
            <v>A01M321</v>
          </cell>
          <cell r="F171">
            <v>2001</v>
          </cell>
          <cell r="G171" t="str">
            <v>I</v>
          </cell>
          <cell r="H171" t="str">
            <v>AD</v>
          </cell>
          <cell r="M171">
            <v>18.75</v>
          </cell>
          <cell r="N171">
            <v>12.26</v>
          </cell>
          <cell r="O171">
            <v>12.51</v>
          </cell>
          <cell r="P171">
            <v>18.829999999999998</v>
          </cell>
          <cell r="Q171">
            <v>18.829999999999998</v>
          </cell>
          <cell r="R171">
            <v>18.82</v>
          </cell>
          <cell r="U171">
            <v>0</v>
          </cell>
          <cell r="V171">
            <v>100</v>
          </cell>
          <cell r="W171">
            <v>0</v>
          </cell>
          <cell r="X171">
            <v>100</v>
          </cell>
          <cell r="Y171">
            <v>43.519999999999996</v>
          </cell>
          <cell r="Z171">
            <v>43.519999999999996</v>
          </cell>
        </row>
        <row r="172">
          <cell r="B172" t="str">
            <v>CO-A01M321</v>
          </cell>
          <cell r="C172" t="str">
            <v>A01M321-CO</v>
          </cell>
          <cell r="E172" t="str">
            <v>A01M321</v>
          </cell>
          <cell r="F172">
            <v>2001</v>
          </cell>
          <cell r="G172" t="str">
            <v>I</v>
          </cell>
          <cell r="H172" t="str">
            <v>CO</v>
          </cell>
          <cell r="N172">
            <v>20.55</v>
          </cell>
          <cell r="O172">
            <v>21.55</v>
          </cell>
          <cell r="P172">
            <v>20</v>
          </cell>
          <cell r="Q172">
            <v>20</v>
          </cell>
          <cell r="R172">
            <v>11.13</v>
          </cell>
          <cell r="S172">
            <v>6.77</v>
          </cell>
          <cell r="T172">
            <v>0</v>
          </cell>
          <cell r="U172">
            <v>0</v>
          </cell>
          <cell r="V172">
            <v>99.999999999999986</v>
          </cell>
          <cell r="W172">
            <v>0</v>
          </cell>
          <cell r="X172">
            <v>99.999999999999986</v>
          </cell>
          <cell r="Y172">
            <v>42.1</v>
          </cell>
          <cell r="Z172">
            <v>42.1</v>
          </cell>
        </row>
        <row r="173">
          <cell r="B173" t="str">
            <v>IN-A01M321</v>
          </cell>
          <cell r="C173" t="str">
            <v>A01M321-IN</v>
          </cell>
          <cell r="E173" t="str">
            <v>A01M321</v>
          </cell>
          <cell r="F173">
            <v>2001</v>
          </cell>
          <cell r="G173" t="str">
            <v>I</v>
          </cell>
          <cell r="H173" t="str">
            <v>IN</v>
          </cell>
          <cell r="U173">
            <v>0</v>
          </cell>
          <cell r="V173">
            <v>0</v>
          </cell>
          <cell r="W173">
            <v>100</v>
          </cell>
          <cell r="X173">
            <v>100</v>
          </cell>
          <cell r="Y173">
            <v>0</v>
          </cell>
          <cell r="Z173">
            <v>0</v>
          </cell>
        </row>
        <row r="174">
          <cell r="B174" t="str">
            <v>AD-A01M322</v>
          </cell>
          <cell r="C174" t="str">
            <v>A01M322-AD</v>
          </cell>
          <cell r="E174" t="str">
            <v>A01M322</v>
          </cell>
          <cell r="F174">
            <v>2001</v>
          </cell>
          <cell r="G174" t="str">
            <v>I</v>
          </cell>
          <cell r="H174" t="str">
            <v>AD</v>
          </cell>
          <cell r="M174">
            <v>15</v>
          </cell>
          <cell r="N174">
            <v>85</v>
          </cell>
          <cell r="U174">
            <v>0</v>
          </cell>
          <cell r="V174">
            <v>100</v>
          </cell>
          <cell r="W174">
            <v>0</v>
          </cell>
          <cell r="X174">
            <v>100</v>
          </cell>
          <cell r="Y174">
            <v>100</v>
          </cell>
          <cell r="Z174">
            <v>100</v>
          </cell>
        </row>
        <row r="175">
          <cell r="B175" t="str">
            <v>CO-A01M322</v>
          </cell>
          <cell r="C175" t="str">
            <v>A01M322-CO</v>
          </cell>
          <cell r="E175" t="str">
            <v>A01M322</v>
          </cell>
          <cell r="F175">
            <v>2001</v>
          </cell>
          <cell r="G175" t="str">
            <v>I</v>
          </cell>
          <cell r="H175" t="str">
            <v>CO</v>
          </cell>
          <cell r="M175">
            <v>28.9</v>
          </cell>
          <cell r="N175">
            <v>63.7</v>
          </cell>
          <cell r="O175">
            <v>1.3</v>
          </cell>
          <cell r="P175">
            <v>1.3</v>
          </cell>
          <cell r="Q175">
            <v>3.8</v>
          </cell>
          <cell r="R175">
            <v>1</v>
          </cell>
          <cell r="U175">
            <v>0</v>
          </cell>
          <cell r="V175">
            <v>99.999999999999986</v>
          </cell>
          <cell r="W175">
            <v>0</v>
          </cell>
          <cell r="X175">
            <v>99.999999999999986</v>
          </cell>
          <cell r="Y175">
            <v>93.899999999999991</v>
          </cell>
          <cell r="Z175">
            <v>93.899999999999991</v>
          </cell>
        </row>
        <row r="176">
          <cell r="B176" t="str">
            <v>IN-A01M322</v>
          </cell>
          <cell r="C176" t="str">
            <v>A01M322-IN</v>
          </cell>
          <cell r="E176" t="str">
            <v>A01M322</v>
          </cell>
          <cell r="F176">
            <v>2001</v>
          </cell>
          <cell r="G176" t="str">
            <v>I</v>
          </cell>
          <cell r="H176" t="str">
            <v>IN</v>
          </cell>
          <cell r="M176">
            <v>50</v>
          </cell>
          <cell r="N176">
            <v>50</v>
          </cell>
          <cell r="U176">
            <v>0</v>
          </cell>
          <cell r="V176">
            <v>100</v>
          </cell>
          <cell r="W176">
            <v>0</v>
          </cell>
          <cell r="X176">
            <v>100</v>
          </cell>
          <cell r="Y176">
            <v>100</v>
          </cell>
          <cell r="Z176">
            <v>100</v>
          </cell>
        </row>
        <row r="177">
          <cell r="B177" t="str">
            <v>AD-A01M323</v>
          </cell>
          <cell r="C177" t="str">
            <v>A01M323-AD</v>
          </cell>
          <cell r="E177" t="str">
            <v>A01M323</v>
          </cell>
          <cell r="F177">
            <v>2001</v>
          </cell>
          <cell r="G177" t="str">
            <v>I</v>
          </cell>
          <cell r="H177" t="str">
            <v>AD</v>
          </cell>
          <cell r="U177">
            <v>0</v>
          </cell>
          <cell r="V177">
            <v>0</v>
          </cell>
          <cell r="W177">
            <v>100</v>
          </cell>
          <cell r="X177">
            <v>100</v>
          </cell>
          <cell r="Y177">
            <v>0</v>
          </cell>
          <cell r="Z177">
            <v>0</v>
          </cell>
        </row>
        <row r="178">
          <cell r="B178" t="str">
            <v>CO-A01M323</v>
          </cell>
          <cell r="C178" t="str">
            <v>A01M323-CO</v>
          </cell>
          <cell r="E178" t="str">
            <v>A01M323</v>
          </cell>
          <cell r="F178">
            <v>2001</v>
          </cell>
          <cell r="G178" t="str">
            <v>I</v>
          </cell>
          <cell r="H178" t="str">
            <v>CO</v>
          </cell>
          <cell r="N178">
            <v>56</v>
          </cell>
          <cell r="O178">
            <v>14</v>
          </cell>
          <cell r="R178">
            <v>15</v>
          </cell>
          <cell r="S178">
            <v>15</v>
          </cell>
          <cell r="U178">
            <v>0</v>
          </cell>
          <cell r="V178">
            <v>100</v>
          </cell>
          <cell r="W178">
            <v>0</v>
          </cell>
          <cell r="X178">
            <v>100</v>
          </cell>
          <cell r="Y178">
            <v>70</v>
          </cell>
          <cell r="Z178">
            <v>70</v>
          </cell>
        </row>
        <row r="179">
          <cell r="B179" t="str">
            <v>IN-A01M323</v>
          </cell>
          <cell r="C179" t="str">
            <v>A01M323-IN</v>
          </cell>
          <cell r="E179" t="str">
            <v>A01M323</v>
          </cell>
          <cell r="F179">
            <v>2001</v>
          </cell>
          <cell r="G179" t="str">
            <v>I</v>
          </cell>
          <cell r="H179" t="str">
            <v>IN</v>
          </cell>
          <cell r="U179">
            <v>0</v>
          </cell>
          <cell r="V179">
            <v>0</v>
          </cell>
          <cell r="W179">
            <v>100</v>
          </cell>
          <cell r="X179">
            <v>100</v>
          </cell>
          <cell r="Y179">
            <v>0</v>
          </cell>
          <cell r="Z179">
            <v>0</v>
          </cell>
        </row>
        <row r="180">
          <cell r="B180" t="str">
            <v>AD-A01MDIVI</v>
          </cell>
          <cell r="C180" t="str">
            <v>A01MDIVI-AD</v>
          </cell>
          <cell r="E180" t="str">
            <v>A01MDIVI</v>
          </cell>
          <cell r="F180">
            <v>2001</v>
          </cell>
          <cell r="G180" t="str">
            <v>I</v>
          </cell>
          <cell r="H180" t="str">
            <v>AD</v>
          </cell>
          <cell r="U180">
            <v>0</v>
          </cell>
          <cell r="V180">
            <v>0</v>
          </cell>
          <cell r="W180">
            <v>100</v>
          </cell>
          <cell r="X180">
            <v>100</v>
          </cell>
          <cell r="Y180">
            <v>0</v>
          </cell>
          <cell r="Z180">
            <v>0</v>
          </cell>
        </row>
        <row r="181">
          <cell r="B181" t="str">
            <v>CO-A01MDIVI</v>
          </cell>
          <cell r="C181" t="str">
            <v>A01MDIVI-CO</v>
          </cell>
          <cell r="E181" t="str">
            <v>A01MDIVI</v>
          </cell>
          <cell r="F181">
            <v>2001</v>
          </cell>
          <cell r="G181" t="str">
            <v>I</v>
          </cell>
          <cell r="H181" t="str">
            <v>CO</v>
          </cell>
          <cell r="Q181">
            <v>20</v>
          </cell>
          <cell r="R181">
            <v>25</v>
          </cell>
          <cell r="S181">
            <v>25</v>
          </cell>
          <cell r="T181">
            <v>30</v>
          </cell>
          <cell r="U181">
            <v>0</v>
          </cell>
          <cell r="V181">
            <v>100</v>
          </cell>
          <cell r="W181">
            <v>0</v>
          </cell>
          <cell r="X181">
            <v>100</v>
          </cell>
          <cell r="Y181">
            <v>0</v>
          </cell>
          <cell r="Z181">
            <v>0</v>
          </cell>
        </row>
        <row r="182">
          <cell r="B182" t="str">
            <v>IN-A01MDIVI</v>
          </cell>
          <cell r="C182" t="str">
            <v>A01MDIVI-IN</v>
          </cell>
          <cell r="E182" t="str">
            <v>A01MDIVI</v>
          </cell>
          <cell r="F182">
            <v>2001</v>
          </cell>
          <cell r="G182" t="str">
            <v>I</v>
          </cell>
          <cell r="H182" t="str">
            <v>IN</v>
          </cell>
          <cell r="U182">
            <v>0</v>
          </cell>
          <cell r="V182">
            <v>0</v>
          </cell>
          <cell r="W182">
            <v>100</v>
          </cell>
          <cell r="X182">
            <v>100</v>
          </cell>
          <cell r="Y182">
            <v>0</v>
          </cell>
          <cell r="Z182">
            <v>0</v>
          </cell>
        </row>
        <row r="183">
          <cell r="B183" t="str">
            <v>AD-A01MEXT</v>
          </cell>
          <cell r="C183" t="str">
            <v>A01MEXT-AD</v>
          </cell>
          <cell r="E183" t="str">
            <v>A01MEXT</v>
          </cell>
          <cell r="F183">
            <v>2001</v>
          </cell>
          <cell r="G183" t="str">
            <v>I</v>
          </cell>
          <cell r="H183" t="str">
            <v>AD</v>
          </cell>
          <cell r="U183">
            <v>0</v>
          </cell>
          <cell r="V183">
            <v>0</v>
          </cell>
          <cell r="W183">
            <v>100</v>
          </cell>
          <cell r="X183">
            <v>100</v>
          </cell>
          <cell r="Y183">
            <v>0</v>
          </cell>
          <cell r="Z183">
            <v>0</v>
          </cell>
        </row>
        <row r="184">
          <cell r="B184" t="str">
            <v>CO-A01MEXT</v>
          </cell>
          <cell r="C184" t="str">
            <v>A01MEXT-CO</v>
          </cell>
          <cell r="E184" t="str">
            <v>A01MEXT</v>
          </cell>
          <cell r="F184">
            <v>2001</v>
          </cell>
          <cell r="G184" t="str">
            <v>I</v>
          </cell>
          <cell r="H184" t="str">
            <v>CO</v>
          </cell>
          <cell r="Q184">
            <v>20</v>
          </cell>
          <cell r="R184">
            <v>25</v>
          </cell>
          <cell r="S184">
            <v>25</v>
          </cell>
          <cell r="T184">
            <v>30</v>
          </cell>
          <cell r="U184">
            <v>0</v>
          </cell>
          <cell r="V184">
            <v>100</v>
          </cell>
          <cell r="W184">
            <v>0</v>
          </cell>
          <cell r="X184">
            <v>100</v>
          </cell>
          <cell r="Y184">
            <v>0</v>
          </cell>
          <cell r="Z184">
            <v>0</v>
          </cell>
        </row>
        <row r="185">
          <cell r="B185" t="str">
            <v>IN-A01MEXT</v>
          </cell>
          <cell r="C185" t="str">
            <v>A01MEXT-IN</v>
          </cell>
          <cell r="E185" t="str">
            <v>A01MEXT</v>
          </cell>
          <cell r="F185">
            <v>2001</v>
          </cell>
          <cell r="G185" t="str">
            <v>I</v>
          </cell>
          <cell r="H185" t="str">
            <v>IN</v>
          </cell>
          <cell r="U185">
            <v>0</v>
          </cell>
          <cell r="V185">
            <v>0</v>
          </cell>
          <cell r="W185">
            <v>100</v>
          </cell>
          <cell r="X185">
            <v>100</v>
          </cell>
          <cell r="Y185">
            <v>0</v>
          </cell>
          <cell r="Z185">
            <v>0</v>
          </cell>
        </row>
        <row r="186">
          <cell r="B186" t="str">
            <v>AD-A00M417</v>
          </cell>
          <cell r="C186" t="str">
            <v>A00M417-AD</v>
          </cell>
          <cell r="E186" t="str">
            <v>A00M417</v>
          </cell>
          <cell r="F186">
            <v>2001</v>
          </cell>
          <cell r="G186" t="str">
            <v>I</v>
          </cell>
          <cell r="H186" t="str">
            <v>AD</v>
          </cell>
          <cell r="I186">
            <v>42.16</v>
          </cell>
          <cell r="J186">
            <v>9.17</v>
          </cell>
          <cell r="K186">
            <v>4.4800000000000004</v>
          </cell>
          <cell r="U186">
            <v>44.19</v>
          </cell>
          <cell r="V186">
            <v>55.81</v>
          </cell>
          <cell r="W186">
            <v>0</v>
          </cell>
          <cell r="X186">
            <v>100</v>
          </cell>
          <cell r="Y186">
            <v>55.81</v>
          </cell>
          <cell r="Z186">
            <v>100</v>
          </cell>
        </row>
        <row r="187">
          <cell r="B187" t="str">
            <v>CO-A00M417</v>
          </cell>
          <cell r="C187" t="str">
            <v>A00M417-CO</v>
          </cell>
          <cell r="E187" t="str">
            <v>A00M417</v>
          </cell>
          <cell r="F187">
            <v>2001</v>
          </cell>
          <cell r="G187" t="str">
            <v>I</v>
          </cell>
          <cell r="H187" t="str">
            <v>CO</v>
          </cell>
          <cell r="I187">
            <v>17.43</v>
          </cell>
          <cell r="J187">
            <v>37.47</v>
          </cell>
          <cell r="K187">
            <v>21.23</v>
          </cell>
          <cell r="L187">
            <v>2.97</v>
          </cell>
          <cell r="U187">
            <v>20.9</v>
          </cell>
          <cell r="V187">
            <v>79.099999999999994</v>
          </cell>
          <cell r="W187">
            <v>0</v>
          </cell>
          <cell r="X187">
            <v>100</v>
          </cell>
          <cell r="Y187">
            <v>79.099999999999994</v>
          </cell>
          <cell r="Z187">
            <v>100</v>
          </cell>
        </row>
        <row r="188">
          <cell r="B188" t="str">
            <v>IN-A00M417</v>
          </cell>
          <cell r="C188" t="str">
            <v>A00M417-IN</v>
          </cell>
          <cell r="E188" t="str">
            <v>A00M417</v>
          </cell>
          <cell r="F188">
            <v>2001</v>
          </cell>
          <cell r="G188" t="str">
            <v>I</v>
          </cell>
          <cell r="H188" t="str">
            <v>IN</v>
          </cell>
          <cell r="I188">
            <v>13.44</v>
          </cell>
          <cell r="J188">
            <v>6.56</v>
          </cell>
          <cell r="K188">
            <v>2.71</v>
          </cell>
          <cell r="L188">
            <v>1.04</v>
          </cell>
          <cell r="U188">
            <v>76.25</v>
          </cell>
          <cell r="V188">
            <v>23.75</v>
          </cell>
          <cell r="W188">
            <v>0</v>
          </cell>
          <cell r="X188">
            <v>100</v>
          </cell>
          <cell r="Y188">
            <v>23.75</v>
          </cell>
          <cell r="Z188">
            <v>100</v>
          </cell>
        </row>
        <row r="189">
          <cell r="B189" t="str">
            <v>AD-A01M401</v>
          </cell>
          <cell r="C189" t="str">
            <v>A01M401-AD</v>
          </cell>
          <cell r="E189" t="str">
            <v>A01M401</v>
          </cell>
          <cell r="F189">
            <v>2003</v>
          </cell>
          <cell r="G189" t="str">
            <v>I</v>
          </cell>
          <cell r="H189" t="str">
            <v>AD</v>
          </cell>
          <cell r="N189">
            <v>4.4000000000000004</v>
          </cell>
          <cell r="O189">
            <v>0.7</v>
          </cell>
          <cell r="P189">
            <v>5.6</v>
          </cell>
          <cell r="Q189">
            <v>0</v>
          </cell>
          <cell r="R189">
            <v>0</v>
          </cell>
          <cell r="S189">
            <v>3</v>
          </cell>
          <cell r="T189">
            <v>9.6</v>
          </cell>
          <cell r="U189">
            <v>0</v>
          </cell>
          <cell r="V189">
            <v>23.299999999999997</v>
          </cell>
          <cell r="W189">
            <v>76.7</v>
          </cell>
          <cell r="X189">
            <v>100</v>
          </cell>
          <cell r="Y189">
            <v>5.1000000000000005</v>
          </cell>
          <cell r="Z189">
            <v>5.1000000000000005</v>
          </cell>
        </row>
        <row r="190">
          <cell r="B190" t="str">
            <v>CO-A01M401</v>
          </cell>
          <cell r="C190" t="str">
            <v>A01M401-CO</v>
          </cell>
          <cell r="E190" t="str">
            <v>A01M401</v>
          </cell>
          <cell r="F190">
            <v>2003</v>
          </cell>
          <cell r="G190" t="str">
            <v>I</v>
          </cell>
          <cell r="H190" t="str">
            <v>CO</v>
          </cell>
          <cell r="N190">
            <v>3.5</v>
          </cell>
          <cell r="O190">
            <v>2.2999999999999998</v>
          </cell>
          <cell r="P190">
            <v>3.2</v>
          </cell>
          <cell r="Q190">
            <v>3.9</v>
          </cell>
          <cell r="R190">
            <v>4.5999999999999996</v>
          </cell>
          <cell r="S190">
            <v>4.2</v>
          </cell>
          <cell r="T190">
            <v>7.1</v>
          </cell>
          <cell r="U190">
            <v>0</v>
          </cell>
          <cell r="V190">
            <v>28.799999999999997</v>
          </cell>
          <cell r="W190">
            <v>71.2</v>
          </cell>
          <cell r="X190">
            <v>100</v>
          </cell>
          <cell r="Y190">
            <v>5.8</v>
          </cell>
          <cell r="Z190">
            <v>5.8</v>
          </cell>
        </row>
        <row r="191">
          <cell r="B191" t="str">
            <v>IN-A01M401</v>
          </cell>
          <cell r="C191" t="str">
            <v>A01M401-IN</v>
          </cell>
          <cell r="E191" t="str">
            <v>A01M401</v>
          </cell>
          <cell r="F191">
            <v>2003</v>
          </cell>
          <cell r="G191" t="str">
            <v>I</v>
          </cell>
          <cell r="H191" t="str">
            <v>IN</v>
          </cell>
          <cell r="N191">
            <v>8.6999999999999993</v>
          </cell>
          <cell r="O191">
            <v>10.6</v>
          </cell>
          <cell r="P191">
            <v>13.7</v>
          </cell>
          <cell r="Q191">
            <v>15.7</v>
          </cell>
          <cell r="R191">
            <v>15.4</v>
          </cell>
          <cell r="S191">
            <v>15.9</v>
          </cell>
          <cell r="T191">
            <v>12.7</v>
          </cell>
          <cell r="U191">
            <v>0</v>
          </cell>
          <cell r="V191">
            <v>92.700000000000017</v>
          </cell>
          <cell r="W191">
            <v>7.2999999999999829</v>
          </cell>
          <cell r="X191">
            <v>100</v>
          </cell>
          <cell r="Y191">
            <v>19.299999999999997</v>
          </cell>
          <cell r="Z191">
            <v>19.299999999999997</v>
          </cell>
        </row>
        <row r="192">
          <cell r="B192" t="str">
            <v>AD-A01M403</v>
          </cell>
          <cell r="C192" t="str">
            <v>A01M403-AD</v>
          </cell>
          <cell r="E192" t="str">
            <v>A01M403</v>
          </cell>
          <cell r="F192">
            <v>2002</v>
          </cell>
          <cell r="G192" t="str">
            <v>I</v>
          </cell>
          <cell r="H192" t="str">
            <v>AD</v>
          </cell>
          <cell r="M192">
            <v>12</v>
          </cell>
          <cell r="N192">
            <v>8</v>
          </cell>
          <cell r="O192">
            <v>20</v>
          </cell>
          <cell r="P192">
            <v>20</v>
          </cell>
          <cell r="Q192">
            <v>0</v>
          </cell>
          <cell r="R192">
            <v>0</v>
          </cell>
          <cell r="S192">
            <v>25</v>
          </cell>
          <cell r="T192">
            <v>15</v>
          </cell>
          <cell r="U192">
            <v>0</v>
          </cell>
          <cell r="V192">
            <v>100</v>
          </cell>
          <cell r="W192">
            <v>0</v>
          </cell>
          <cell r="X192">
            <v>100</v>
          </cell>
          <cell r="Y192">
            <v>40</v>
          </cell>
          <cell r="Z192">
            <v>40</v>
          </cell>
        </row>
        <row r="193">
          <cell r="B193" t="str">
            <v>CO-A01M403</v>
          </cell>
          <cell r="C193" t="str">
            <v>A01M403-CO</v>
          </cell>
          <cell r="E193" t="str">
            <v>A01M403</v>
          </cell>
          <cell r="F193">
            <v>2002</v>
          </cell>
          <cell r="G193" t="str">
            <v>I</v>
          </cell>
          <cell r="H193" t="str">
            <v>CO</v>
          </cell>
          <cell r="S193">
            <v>10</v>
          </cell>
          <cell r="T193">
            <v>20</v>
          </cell>
          <cell r="U193">
            <v>0</v>
          </cell>
          <cell r="V193">
            <v>30</v>
          </cell>
          <cell r="W193">
            <v>70</v>
          </cell>
          <cell r="X193">
            <v>100</v>
          </cell>
          <cell r="Y193">
            <v>0</v>
          </cell>
          <cell r="Z193">
            <v>0</v>
          </cell>
        </row>
        <row r="194">
          <cell r="B194" t="str">
            <v>IN-A01M403</v>
          </cell>
          <cell r="C194" t="str">
            <v>A01M403-IN</v>
          </cell>
          <cell r="E194" t="str">
            <v>A01M403</v>
          </cell>
          <cell r="F194">
            <v>2002</v>
          </cell>
          <cell r="G194" t="str">
            <v>I</v>
          </cell>
          <cell r="H194" t="str">
            <v>IN</v>
          </cell>
          <cell r="M194">
            <v>0</v>
          </cell>
          <cell r="P194">
            <v>15</v>
          </cell>
          <cell r="Q194">
            <v>75</v>
          </cell>
          <cell r="R194">
            <v>10</v>
          </cell>
          <cell r="U194">
            <v>0</v>
          </cell>
          <cell r="V194">
            <v>100</v>
          </cell>
          <cell r="W194">
            <v>0</v>
          </cell>
          <cell r="X194">
            <v>100</v>
          </cell>
          <cell r="Y194">
            <v>0</v>
          </cell>
          <cell r="Z194">
            <v>0</v>
          </cell>
        </row>
        <row r="195">
          <cell r="B195" t="str">
            <v>AD-A01M407</v>
          </cell>
          <cell r="C195" t="str">
            <v>A01M407-AD</v>
          </cell>
          <cell r="E195" t="str">
            <v>A01M407</v>
          </cell>
          <cell r="F195">
            <v>2001</v>
          </cell>
          <cell r="G195" t="str">
            <v>I</v>
          </cell>
          <cell r="H195" t="str">
            <v>AD</v>
          </cell>
          <cell r="N195">
            <v>0</v>
          </cell>
          <cell r="O195">
            <v>5</v>
          </cell>
          <cell r="P195">
            <v>20</v>
          </cell>
          <cell r="T195">
            <v>55</v>
          </cell>
          <cell r="U195">
            <v>0</v>
          </cell>
          <cell r="V195">
            <v>80</v>
          </cell>
          <cell r="W195">
            <v>20</v>
          </cell>
          <cell r="X195">
            <v>100</v>
          </cell>
          <cell r="Y195">
            <v>5</v>
          </cell>
          <cell r="Z195">
            <v>5</v>
          </cell>
        </row>
        <row r="196">
          <cell r="B196" t="str">
            <v>CO-A01M407</v>
          </cell>
          <cell r="C196" t="str">
            <v>A01M407-CO</v>
          </cell>
          <cell r="E196" t="str">
            <v>A01M407</v>
          </cell>
          <cell r="F196">
            <v>2001</v>
          </cell>
          <cell r="G196" t="str">
            <v>I</v>
          </cell>
          <cell r="H196" t="str">
            <v>CO</v>
          </cell>
          <cell r="U196">
            <v>0</v>
          </cell>
          <cell r="V196">
            <v>0</v>
          </cell>
          <cell r="W196">
            <v>100</v>
          </cell>
          <cell r="X196">
            <v>100</v>
          </cell>
          <cell r="Y196">
            <v>0</v>
          </cell>
          <cell r="Z196">
            <v>0</v>
          </cell>
        </row>
        <row r="197">
          <cell r="B197" t="str">
            <v>IN-A01M407</v>
          </cell>
          <cell r="C197" t="str">
            <v>A01M407-IN</v>
          </cell>
          <cell r="E197" t="str">
            <v>A01M407</v>
          </cell>
          <cell r="F197">
            <v>2001</v>
          </cell>
          <cell r="G197" t="str">
            <v>I</v>
          </cell>
          <cell r="H197" t="str">
            <v>IN</v>
          </cell>
          <cell r="U197">
            <v>0</v>
          </cell>
          <cell r="V197">
            <v>0</v>
          </cell>
          <cell r="W197">
            <v>100</v>
          </cell>
          <cell r="X197">
            <v>100</v>
          </cell>
          <cell r="Y197">
            <v>0</v>
          </cell>
          <cell r="Z197">
            <v>0</v>
          </cell>
        </row>
        <row r="198">
          <cell r="B198" t="str">
            <v>AD-A01M412</v>
          </cell>
          <cell r="C198" t="str">
            <v>A01M412-AD</v>
          </cell>
          <cell r="E198" t="str">
            <v>A01M412</v>
          </cell>
          <cell r="F198">
            <v>2002</v>
          </cell>
          <cell r="G198" t="str">
            <v>I</v>
          </cell>
          <cell r="H198" t="str">
            <v>AD</v>
          </cell>
          <cell r="M198">
            <v>0</v>
          </cell>
          <cell r="O198">
            <v>0</v>
          </cell>
          <cell r="P198">
            <v>58.4</v>
          </cell>
          <cell r="Q198">
            <v>39.299999999999997</v>
          </cell>
          <cell r="R198">
            <v>1.1000000000000001</v>
          </cell>
          <cell r="S198">
            <v>1.2</v>
          </cell>
          <cell r="U198">
            <v>0</v>
          </cell>
          <cell r="V198">
            <v>99.999999999999986</v>
          </cell>
          <cell r="W198">
            <v>0</v>
          </cell>
          <cell r="X198">
            <v>99.999999999999986</v>
          </cell>
          <cell r="Y198">
            <v>0</v>
          </cell>
          <cell r="Z198">
            <v>0</v>
          </cell>
        </row>
        <row r="199">
          <cell r="B199" t="str">
            <v>CO-A01M412</v>
          </cell>
          <cell r="C199" t="str">
            <v>A01M412-CO</v>
          </cell>
          <cell r="E199" t="str">
            <v>A01M412</v>
          </cell>
          <cell r="F199">
            <v>2002</v>
          </cell>
          <cell r="G199" t="str">
            <v>I</v>
          </cell>
          <cell r="H199" t="str">
            <v>CO</v>
          </cell>
          <cell r="R199">
            <v>9.5</v>
          </cell>
          <cell r="S199">
            <v>0.2</v>
          </cell>
          <cell r="T199">
            <v>5</v>
          </cell>
          <cell r="U199">
            <v>0</v>
          </cell>
          <cell r="V199">
            <v>14.7</v>
          </cell>
          <cell r="W199">
            <v>85.3</v>
          </cell>
          <cell r="X199">
            <v>100</v>
          </cell>
          <cell r="Y199">
            <v>0</v>
          </cell>
          <cell r="Z199">
            <v>0</v>
          </cell>
        </row>
        <row r="200">
          <cell r="B200" t="str">
            <v>IN-A01M412</v>
          </cell>
          <cell r="C200" t="str">
            <v>A01M412-IN</v>
          </cell>
          <cell r="E200" t="str">
            <v>A01M412</v>
          </cell>
          <cell r="F200">
            <v>2002</v>
          </cell>
          <cell r="G200" t="str">
            <v>I</v>
          </cell>
          <cell r="H200" t="str">
            <v>IN</v>
          </cell>
          <cell r="M200">
            <v>0</v>
          </cell>
          <cell r="N200">
            <v>0</v>
          </cell>
          <cell r="O200">
            <v>0</v>
          </cell>
          <cell r="P200">
            <v>36.700000000000003</v>
          </cell>
          <cell r="Q200">
            <v>25.1</v>
          </cell>
          <cell r="R200">
            <v>0</v>
          </cell>
          <cell r="S200">
            <v>0.6</v>
          </cell>
          <cell r="T200">
            <v>0.7</v>
          </cell>
          <cell r="U200">
            <v>0</v>
          </cell>
          <cell r="V200">
            <v>63.100000000000009</v>
          </cell>
          <cell r="W200">
            <v>36.899999999999991</v>
          </cell>
          <cell r="X200">
            <v>100</v>
          </cell>
          <cell r="Y200">
            <v>0</v>
          </cell>
          <cell r="Z200">
            <v>0</v>
          </cell>
        </row>
        <row r="201">
          <cell r="B201" t="str">
            <v>AD-A01M415</v>
          </cell>
          <cell r="C201" t="str">
            <v>A01M415-AD</v>
          </cell>
          <cell r="E201" t="str">
            <v>A01M415</v>
          </cell>
          <cell r="F201">
            <v>2001</v>
          </cell>
          <cell r="G201" t="str">
            <v>I</v>
          </cell>
          <cell r="H201" t="str">
            <v>AD</v>
          </cell>
          <cell r="P201">
            <v>100</v>
          </cell>
          <cell r="U201">
            <v>0</v>
          </cell>
          <cell r="V201">
            <v>100</v>
          </cell>
          <cell r="W201">
            <v>0</v>
          </cell>
          <cell r="X201">
            <v>100</v>
          </cell>
          <cell r="Y201">
            <v>0</v>
          </cell>
          <cell r="Z201">
            <v>0</v>
          </cell>
        </row>
        <row r="202">
          <cell r="B202" t="str">
            <v>CO-A01M415</v>
          </cell>
          <cell r="C202" t="str">
            <v>A01M415-CO</v>
          </cell>
          <cell r="E202" t="str">
            <v>A01M415</v>
          </cell>
          <cell r="F202">
            <v>2001</v>
          </cell>
          <cell r="G202" t="str">
            <v>I</v>
          </cell>
          <cell r="H202" t="str">
            <v>CO</v>
          </cell>
          <cell r="U202">
            <v>0</v>
          </cell>
          <cell r="V202">
            <v>0</v>
          </cell>
          <cell r="W202">
            <v>100</v>
          </cell>
          <cell r="X202">
            <v>100</v>
          </cell>
          <cell r="Y202">
            <v>0</v>
          </cell>
          <cell r="Z202">
            <v>0</v>
          </cell>
        </row>
        <row r="203">
          <cell r="B203" t="str">
            <v>IN-A01M415</v>
          </cell>
          <cell r="C203" t="str">
            <v>A01M415-IN</v>
          </cell>
          <cell r="E203" t="str">
            <v>A01M415</v>
          </cell>
          <cell r="F203">
            <v>2001</v>
          </cell>
          <cell r="G203" t="str">
            <v>I</v>
          </cell>
          <cell r="H203" t="str">
            <v>IN</v>
          </cell>
          <cell r="P203">
            <v>33</v>
          </cell>
          <cell r="Q203">
            <v>33</v>
          </cell>
          <cell r="R203">
            <v>34</v>
          </cell>
          <cell r="U203">
            <v>0</v>
          </cell>
          <cell r="V203">
            <v>100</v>
          </cell>
          <cell r="W203">
            <v>0</v>
          </cell>
          <cell r="X203">
            <v>100</v>
          </cell>
          <cell r="Y203">
            <v>0</v>
          </cell>
          <cell r="Z203">
            <v>0</v>
          </cell>
        </row>
        <row r="204">
          <cell r="B204" t="str">
            <v>AD-A01M416</v>
          </cell>
          <cell r="C204" t="str">
            <v>A01M416-AD</v>
          </cell>
          <cell r="E204" t="str">
            <v>A01M416</v>
          </cell>
          <cell r="F204">
            <v>2001</v>
          </cell>
          <cell r="G204" t="str">
            <v>I</v>
          </cell>
          <cell r="H204" t="str">
            <v>AD</v>
          </cell>
          <cell r="K204">
            <v>72.61</v>
          </cell>
          <cell r="M204">
            <v>0</v>
          </cell>
          <cell r="O204">
            <v>1.37</v>
          </cell>
          <cell r="P204">
            <v>5.48</v>
          </cell>
          <cell r="R204">
            <v>15.06</v>
          </cell>
          <cell r="S204">
            <v>5.48</v>
          </cell>
          <cell r="U204">
            <v>0</v>
          </cell>
          <cell r="V204">
            <v>100.00000000000001</v>
          </cell>
          <cell r="W204">
            <v>0</v>
          </cell>
          <cell r="X204">
            <v>100.00000000000001</v>
          </cell>
          <cell r="Y204">
            <v>73.98</v>
          </cell>
          <cell r="Z204">
            <v>73.98</v>
          </cell>
        </row>
        <row r="205">
          <cell r="B205" t="str">
            <v>CO-A01M416</v>
          </cell>
          <cell r="C205" t="str">
            <v>A01M416-CO</v>
          </cell>
          <cell r="E205" t="str">
            <v>A01M416</v>
          </cell>
          <cell r="F205">
            <v>2001</v>
          </cell>
          <cell r="G205" t="str">
            <v>I</v>
          </cell>
          <cell r="H205" t="str">
            <v>CO</v>
          </cell>
          <cell r="K205">
            <v>26.95</v>
          </cell>
          <cell r="L205">
            <v>32.33</v>
          </cell>
          <cell r="M205">
            <v>11.37</v>
          </cell>
          <cell r="N205">
            <v>10.85</v>
          </cell>
          <cell r="R205">
            <v>3.66</v>
          </cell>
          <cell r="S205">
            <v>13.27</v>
          </cell>
          <cell r="T205">
            <v>1.57</v>
          </cell>
          <cell r="U205">
            <v>0</v>
          </cell>
          <cell r="V205">
            <v>99.999999999999986</v>
          </cell>
          <cell r="W205">
            <v>0</v>
          </cell>
          <cell r="X205">
            <v>99.999999999999986</v>
          </cell>
          <cell r="Y205">
            <v>81.5</v>
          </cell>
          <cell r="Z205">
            <v>81.5</v>
          </cell>
        </row>
        <row r="206">
          <cell r="B206" t="str">
            <v>IN-A01M416</v>
          </cell>
          <cell r="C206" t="str">
            <v>A01M416-IN</v>
          </cell>
          <cell r="E206" t="str">
            <v>A01M416</v>
          </cell>
          <cell r="F206">
            <v>2001</v>
          </cell>
          <cell r="G206" t="str">
            <v>I</v>
          </cell>
          <cell r="H206" t="str">
            <v>IN</v>
          </cell>
          <cell r="K206">
            <v>59.43</v>
          </cell>
          <cell r="L206">
            <v>19.28</v>
          </cell>
          <cell r="M206">
            <v>6.7</v>
          </cell>
          <cell r="N206">
            <v>12.58</v>
          </cell>
          <cell r="O206">
            <v>2.0099999999999998</v>
          </cell>
          <cell r="U206">
            <v>0</v>
          </cell>
          <cell r="V206">
            <v>100.00000000000001</v>
          </cell>
          <cell r="W206">
            <v>0</v>
          </cell>
          <cell r="X206">
            <v>100.00000000000001</v>
          </cell>
          <cell r="Y206">
            <v>100.00000000000001</v>
          </cell>
          <cell r="Z206">
            <v>100.00000000000001</v>
          </cell>
        </row>
        <row r="207">
          <cell r="B207" t="str">
            <v>AD-A99M101</v>
          </cell>
          <cell r="C207" t="str">
            <v>A99M101-AD</v>
          </cell>
          <cell r="E207" t="str">
            <v>A99M101</v>
          </cell>
          <cell r="F207">
            <v>1999</v>
          </cell>
          <cell r="G207" t="str">
            <v>I</v>
          </cell>
          <cell r="H207" t="str">
            <v>AD</v>
          </cell>
          <cell r="U207">
            <v>100</v>
          </cell>
          <cell r="V207">
            <v>0</v>
          </cell>
          <cell r="W207">
            <v>0</v>
          </cell>
          <cell r="X207">
            <v>100</v>
          </cell>
          <cell r="Y207">
            <v>0</v>
          </cell>
          <cell r="Z207">
            <v>100</v>
          </cell>
        </row>
        <row r="208">
          <cell r="B208" t="str">
            <v>CO-A99M101</v>
          </cell>
          <cell r="C208" t="str">
            <v>A99M101-CO</v>
          </cell>
          <cell r="E208" t="str">
            <v>A99M101</v>
          </cell>
          <cell r="F208">
            <v>1999</v>
          </cell>
          <cell r="G208" t="str">
            <v>I</v>
          </cell>
          <cell r="H208" t="str">
            <v>CO</v>
          </cell>
          <cell r="U208">
            <v>100</v>
          </cell>
          <cell r="V208">
            <v>0</v>
          </cell>
          <cell r="W208">
            <v>0</v>
          </cell>
          <cell r="X208">
            <v>100</v>
          </cell>
          <cell r="Y208">
            <v>0</v>
          </cell>
          <cell r="Z208">
            <v>100</v>
          </cell>
        </row>
        <row r="209">
          <cell r="B209" t="str">
            <v>IN-A99M101</v>
          </cell>
          <cell r="C209" t="str">
            <v>A99M101-IN</v>
          </cell>
          <cell r="E209" t="str">
            <v>A99M101</v>
          </cell>
          <cell r="F209">
            <v>1999</v>
          </cell>
          <cell r="G209" t="str">
            <v>I</v>
          </cell>
          <cell r="H209" t="str">
            <v>IN</v>
          </cell>
          <cell r="U209">
            <v>100</v>
          </cell>
          <cell r="V209">
            <v>0</v>
          </cell>
          <cell r="W209">
            <v>0</v>
          </cell>
          <cell r="X209">
            <v>100</v>
          </cell>
          <cell r="Y209">
            <v>0</v>
          </cell>
          <cell r="Z209">
            <v>100</v>
          </cell>
        </row>
        <row r="210">
          <cell r="B210" t="str">
            <v>AD-A99M102</v>
          </cell>
          <cell r="C210" t="str">
            <v>A99M102-AD</v>
          </cell>
          <cell r="E210" t="str">
            <v>A99M102</v>
          </cell>
          <cell r="F210">
            <v>1999</v>
          </cell>
          <cell r="G210" t="str">
            <v>I</v>
          </cell>
          <cell r="H210" t="str">
            <v>AD</v>
          </cell>
          <cell r="U210">
            <v>100</v>
          </cell>
          <cell r="V210">
            <v>0</v>
          </cell>
          <cell r="W210">
            <v>0</v>
          </cell>
          <cell r="X210">
            <v>100</v>
          </cell>
          <cell r="Y210">
            <v>0</v>
          </cell>
          <cell r="Z210">
            <v>100</v>
          </cell>
        </row>
        <row r="211">
          <cell r="B211" t="str">
            <v>CO-A99M102</v>
          </cell>
          <cell r="C211" t="str">
            <v>A99M102-CO</v>
          </cell>
          <cell r="E211" t="str">
            <v>A99M102</v>
          </cell>
          <cell r="F211">
            <v>1999</v>
          </cell>
          <cell r="G211" t="str">
            <v>I</v>
          </cell>
          <cell r="H211" t="str">
            <v>CO</v>
          </cell>
          <cell r="U211">
            <v>100</v>
          </cell>
          <cell r="V211">
            <v>0</v>
          </cell>
          <cell r="W211">
            <v>0</v>
          </cell>
          <cell r="X211">
            <v>100</v>
          </cell>
          <cell r="Y211">
            <v>0</v>
          </cell>
          <cell r="Z211">
            <v>100</v>
          </cell>
        </row>
        <row r="212">
          <cell r="B212" t="str">
            <v>IN-A99M102</v>
          </cell>
          <cell r="C212" t="str">
            <v>A99M102-IN</v>
          </cell>
          <cell r="E212" t="str">
            <v>A99M102</v>
          </cell>
          <cell r="F212">
            <v>1999</v>
          </cell>
          <cell r="G212" t="str">
            <v>I</v>
          </cell>
          <cell r="H212" t="str">
            <v>IN</v>
          </cell>
          <cell r="U212">
            <v>100</v>
          </cell>
          <cell r="V212">
            <v>0</v>
          </cell>
          <cell r="W212">
            <v>0</v>
          </cell>
          <cell r="X212">
            <v>100</v>
          </cell>
          <cell r="Y212">
            <v>0</v>
          </cell>
          <cell r="Z212">
            <v>100</v>
          </cell>
        </row>
        <row r="213">
          <cell r="B213" t="str">
            <v>AD-A99M103</v>
          </cell>
          <cell r="C213" t="str">
            <v>A99M103-AD</v>
          </cell>
          <cell r="E213" t="str">
            <v>A99M103</v>
          </cell>
          <cell r="F213">
            <v>2000</v>
          </cell>
          <cell r="G213" t="str">
            <v>I</v>
          </cell>
          <cell r="H213" t="str">
            <v>AD</v>
          </cell>
          <cell r="U213">
            <v>100</v>
          </cell>
          <cell r="V213">
            <v>0</v>
          </cell>
          <cell r="W213">
            <v>0</v>
          </cell>
          <cell r="X213">
            <v>100</v>
          </cell>
          <cell r="Y213">
            <v>0</v>
          </cell>
          <cell r="Z213">
            <v>100</v>
          </cell>
        </row>
        <row r="214">
          <cell r="B214" t="str">
            <v>CO-A99M103</v>
          </cell>
          <cell r="C214" t="str">
            <v>A99M103-CO</v>
          </cell>
          <cell r="E214" t="str">
            <v>A99M103</v>
          </cell>
          <cell r="F214">
            <v>2000</v>
          </cell>
          <cell r="G214" t="str">
            <v>I</v>
          </cell>
          <cell r="H214" t="str">
            <v>CO</v>
          </cell>
          <cell r="U214">
            <v>100</v>
          </cell>
          <cell r="V214">
            <v>0</v>
          </cell>
          <cell r="W214">
            <v>0</v>
          </cell>
          <cell r="X214">
            <v>100</v>
          </cell>
          <cell r="Y214">
            <v>0</v>
          </cell>
          <cell r="Z214">
            <v>100</v>
          </cell>
        </row>
        <row r="215">
          <cell r="B215" t="str">
            <v>IN-A99M103</v>
          </cell>
          <cell r="C215" t="str">
            <v>A99M103-IN</v>
          </cell>
          <cell r="E215" t="str">
            <v>A99M103</v>
          </cell>
          <cell r="F215">
            <v>2000</v>
          </cell>
          <cell r="G215" t="str">
            <v>I</v>
          </cell>
          <cell r="H215" t="str">
            <v>IN</v>
          </cell>
          <cell r="U215">
            <v>100</v>
          </cell>
          <cell r="V215">
            <v>0</v>
          </cell>
          <cell r="W215">
            <v>0</v>
          </cell>
          <cell r="X215">
            <v>100</v>
          </cell>
          <cell r="Y215">
            <v>0</v>
          </cell>
          <cell r="Z215">
            <v>100</v>
          </cell>
        </row>
        <row r="216">
          <cell r="B216" t="str">
            <v>AD-A99M301</v>
          </cell>
          <cell r="C216" t="str">
            <v>A99M301-AD</v>
          </cell>
          <cell r="E216" t="str">
            <v>A99M301</v>
          </cell>
          <cell r="F216">
            <v>1999</v>
          </cell>
          <cell r="G216" t="str">
            <v>I</v>
          </cell>
          <cell r="H216" t="str">
            <v>AD</v>
          </cell>
          <cell r="U216">
            <v>100</v>
          </cell>
          <cell r="V216">
            <v>0</v>
          </cell>
          <cell r="W216">
            <v>0</v>
          </cell>
          <cell r="X216">
            <v>100</v>
          </cell>
          <cell r="Y216">
            <v>0</v>
          </cell>
          <cell r="Z216">
            <v>100</v>
          </cell>
        </row>
        <row r="217">
          <cell r="B217" t="str">
            <v>CO-A99M301</v>
          </cell>
          <cell r="C217" t="str">
            <v>A99M301-CO</v>
          </cell>
          <cell r="E217" t="str">
            <v>A99M301</v>
          </cell>
          <cell r="F217">
            <v>1999</v>
          </cell>
          <cell r="G217" t="str">
            <v>I</v>
          </cell>
          <cell r="H217" t="str">
            <v>CO</v>
          </cell>
          <cell r="U217">
            <v>100</v>
          </cell>
          <cell r="V217">
            <v>0</v>
          </cell>
          <cell r="W217">
            <v>0</v>
          </cell>
          <cell r="X217">
            <v>100</v>
          </cell>
          <cell r="Y217">
            <v>0</v>
          </cell>
          <cell r="Z217">
            <v>100</v>
          </cell>
        </row>
        <row r="218">
          <cell r="B218" t="str">
            <v>IN-A99M301</v>
          </cell>
          <cell r="C218" t="str">
            <v>A99M301-IN</v>
          </cell>
          <cell r="E218" t="str">
            <v>A99M301</v>
          </cell>
          <cell r="F218">
            <v>1999</v>
          </cell>
          <cell r="G218" t="str">
            <v>I</v>
          </cell>
          <cell r="H218" t="str">
            <v>IN</v>
          </cell>
          <cell r="U218">
            <v>100</v>
          </cell>
          <cell r="V218">
            <v>0</v>
          </cell>
          <cell r="W218">
            <v>0</v>
          </cell>
          <cell r="X218">
            <v>100</v>
          </cell>
          <cell r="Y218">
            <v>0</v>
          </cell>
          <cell r="Z218">
            <v>100</v>
          </cell>
        </row>
        <row r="219">
          <cell r="B219" t="str">
            <v>AD-A99M302</v>
          </cell>
          <cell r="C219" t="str">
            <v>A99M302-AD</v>
          </cell>
          <cell r="E219" t="str">
            <v>A99M302</v>
          </cell>
          <cell r="F219">
            <v>1999</v>
          </cell>
          <cell r="G219" t="str">
            <v>I</v>
          </cell>
          <cell r="H219" t="str">
            <v>AD</v>
          </cell>
          <cell r="U219">
            <v>100</v>
          </cell>
          <cell r="V219">
            <v>0</v>
          </cell>
          <cell r="W219">
            <v>0</v>
          </cell>
          <cell r="X219">
            <v>100</v>
          </cell>
          <cell r="Y219">
            <v>0</v>
          </cell>
          <cell r="Z219">
            <v>100</v>
          </cell>
        </row>
        <row r="220">
          <cell r="B220" t="str">
            <v>CO-A99M302</v>
          </cell>
          <cell r="C220" t="str">
            <v>A99M302-CO</v>
          </cell>
          <cell r="E220" t="str">
            <v>A99M302</v>
          </cell>
          <cell r="F220">
            <v>1999</v>
          </cell>
          <cell r="G220" t="str">
            <v>I</v>
          </cell>
          <cell r="H220" t="str">
            <v>CO</v>
          </cell>
          <cell r="U220">
            <v>100</v>
          </cell>
          <cell r="V220">
            <v>0</v>
          </cell>
          <cell r="W220">
            <v>0</v>
          </cell>
          <cell r="X220">
            <v>100</v>
          </cell>
          <cell r="Y220">
            <v>0</v>
          </cell>
          <cell r="Z220">
            <v>100</v>
          </cell>
        </row>
        <row r="221">
          <cell r="B221" t="str">
            <v>IN-A99M302</v>
          </cell>
          <cell r="C221" t="str">
            <v>A99M302-IN</v>
          </cell>
          <cell r="E221" t="str">
            <v>A99M302</v>
          </cell>
          <cell r="F221">
            <v>1999</v>
          </cell>
          <cell r="G221" t="str">
            <v>I</v>
          </cell>
          <cell r="H221" t="str">
            <v>IN</v>
          </cell>
          <cell r="U221">
            <v>100</v>
          </cell>
          <cell r="V221">
            <v>0</v>
          </cell>
          <cell r="W221">
            <v>0</v>
          </cell>
          <cell r="X221">
            <v>100</v>
          </cell>
          <cell r="Y221">
            <v>0</v>
          </cell>
          <cell r="Z221">
            <v>100</v>
          </cell>
        </row>
        <row r="222">
          <cell r="B222" t="str">
            <v>AD-A99M304</v>
          </cell>
          <cell r="C222" t="str">
            <v>A99M304-AD</v>
          </cell>
          <cell r="E222" t="str">
            <v>A99M304</v>
          </cell>
          <cell r="F222">
            <v>2000</v>
          </cell>
          <cell r="G222" t="str">
            <v>I</v>
          </cell>
          <cell r="H222" t="str">
            <v>AD</v>
          </cell>
          <cell r="U222">
            <v>100</v>
          </cell>
          <cell r="V222">
            <v>0</v>
          </cell>
          <cell r="W222">
            <v>0</v>
          </cell>
          <cell r="X222">
            <v>100</v>
          </cell>
          <cell r="Y222">
            <v>0</v>
          </cell>
          <cell r="Z222">
            <v>100</v>
          </cell>
        </row>
        <row r="223">
          <cell r="B223" t="str">
            <v>CO-A99M304</v>
          </cell>
          <cell r="C223" t="str">
            <v>A99M304-CO</v>
          </cell>
          <cell r="E223" t="str">
            <v>A99M304</v>
          </cell>
          <cell r="F223">
            <v>2000</v>
          </cell>
          <cell r="G223" t="str">
            <v>I</v>
          </cell>
          <cell r="H223" t="str">
            <v>CO</v>
          </cell>
          <cell r="U223">
            <v>100</v>
          </cell>
          <cell r="V223">
            <v>0</v>
          </cell>
          <cell r="W223">
            <v>0</v>
          </cell>
          <cell r="X223">
            <v>100</v>
          </cell>
          <cell r="Y223">
            <v>0</v>
          </cell>
          <cell r="Z223">
            <v>100</v>
          </cell>
        </row>
        <row r="224">
          <cell r="B224" t="str">
            <v>IN-A99M304</v>
          </cell>
          <cell r="C224" t="str">
            <v>A99M304-IN</v>
          </cell>
          <cell r="E224" t="str">
            <v>A99M304</v>
          </cell>
          <cell r="F224">
            <v>2000</v>
          </cell>
          <cell r="G224" t="str">
            <v>I</v>
          </cell>
          <cell r="H224" t="str">
            <v>IN</v>
          </cell>
          <cell r="U224">
            <v>100</v>
          </cell>
          <cell r="V224">
            <v>0</v>
          </cell>
          <cell r="W224">
            <v>0</v>
          </cell>
          <cell r="X224">
            <v>100</v>
          </cell>
          <cell r="Y224">
            <v>0</v>
          </cell>
          <cell r="Z224">
            <v>100</v>
          </cell>
        </row>
        <row r="225">
          <cell r="B225" t="str">
            <v>AD-A99M305</v>
          </cell>
          <cell r="C225" t="str">
            <v>A99M305-AD</v>
          </cell>
          <cell r="E225" t="str">
            <v>A99M305</v>
          </cell>
          <cell r="F225">
            <v>2000</v>
          </cell>
          <cell r="G225" t="str">
            <v>I</v>
          </cell>
          <cell r="H225" t="str">
            <v>AD</v>
          </cell>
          <cell r="U225">
            <v>100</v>
          </cell>
          <cell r="V225">
            <v>0</v>
          </cell>
          <cell r="W225">
            <v>0</v>
          </cell>
          <cell r="X225">
            <v>100</v>
          </cell>
          <cell r="Y225">
            <v>0</v>
          </cell>
          <cell r="Z225">
            <v>100</v>
          </cell>
        </row>
        <row r="226">
          <cell r="B226" t="str">
            <v>CO-A99M305</v>
          </cell>
          <cell r="C226" t="str">
            <v>A99M305-CO</v>
          </cell>
          <cell r="E226" t="str">
            <v>A99M305</v>
          </cell>
          <cell r="F226">
            <v>2000</v>
          </cell>
          <cell r="G226" t="str">
            <v>I</v>
          </cell>
          <cell r="H226" t="str">
            <v>CO</v>
          </cell>
          <cell r="U226">
            <v>100</v>
          </cell>
          <cell r="V226">
            <v>0</v>
          </cell>
          <cell r="W226">
            <v>0</v>
          </cell>
          <cell r="X226">
            <v>100</v>
          </cell>
          <cell r="Y226">
            <v>0</v>
          </cell>
          <cell r="Z226">
            <v>100</v>
          </cell>
        </row>
        <row r="227">
          <cell r="B227" t="str">
            <v>IN-A99M305</v>
          </cell>
          <cell r="C227" t="str">
            <v>A99M305-IN</v>
          </cell>
          <cell r="E227" t="str">
            <v>A99M305</v>
          </cell>
          <cell r="F227">
            <v>2000</v>
          </cell>
          <cell r="G227" t="str">
            <v>I</v>
          </cell>
          <cell r="H227" t="str">
            <v>IN</v>
          </cell>
          <cell r="U227">
            <v>100</v>
          </cell>
          <cell r="V227">
            <v>0</v>
          </cell>
          <cell r="W227">
            <v>0</v>
          </cell>
          <cell r="X227">
            <v>100</v>
          </cell>
          <cell r="Y227">
            <v>0</v>
          </cell>
          <cell r="Z227">
            <v>100</v>
          </cell>
        </row>
        <row r="228">
          <cell r="B228" t="str">
            <v>AD-A99M306</v>
          </cell>
          <cell r="C228" t="str">
            <v>A99M306-AD</v>
          </cell>
          <cell r="E228" t="str">
            <v>A99M306</v>
          </cell>
          <cell r="F228">
            <v>2000</v>
          </cell>
          <cell r="G228" t="str">
            <v>I</v>
          </cell>
          <cell r="H228" t="str">
            <v>AD</v>
          </cell>
          <cell r="U228">
            <v>100</v>
          </cell>
          <cell r="V228">
            <v>0</v>
          </cell>
          <cell r="W228">
            <v>0</v>
          </cell>
          <cell r="X228">
            <v>100</v>
          </cell>
          <cell r="Y228">
            <v>0</v>
          </cell>
          <cell r="Z228">
            <v>100</v>
          </cell>
        </row>
        <row r="229">
          <cell r="B229" t="str">
            <v>CO-A99M306</v>
          </cell>
          <cell r="C229" t="str">
            <v>A99M306-CO</v>
          </cell>
          <cell r="E229" t="str">
            <v>A99M306</v>
          </cell>
          <cell r="F229">
            <v>2000</v>
          </cell>
          <cell r="G229" t="str">
            <v>I</v>
          </cell>
          <cell r="H229" t="str">
            <v>CO</v>
          </cell>
          <cell r="U229">
            <v>100</v>
          </cell>
          <cell r="V229">
            <v>0</v>
          </cell>
          <cell r="W229">
            <v>0</v>
          </cell>
          <cell r="X229">
            <v>100</v>
          </cell>
          <cell r="Y229">
            <v>0</v>
          </cell>
          <cell r="Z229">
            <v>100</v>
          </cell>
        </row>
        <row r="230">
          <cell r="B230" t="str">
            <v>IN-A99M306</v>
          </cell>
          <cell r="C230" t="str">
            <v>A99M306-IN</v>
          </cell>
          <cell r="E230" t="str">
            <v>A99M306</v>
          </cell>
          <cell r="F230">
            <v>2000</v>
          </cell>
          <cell r="G230" t="str">
            <v>I</v>
          </cell>
          <cell r="H230" t="str">
            <v>IN</v>
          </cell>
          <cell r="U230">
            <v>100</v>
          </cell>
          <cell r="V230">
            <v>0</v>
          </cell>
          <cell r="W230">
            <v>0</v>
          </cell>
          <cell r="X230">
            <v>100</v>
          </cell>
          <cell r="Y230">
            <v>0</v>
          </cell>
          <cell r="Z230">
            <v>100</v>
          </cell>
        </row>
        <row r="231">
          <cell r="B231" t="str">
            <v>AD-A99M307</v>
          </cell>
          <cell r="C231" t="str">
            <v>A99M307-AD</v>
          </cell>
          <cell r="E231" t="str">
            <v>A99M307</v>
          </cell>
          <cell r="F231">
            <v>2000</v>
          </cell>
          <cell r="G231" t="str">
            <v>I</v>
          </cell>
          <cell r="H231" t="str">
            <v>AD</v>
          </cell>
          <cell r="U231">
            <v>100</v>
          </cell>
          <cell r="V231">
            <v>0</v>
          </cell>
          <cell r="W231">
            <v>0</v>
          </cell>
          <cell r="X231">
            <v>100</v>
          </cell>
          <cell r="Y231">
            <v>0</v>
          </cell>
          <cell r="Z231">
            <v>100</v>
          </cell>
        </row>
        <row r="232">
          <cell r="B232" t="str">
            <v>CO-A99M307</v>
          </cell>
          <cell r="C232" t="str">
            <v>A99M307-CO</v>
          </cell>
          <cell r="E232" t="str">
            <v>A99M307</v>
          </cell>
          <cell r="F232">
            <v>2000</v>
          </cell>
          <cell r="G232" t="str">
            <v>I</v>
          </cell>
          <cell r="H232" t="str">
            <v>CO</v>
          </cell>
          <cell r="U232">
            <v>100</v>
          </cell>
          <cell r="V232">
            <v>0</v>
          </cell>
          <cell r="W232">
            <v>0</v>
          </cell>
          <cell r="X232">
            <v>100</v>
          </cell>
          <cell r="Y232">
            <v>0</v>
          </cell>
          <cell r="Z232">
            <v>100</v>
          </cell>
        </row>
        <row r="233">
          <cell r="B233" t="str">
            <v>IN-A99M307</v>
          </cell>
          <cell r="C233" t="str">
            <v>A99M307-IN</v>
          </cell>
          <cell r="E233" t="str">
            <v>A99M307</v>
          </cell>
          <cell r="F233">
            <v>2000</v>
          </cell>
          <cell r="G233" t="str">
            <v>I</v>
          </cell>
          <cell r="H233" t="str">
            <v>IN</v>
          </cell>
          <cell r="U233">
            <v>100</v>
          </cell>
          <cell r="V233">
            <v>0</v>
          </cell>
          <cell r="W233">
            <v>0</v>
          </cell>
          <cell r="X233">
            <v>100</v>
          </cell>
          <cell r="Y233">
            <v>0</v>
          </cell>
          <cell r="Z233">
            <v>100</v>
          </cell>
        </row>
        <row r="234">
          <cell r="B234" t="str">
            <v>AD-A99M309</v>
          </cell>
          <cell r="C234" t="str">
            <v>A99M309-AD</v>
          </cell>
          <cell r="E234" t="str">
            <v>A99M309</v>
          </cell>
          <cell r="F234">
            <v>2000</v>
          </cell>
          <cell r="G234" t="str">
            <v>I</v>
          </cell>
          <cell r="H234" t="str">
            <v>AD</v>
          </cell>
          <cell r="U234">
            <v>100</v>
          </cell>
          <cell r="V234">
            <v>0</v>
          </cell>
          <cell r="W234">
            <v>0</v>
          </cell>
          <cell r="X234">
            <v>100</v>
          </cell>
          <cell r="Y234">
            <v>0</v>
          </cell>
          <cell r="Z234">
            <v>100</v>
          </cell>
        </row>
        <row r="235">
          <cell r="B235" t="str">
            <v>CO-A99M309</v>
          </cell>
          <cell r="C235" t="str">
            <v>A99M309-CO</v>
          </cell>
          <cell r="E235" t="str">
            <v>A99M309</v>
          </cell>
          <cell r="F235">
            <v>2000</v>
          </cell>
          <cell r="G235" t="str">
            <v>I</v>
          </cell>
          <cell r="H235" t="str">
            <v>CO</v>
          </cell>
          <cell r="U235">
            <v>100</v>
          </cell>
          <cell r="V235">
            <v>0</v>
          </cell>
          <cell r="W235">
            <v>0</v>
          </cell>
          <cell r="X235">
            <v>100</v>
          </cell>
          <cell r="Y235">
            <v>0</v>
          </cell>
          <cell r="Z235">
            <v>100</v>
          </cell>
        </row>
        <row r="236">
          <cell r="B236" t="str">
            <v>IN-A99M309</v>
          </cell>
          <cell r="C236" t="str">
            <v>A99M309-IN</v>
          </cell>
          <cell r="E236" t="str">
            <v>A99M309</v>
          </cell>
          <cell r="F236">
            <v>2000</v>
          </cell>
          <cell r="G236" t="str">
            <v>I</v>
          </cell>
          <cell r="H236" t="str">
            <v>IN</v>
          </cell>
          <cell r="U236">
            <v>100</v>
          </cell>
          <cell r="V236">
            <v>0</v>
          </cell>
          <cell r="W236">
            <v>0</v>
          </cell>
          <cell r="X236">
            <v>100</v>
          </cell>
          <cell r="Y236">
            <v>0</v>
          </cell>
          <cell r="Z236">
            <v>100</v>
          </cell>
        </row>
        <row r="237">
          <cell r="B237" t="str">
            <v>AD-A99M310</v>
          </cell>
          <cell r="C237" t="str">
            <v>A99M310-AD</v>
          </cell>
          <cell r="E237" t="str">
            <v>A99M310</v>
          </cell>
          <cell r="F237">
            <v>2000</v>
          </cell>
          <cell r="G237" t="str">
            <v>I</v>
          </cell>
          <cell r="H237" t="str">
            <v>AD</v>
          </cell>
          <cell r="U237">
            <v>100</v>
          </cell>
          <cell r="V237">
            <v>0</v>
          </cell>
          <cell r="W237">
            <v>0</v>
          </cell>
          <cell r="X237">
            <v>100</v>
          </cell>
          <cell r="Y237">
            <v>0</v>
          </cell>
          <cell r="Z237">
            <v>100</v>
          </cell>
        </row>
        <row r="238">
          <cell r="B238" t="str">
            <v>CO-A99M310</v>
          </cell>
          <cell r="C238" t="str">
            <v>A99M310-CO</v>
          </cell>
          <cell r="E238" t="str">
            <v>A99M310</v>
          </cell>
          <cell r="F238">
            <v>2000</v>
          </cell>
          <cell r="G238" t="str">
            <v>I</v>
          </cell>
          <cell r="H238" t="str">
            <v>CO</v>
          </cell>
          <cell r="U238">
            <v>100</v>
          </cell>
          <cell r="V238">
            <v>0</v>
          </cell>
          <cell r="W238">
            <v>0</v>
          </cell>
          <cell r="X238">
            <v>100</v>
          </cell>
          <cell r="Y238">
            <v>0</v>
          </cell>
          <cell r="Z238">
            <v>100</v>
          </cell>
        </row>
        <row r="239">
          <cell r="B239" t="str">
            <v>IN-A99M310</v>
          </cell>
          <cell r="C239" t="str">
            <v>A99M310-IN</v>
          </cell>
          <cell r="E239" t="str">
            <v>A99M310</v>
          </cell>
          <cell r="F239">
            <v>2000</v>
          </cell>
          <cell r="G239" t="str">
            <v>I</v>
          </cell>
          <cell r="H239" t="str">
            <v>IN</v>
          </cell>
          <cell r="U239">
            <v>100</v>
          </cell>
          <cell r="V239">
            <v>0</v>
          </cell>
          <cell r="W239">
            <v>0</v>
          </cell>
          <cell r="X239">
            <v>100</v>
          </cell>
          <cell r="Y239">
            <v>0</v>
          </cell>
          <cell r="Z239">
            <v>100</v>
          </cell>
        </row>
        <row r="240">
          <cell r="B240" t="str">
            <v>AD-A99M312</v>
          </cell>
          <cell r="C240" t="str">
            <v>A99M312-AD</v>
          </cell>
          <cell r="E240" t="str">
            <v>A99M312</v>
          </cell>
          <cell r="F240">
            <v>2000</v>
          </cell>
          <cell r="G240" t="str">
            <v>I</v>
          </cell>
          <cell r="H240" t="str">
            <v>AD</v>
          </cell>
          <cell r="U240">
            <v>100</v>
          </cell>
          <cell r="V240">
            <v>0</v>
          </cell>
          <cell r="W240">
            <v>0</v>
          </cell>
          <cell r="X240">
            <v>100</v>
          </cell>
          <cell r="Y240">
            <v>0</v>
          </cell>
          <cell r="Z240">
            <v>100</v>
          </cell>
        </row>
        <row r="241">
          <cell r="B241" t="str">
            <v>CO-A99M312</v>
          </cell>
          <cell r="C241" t="str">
            <v>A99M312-CO</v>
          </cell>
          <cell r="E241" t="str">
            <v>A99M312</v>
          </cell>
          <cell r="F241">
            <v>2000</v>
          </cell>
          <cell r="G241" t="str">
            <v>I</v>
          </cell>
          <cell r="H241" t="str">
            <v>CO</v>
          </cell>
          <cell r="U241">
            <v>100</v>
          </cell>
          <cell r="V241">
            <v>0</v>
          </cell>
          <cell r="W241">
            <v>0</v>
          </cell>
          <cell r="X241">
            <v>100</v>
          </cell>
          <cell r="Y241">
            <v>0</v>
          </cell>
          <cell r="Z241">
            <v>100</v>
          </cell>
        </row>
        <row r="242">
          <cell r="B242" t="str">
            <v>IN-A99M312</v>
          </cell>
          <cell r="C242" t="str">
            <v>A99M312-IN</v>
          </cell>
          <cell r="E242" t="str">
            <v>A99M312</v>
          </cell>
          <cell r="F242">
            <v>2000</v>
          </cell>
          <cell r="G242" t="str">
            <v>I</v>
          </cell>
          <cell r="H242" t="str">
            <v>IN</v>
          </cell>
          <cell r="U242">
            <v>100</v>
          </cell>
          <cell r="V242">
            <v>0</v>
          </cell>
          <cell r="W242">
            <v>0</v>
          </cell>
          <cell r="X242">
            <v>100</v>
          </cell>
          <cell r="Y242">
            <v>0</v>
          </cell>
          <cell r="Z242">
            <v>100</v>
          </cell>
        </row>
        <row r="243">
          <cell r="B243" t="str">
            <v>AD-A99M314</v>
          </cell>
          <cell r="C243" t="str">
            <v>A99M314-AD</v>
          </cell>
          <cell r="E243" t="str">
            <v>A99M314</v>
          </cell>
          <cell r="F243">
            <v>2000</v>
          </cell>
          <cell r="G243" t="str">
            <v>I</v>
          </cell>
          <cell r="H243" t="str">
            <v>AD</v>
          </cell>
          <cell r="U243">
            <v>100</v>
          </cell>
          <cell r="V243">
            <v>0</v>
          </cell>
          <cell r="W243">
            <v>0</v>
          </cell>
          <cell r="X243">
            <v>100</v>
          </cell>
          <cell r="Y243">
            <v>0</v>
          </cell>
          <cell r="Z243">
            <v>100</v>
          </cell>
        </row>
        <row r="244">
          <cell r="B244" t="str">
            <v>CO-A99M314</v>
          </cell>
          <cell r="C244" t="str">
            <v>A99M314-CO</v>
          </cell>
          <cell r="E244" t="str">
            <v>A99M314</v>
          </cell>
          <cell r="F244">
            <v>2000</v>
          </cell>
          <cell r="G244" t="str">
            <v>I</v>
          </cell>
          <cell r="H244" t="str">
            <v>CO</v>
          </cell>
          <cell r="U244">
            <v>100</v>
          </cell>
          <cell r="V244">
            <v>0</v>
          </cell>
          <cell r="W244">
            <v>0</v>
          </cell>
          <cell r="X244">
            <v>100</v>
          </cell>
          <cell r="Y244">
            <v>0</v>
          </cell>
          <cell r="Z244">
            <v>100</v>
          </cell>
        </row>
        <row r="245">
          <cell r="B245" t="str">
            <v>IN-A99M314</v>
          </cell>
          <cell r="C245" t="str">
            <v>A99M314-IN</v>
          </cell>
          <cell r="E245" t="str">
            <v>A99M314</v>
          </cell>
          <cell r="F245">
            <v>2000</v>
          </cell>
          <cell r="G245" t="str">
            <v>I</v>
          </cell>
          <cell r="H245" t="str">
            <v>IN</v>
          </cell>
          <cell r="U245">
            <v>100</v>
          </cell>
          <cell r="V245">
            <v>0</v>
          </cell>
          <cell r="W245">
            <v>0</v>
          </cell>
          <cell r="X245">
            <v>100</v>
          </cell>
          <cell r="Y245">
            <v>0</v>
          </cell>
          <cell r="Z245">
            <v>100</v>
          </cell>
        </row>
        <row r="246">
          <cell r="B246" t="str">
            <v>AD-981002-1</v>
          </cell>
          <cell r="C246" t="str">
            <v>981002-1-AD</v>
          </cell>
          <cell r="E246" t="str">
            <v>981002-1</v>
          </cell>
          <cell r="F246">
            <v>1999</v>
          </cell>
          <cell r="G246" t="str">
            <v>I</v>
          </cell>
          <cell r="H246" t="str">
            <v>AD</v>
          </cell>
          <cell r="U246">
            <v>100</v>
          </cell>
          <cell r="V246">
            <v>0</v>
          </cell>
          <cell r="W246">
            <v>0</v>
          </cell>
          <cell r="X246">
            <v>100</v>
          </cell>
          <cell r="Y246">
            <v>0</v>
          </cell>
          <cell r="Z246">
            <v>100</v>
          </cell>
        </row>
        <row r="247">
          <cell r="B247" t="str">
            <v>CO-981002-1</v>
          </cell>
          <cell r="C247" t="str">
            <v>981002-1-CO</v>
          </cell>
          <cell r="E247" t="str">
            <v>981002-1</v>
          </cell>
          <cell r="F247">
            <v>1999</v>
          </cell>
          <cell r="G247" t="str">
            <v>I</v>
          </cell>
          <cell r="H247" t="str">
            <v>CO</v>
          </cell>
          <cell r="U247">
            <v>100</v>
          </cell>
          <cell r="V247">
            <v>0</v>
          </cell>
          <cell r="W247">
            <v>0</v>
          </cell>
          <cell r="X247">
            <v>100</v>
          </cell>
          <cell r="Y247">
            <v>0</v>
          </cell>
          <cell r="Z247">
            <v>100</v>
          </cell>
        </row>
        <row r="248">
          <cell r="B248" t="str">
            <v>IN-981002-1</v>
          </cell>
          <cell r="C248" t="str">
            <v>981002-1-IN</v>
          </cell>
          <cell r="E248" t="str">
            <v>981002-1</v>
          </cell>
          <cell r="F248">
            <v>1999</v>
          </cell>
          <cell r="G248" t="str">
            <v>I</v>
          </cell>
          <cell r="H248" t="str">
            <v>IN</v>
          </cell>
          <cell r="U248">
            <v>100</v>
          </cell>
          <cell r="V248">
            <v>0</v>
          </cell>
          <cell r="W248">
            <v>0</v>
          </cell>
          <cell r="X248">
            <v>100</v>
          </cell>
          <cell r="Y248">
            <v>0</v>
          </cell>
          <cell r="Z248">
            <v>100</v>
          </cell>
        </row>
        <row r="249">
          <cell r="B249" t="str">
            <v>AD-981501-1</v>
          </cell>
          <cell r="C249" t="str">
            <v>981501-1-AD</v>
          </cell>
          <cell r="E249" t="str">
            <v>981501-1</v>
          </cell>
          <cell r="F249">
            <v>2000</v>
          </cell>
          <cell r="G249" t="str">
            <v>I</v>
          </cell>
          <cell r="H249" t="str">
            <v>AD</v>
          </cell>
          <cell r="U249">
            <v>100</v>
          </cell>
          <cell r="V249">
            <v>0</v>
          </cell>
          <cell r="W249">
            <v>0</v>
          </cell>
          <cell r="X249">
            <v>100</v>
          </cell>
          <cell r="Y249">
            <v>0</v>
          </cell>
          <cell r="Z249">
            <v>100</v>
          </cell>
        </row>
        <row r="250">
          <cell r="B250" t="str">
            <v>CO-981501-1</v>
          </cell>
          <cell r="C250" t="str">
            <v>981501-1-CO</v>
          </cell>
          <cell r="E250" t="str">
            <v>981501-1</v>
          </cell>
          <cell r="F250">
            <v>2000</v>
          </cell>
          <cell r="G250" t="str">
            <v>I</v>
          </cell>
          <cell r="H250" t="str">
            <v>CO</v>
          </cell>
          <cell r="U250">
            <v>100</v>
          </cell>
          <cell r="V250">
            <v>0</v>
          </cell>
          <cell r="W250">
            <v>0</v>
          </cell>
          <cell r="X250">
            <v>100</v>
          </cell>
          <cell r="Y250">
            <v>0</v>
          </cell>
          <cell r="Z250">
            <v>100</v>
          </cell>
        </row>
        <row r="251">
          <cell r="B251" t="str">
            <v>IN-981501-1</v>
          </cell>
          <cell r="C251" t="str">
            <v>981501-1-IN</v>
          </cell>
          <cell r="E251" t="str">
            <v>981501-1</v>
          </cell>
          <cell r="F251">
            <v>2000</v>
          </cell>
          <cell r="G251" t="str">
            <v>I</v>
          </cell>
          <cell r="H251" t="str">
            <v>IN</v>
          </cell>
          <cell r="U251">
            <v>100</v>
          </cell>
          <cell r="V251">
            <v>0</v>
          </cell>
          <cell r="W251">
            <v>0</v>
          </cell>
          <cell r="X251">
            <v>100</v>
          </cell>
          <cell r="Y251">
            <v>0</v>
          </cell>
          <cell r="Z251">
            <v>100</v>
          </cell>
        </row>
        <row r="252">
          <cell r="B252" t="str">
            <v>AD-981501-2</v>
          </cell>
          <cell r="C252" t="str">
            <v>981501-2-AD</v>
          </cell>
          <cell r="E252" t="str">
            <v>981501-2</v>
          </cell>
          <cell r="F252">
            <v>1999</v>
          </cell>
          <cell r="G252" t="str">
            <v>I</v>
          </cell>
          <cell r="H252" t="str">
            <v>AD</v>
          </cell>
          <cell r="U252">
            <v>100</v>
          </cell>
          <cell r="V252">
            <v>0</v>
          </cell>
          <cell r="W252">
            <v>0</v>
          </cell>
          <cell r="X252">
            <v>100</v>
          </cell>
          <cell r="Y252">
            <v>0</v>
          </cell>
          <cell r="Z252">
            <v>100</v>
          </cell>
        </row>
        <row r="253">
          <cell r="B253" t="str">
            <v>CO-981501-2</v>
          </cell>
          <cell r="C253" t="str">
            <v>981501-2-CO</v>
          </cell>
          <cell r="E253" t="str">
            <v>981501-2</v>
          </cell>
          <cell r="F253">
            <v>1999</v>
          </cell>
          <cell r="G253" t="str">
            <v>I</v>
          </cell>
          <cell r="H253" t="str">
            <v>CO</v>
          </cell>
          <cell r="U253">
            <v>100</v>
          </cell>
          <cell r="V253">
            <v>0</v>
          </cell>
          <cell r="W253">
            <v>0</v>
          </cell>
          <cell r="X253">
            <v>100</v>
          </cell>
          <cell r="Y253">
            <v>0</v>
          </cell>
          <cell r="Z253">
            <v>100</v>
          </cell>
        </row>
        <row r="254">
          <cell r="B254" t="str">
            <v>IN-981501-2</v>
          </cell>
          <cell r="C254" t="str">
            <v>981501-2-IN</v>
          </cell>
          <cell r="E254" t="str">
            <v>981501-2</v>
          </cell>
          <cell r="F254">
            <v>1999</v>
          </cell>
          <cell r="G254" t="str">
            <v>I</v>
          </cell>
          <cell r="H254" t="str">
            <v>IN</v>
          </cell>
          <cell r="U254">
            <v>100</v>
          </cell>
          <cell r="V254">
            <v>0</v>
          </cell>
          <cell r="W254">
            <v>0</v>
          </cell>
          <cell r="X254">
            <v>100</v>
          </cell>
          <cell r="Y254">
            <v>0</v>
          </cell>
          <cell r="Z254">
            <v>100</v>
          </cell>
        </row>
      </sheetData>
      <sheetData sheetId="3" refreshError="1">
        <row r="6">
          <cell r="B6" t="str">
            <v>AD-KE-930801</v>
          </cell>
          <cell r="C6" t="str">
            <v>AD-930801</v>
          </cell>
          <cell r="D6" t="str">
            <v>AD-KE</v>
          </cell>
          <cell r="E6" t="str">
            <v>PRI-AD-KE</v>
          </cell>
          <cell r="F6" t="str">
            <v>PRI-KE</v>
          </cell>
          <cell r="G6">
            <v>930801</v>
          </cell>
          <cell r="H6" t="str">
            <v>PRI</v>
          </cell>
          <cell r="I6">
            <v>1999</v>
          </cell>
          <cell r="J6" t="str">
            <v>P</v>
          </cell>
          <cell r="K6" t="str">
            <v>AD</v>
          </cell>
          <cell r="L6" t="str">
            <v>KE</v>
          </cell>
          <cell r="Z6">
            <v>0</v>
          </cell>
          <cell r="AB6">
            <v>0</v>
          </cell>
          <cell r="AC6">
            <v>0</v>
          </cell>
          <cell r="AD6">
            <v>0</v>
          </cell>
          <cell r="AE6">
            <v>0</v>
          </cell>
        </row>
        <row r="7">
          <cell r="B7" t="str">
            <v>AD-KN-930801</v>
          </cell>
          <cell r="C7" t="str">
            <v>AD-930801</v>
          </cell>
          <cell r="D7" t="str">
            <v>AD-KN</v>
          </cell>
          <cell r="E7" t="str">
            <v>PRI-AD-KN</v>
          </cell>
          <cell r="F7" t="str">
            <v>PRI-KN</v>
          </cell>
          <cell r="G7">
            <v>930801</v>
          </cell>
          <cell r="H7" t="str">
            <v>PRI</v>
          </cell>
          <cell r="I7">
            <v>1999</v>
          </cell>
          <cell r="J7" t="str">
            <v>P</v>
          </cell>
          <cell r="K7" t="str">
            <v>AD</v>
          </cell>
          <cell r="L7" t="str">
            <v>KN</v>
          </cell>
          <cell r="Z7">
            <v>0</v>
          </cell>
          <cell r="AB7">
            <v>0</v>
          </cell>
          <cell r="AC7">
            <v>0</v>
          </cell>
          <cell r="AD7">
            <v>0</v>
          </cell>
          <cell r="AE7">
            <v>0</v>
          </cell>
        </row>
        <row r="8">
          <cell r="B8" t="str">
            <v>CO-KE-930801</v>
          </cell>
          <cell r="C8" t="str">
            <v>CO-930801</v>
          </cell>
          <cell r="D8" t="str">
            <v>CO-KE</v>
          </cell>
          <cell r="E8" t="str">
            <v>PRI-CO-KE</v>
          </cell>
          <cell r="F8" t="str">
            <v>PRI-KE</v>
          </cell>
          <cell r="G8">
            <v>930801</v>
          </cell>
          <cell r="H8" t="str">
            <v>PRI</v>
          </cell>
          <cell r="I8">
            <v>1999</v>
          </cell>
          <cell r="J8" t="str">
            <v>P</v>
          </cell>
          <cell r="K8" t="str">
            <v>CO</v>
          </cell>
          <cell r="L8" t="str">
            <v>KE</v>
          </cell>
          <cell r="Z8">
            <v>0</v>
          </cell>
          <cell r="AB8">
            <v>0</v>
          </cell>
          <cell r="AC8">
            <v>0</v>
          </cell>
          <cell r="AD8">
            <v>0</v>
          </cell>
          <cell r="AE8">
            <v>0</v>
          </cell>
        </row>
        <row r="9">
          <cell r="B9" t="str">
            <v>CO-KN-930801</v>
          </cell>
          <cell r="C9" t="str">
            <v>CO-930801</v>
          </cell>
          <cell r="D9" t="str">
            <v>CO-KN</v>
          </cell>
          <cell r="E9" t="str">
            <v>PRI-CO-KN</v>
          </cell>
          <cell r="F9" t="str">
            <v>PRI-KN</v>
          </cell>
          <cell r="G9">
            <v>930801</v>
          </cell>
          <cell r="H9" t="str">
            <v>PRI</v>
          </cell>
          <cell r="I9">
            <v>1999</v>
          </cell>
          <cell r="J9" t="str">
            <v>P</v>
          </cell>
          <cell r="K9" t="str">
            <v>CO</v>
          </cell>
          <cell r="L9" t="str">
            <v>KN</v>
          </cell>
          <cell r="Z9">
            <v>0</v>
          </cell>
          <cell r="AB9">
            <v>0</v>
          </cell>
          <cell r="AC9">
            <v>0</v>
          </cell>
          <cell r="AD9">
            <v>0</v>
          </cell>
          <cell r="AE9">
            <v>0</v>
          </cell>
        </row>
        <row r="10">
          <cell r="B10" t="str">
            <v>IN-KE-930801</v>
          </cell>
          <cell r="C10" t="str">
            <v>IN-930801</v>
          </cell>
          <cell r="D10" t="str">
            <v>IN-KE</v>
          </cell>
          <cell r="E10" t="str">
            <v>PRI-IN-KE</v>
          </cell>
          <cell r="F10" t="str">
            <v>PRI-KE</v>
          </cell>
          <cell r="G10">
            <v>930801</v>
          </cell>
          <cell r="H10" t="str">
            <v>PRI</v>
          </cell>
          <cell r="I10">
            <v>1999</v>
          </cell>
          <cell r="J10" t="str">
            <v>P</v>
          </cell>
          <cell r="K10" t="str">
            <v>IN</v>
          </cell>
          <cell r="L10" t="str">
            <v>KE</v>
          </cell>
          <cell r="Z10">
            <v>0</v>
          </cell>
          <cell r="AB10">
            <v>0</v>
          </cell>
          <cell r="AC10">
            <v>0</v>
          </cell>
          <cell r="AD10">
            <v>0</v>
          </cell>
          <cell r="AE10">
            <v>0</v>
          </cell>
        </row>
        <row r="11">
          <cell r="B11" t="str">
            <v>IN-KN-930801</v>
          </cell>
          <cell r="C11" t="str">
            <v>IN-930801</v>
          </cell>
          <cell r="D11" t="str">
            <v>IN-KN</v>
          </cell>
          <cell r="E11" t="str">
            <v>PRI-IN-KN</v>
          </cell>
          <cell r="F11" t="str">
            <v>PRI-KN</v>
          </cell>
          <cell r="G11">
            <v>930801</v>
          </cell>
          <cell r="H11" t="str">
            <v>PRI</v>
          </cell>
          <cell r="I11">
            <v>1999</v>
          </cell>
          <cell r="J11" t="str">
            <v>P</v>
          </cell>
          <cell r="K11" t="str">
            <v>IN</v>
          </cell>
          <cell r="L11" t="str">
            <v>KN</v>
          </cell>
          <cell r="Z11">
            <v>0</v>
          </cell>
          <cell r="AB11">
            <v>0</v>
          </cell>
          <cell r="AC11">
            <v>0</v>
          </cell>
          <cell r="AD11">
            <v>0</v>
          </cell>
          <cell r="AE11">
            <v>0</v>
          </cell>
        </row>
        <row r="12">
          <cell r="B12" t="str">
            <v>AD-KE-940102</v>
          </cell>
          <cell r="C12" t="str">
            <v>AD-940102</v>
          </cell>
          <cell r="D12" t="str">
            <v>AD-KE</v>
          </cell>
          <cell r="E12" t="str">
            <v>PRI-AD-KE</v>
          </cell>
          <cell r="F12" t="str">
            <v>PRI-KE</v>
          </cell>
          <cell r="G12">
            <v>940102</v>
          </cell>
          <cell r="H12" t="str">
            <v>PRI</v>
          </cell>
          <cell r="I12">
            <v>2000</v>
          </cell>
          <cell r="J12" t="str">
            <v>P</v>
          </cell>
          <cell r="K12" t="str">
            <v>AD</v>
          </cell>
          <cell r="L12" t="str">
            <v>KE</v>
          </cell>
          <cell r="Z12">
            <v>0</v>
          </cell>
          <cell r="AB12">
            <v>0</v>
          </cell>
          <cell r="AC12">
            <v>0</v>
          </cell>
          <cell r="AD12">
            <v>0</v>
          </cell>
          <cell r="AE12">
            <v>0</v>
          </cell>
        </row>
        <row r="13">
          <cell r="B13" t="str">
            <v>AD-KN-940102</v>
          </cell>
          <cell r="C13" t="str">
            <v>AD-940102</v>
          </cell>
          <cell r="D13" t="str">
            <v>AD-KN</v>
          </cell>
          <cell r="E13" t="str">
            <v>PRI-AD-KN</v>
          </cell>
          <cell r="F13" t="str">
            <v>PRI-KN</v>
          </cell>
          <cell r="G13">
            <v>940102</v>
          </cell>
          <cell r="H13" t="str">
            <v>PRI</v>
          </cell>
          <cell r="I13">
            <v>2000</v>
          </cell>
          <cell r="J13" t="str">
            <v>P</v>
          </cell>
          <cell r="K13" t="str">
            <v>AD</v>
          </cell>
          <cell r="L13" t="str">
            <v>KN</v>
          </cell>
          <cell r="Z13">
            <v>0</v>
          </cell>
          <cell r="AB13">
            <v>0</v>
          </cell>
          <cell r="AC13">
            <v>0</v>
          </cell>
          <cell r="AD13">
            <v>0</v>
          </cell>
          <cell r="AE13">
            <v>0</v>
          </cell>
        </row>
        <row r="14">
          <cell r="B14" t="str">
            <v>CO-KE-940102</v>
          </cell>
          <cell r="C14" t="str">
            <v>CO-940102</v>
          </cell>
          <cell r="D14" t="str">
            <v>CO-KE</v>
          </cell>
          <cell r="E14" t="str">
            <v>PRI-CO-KE</v>
          </cell>
          <cell r="F14" t="str">
            <v>PRI-KE</v>
          </cell>
          <cell r="G14">
            <v>940102</v>
          </cell>
          <cell r="H14" t="str">
            <v>PRI</v>
          </cell>
          <cell r="I14">
            <v>2000</v>
          </cell>
          <cell r="J14" t="str">
            <v>P</v>
          </cell>
          <cell r="K14" t="str">
            <v>CO</v>
          </cell>
          <cell r="L14" t="str">
            <v>KE</v>
          </cell>
          <cell r="Z14">
            <v>0</v>
          </cell>
          <cell r="AB14">
            <v>0</v>
          </cell>
          <cell r="AC14">
            <v>0</v>
          </cell>
          <cell r="AD14">
            <v>0</v>
          </cell>
          <cell r="AE14">
            <v>0</v>
          </cell>
        </row>
        <row r="15">
          <cell r="B15" t="str">
            <v>CO-KN-940102</v>
          </cell>
          <cell r="C15" t="str">
            <v>CO-940102</v>
          </cell>
          <cell r="D15" t="str">
            <v>CO-KN</v>
          </cell>
          <cell r="E15" t="str">
            <v>PRI-CO-KN</v>
          </cell>
          <cell r="F15" t="str">
            <v>PRI-KN</v>
          </cell>
          <cell r="G15">
            <v>940102</v>
          </cell>
          <cell r="H15" t="str">
            <v>PRI</v>
          </cell>
          <cell r="I15">
            <v>2000</v>
          </cell>
          <cell r="J15" t="str">
            <v>P</v>
          </cell>
          <cell r="K15" t="str">
            <v>CO</v>
          </cell>
          <cell r="L15" t="str">
            <v>KN</v>
          </cell>
          <cell r="Z15">
            <v>0</v>
          </cell>
          <cell r="AB15">
            <v>0</v>
          </cell>
          <cell r="AC15">
            <v>0</v>
          </cell>
          <cell r="AD15">
            <v>0</v>
          </cell>
          <cell r="AE15">
            <v>0</v>
          </cell>
        </row>
        <row r="16">
          <cell r="B16" t="str">
            <v>IN-KE-940102</v>
          </cell>
          <cell r="C16" t="str">
            <v>IN-940102</v>
          </cell>
          <cell r="D16" t="str">
            <v>IN-KE</v>
          </cell>
          <cell r="E16" t="str">
            <v>PRI-IN-KE</v>
          </cell>
          <cell r="F16" t="str">
            <v>PRI-KE</v>
          </cell>
          <cell r="G16">
            <v>940102</v>
          </cell>
          <cell r="H16" t="str">
            <v>PRI</v>
          </cell>
          <cell r="I16">
            <v>2000</v>
          </cell>
          <cell r="J16" t="str">
            <v>P</v>
          </cell>
          <cell r="K16" t="str">
            <v>IN</v>
          </cell>
          <cell r="L16" t="str">
            <v>KE</v>
          </cell>
          <cell r="Z16">
            <v>0</v>
          </cell>
          <cell r="AB16">
            <v>0</v>
          </cell>
          <cell r="AC16">
            <v>0</v>
          </cell>
          <cell r="AD16">
            <v>0</v>
          </cell>
          <cell r="AE16">
            <v>0</v>
          </cell>
        </row>
        <row r="17">
          <cell r="B17" t="str">
            <v>IN-KN-940102</v>
          </cell>
          <cell r="C17" t="str">
            <v>IN-940102</v>
          </cell>
          <cell r="D17" t="str">
            <v>IN-KN</v>
          </cell>
          <cell r="E17" t="str">
            <v>PRI-IN-KN</v>
          </cell>
          <cell r="F17" t="str">
            <v>PRI-KN</v>
          </cell>
          <cell r="G17">
            <v>940102</v>
          </cell>
          <cell r="H17" t="str">
            <v>PRI</v>
          </cell>
          <cell r="I17">
            <v>2000</v>
          </cell>
          <cell r="J17" t="str">
            <v>P</v>
          </cell>
          <cell r="K17" t="str">
            <v>IN</v>
          </cell>
          <cell r="L17" t="str">
            <v>KN</v>
          </cell>
          <cell r="Z17">
            <v>0</v>
          </cell>
          <cell r="AB17">
            <v>0</v>
          </cell>
          <cell r="AC17">
            <v>0</v>
          </cell>
          <cell r="AD17">
            <v>0</v>
          </cell>
          <cell r="AE17">
            <v>0</v>
          </cell>
        </row>
        <row r="18">
          <cell r="B18" t="str">
            <v>AD-KE-940103</v>
          </cell>
          <cell r="C18" t="str">
            <v>AD-940103</v>
          </cell>
          <cell r="D18" t="str">
            <v>AD-KE</v>
          </cell>
          <cell r="E18" t="str">
            <v>PRI-AD-KE</v>
          </cell>
          <cell r="F18" t="str">
            <v>PRI-KE</v>
          </cell>
          <cell r="G18">
            <v>940103</v>
          </cell>
          <cell r="H18" t="str">
            <v>PRI</v>
          </cell>
          <cell r="I18">
            <v>1999</v>
          </cell>
          <cell r="J18" t="str">
            <v>P</v>
          </cell>
          <cell r="K18" t="str">
            <v>AD</v>
          </cell>
          <cell r="L18" t="str">
            <v>KE</v>
          </cell>
          <cell r="Z18">
            <v>0</v>
          </cell>
          <cell r="AB18">
            <v>0</v>
          </cell>
          <cell r="AC18">
            <v>0</v>
          </cell>
          <cell r="AD18">
            <v>0</v>
          </cell>
          <cell r="AE18">
            <v>0</v>
          </cell>
        </row>
        <row r="19">
          <cell r="B19" t="str">
            <v>AD-KN-940103</v>
          </cell>
          <cell r="C19" t="str">
            <v>AD-940103</v>
          </cell>
          <cell r="D19" t="str">
            <v>AD-KN</v>
          </cell>
          <cell r="E19" t="str">
            <v>PRI-AD-KN</v>
          </cell>
          <cell r="F19" t="str">
            <v>PRI-KN</v>
          </cell>
          <cell r="G19">
            <v>940103</v>
          </cell>
          <cell r="H19" t="str">
            <v>PRI</v>
          </cell>
          <cell r="I19">
            <v>1999</v>
          </cell>
          <cell r="J19" t="str">
            <v>P</v>
          </cell>
          <cell r="K19" t="str">
            <v>AD</v>
          </cell>
          <cell r="L19" t="str">
            <v>KN</v>
          </cell>
          <cell r="Z19">
            <v>0</v>
          </cell>
          <cell r="AB19">
            <v>0</v>
          </cell>
          <cell r="AC19">
            <v>0</v>
          </cell>
          <cell r="AD19">
            <v>0</v>
          </cell>
          <cell r="AE19">
            <v>0</v>
          </cell>
        </row>
        <row r="20">
          <cell r="B20" t="str">
            <v>CO-KE-940103</v>
          </cell>
          <cell r="C20" t="str">
            <v>CO-940103</v>
          </cell>
          <cell r="D20" t="str">
            <v>CO-KE</v>
          </cell>
          <cell r="E20" t="str">
            <v>PRI-CO-KE</v>
          </cell>
          <cell r="F20" t="str">
            <v>PRI-KE</v>
          </cell>
          <cell r="G20">
            <v>940103</v>
          </cell>
          <cell r="H20" t="str">
            <v>PRI</v>
          </cell>
          <cell r="I20">
            <v>1999</v>
          </cell>
          <cell r="J20" t="str">
            <v>P</v>
          </cell>
          <cell r="K20" t="str">
            <v>CO</v>
          </cell>
          <cell r="L20" t="str">
            <v>KE</v>
          </cell>
          <cell r="Z20">
            <v>0</v>
          </cell>
          <cell r="AB20">
            <v>0</v>
          </cell>
          <cell r="AC20">
            <v>0</v>
          </cell>
          <cell r="AD20">
            <v>0</v>
          </cell>
          <cell r="AE20">
            <v>0</v>
          </cell>
        </row>
        <row r="21">
          <cell r="B21" t="str">
            <v>CO-KN-940103</v>
          </cell>
          <cell r="C21" t="str">
            <v>CO-940103</v>
          </cell>
          <cell r="D21" t="str">
            <v>CO-KN</v>
          </cell>
          <cell r="E21" t="str">
            <v>PRI-CO-KN</v>
          </cell>
          <cell r="F21" t="str">
            <v>PRI-KN</v>
          </cell>
          <cell r="G21">
            <v>940103</v>
          </cell>
          <cell r="H21" t="str">
            <v>PRI</v>
          </cell>
          <cell r="I21">
            <v>1999</v>
          </cell>
          <cell r="J21" t="str">
            <v>P</v>
          </cell>
          <cell r="K21" t="str">
            <v>CO</v>
          </cell>
          <cell r="L21" t="str">
            <v>KN</v>
          </cell>
          <cell r="Z21">
            <v>0</v>
          </cell>
          <cell r="AB21">
            <v>0</v>
          </cell>
          <cell r="AC21">
            <v>0</v>
          </cell>
          <cell r="AD21">
            <v>0</v>
          </cell>
          <cell r="AE21">
            <v>0</v>
          </cell>
        </row>
        <row r="22">
          <cell r="B22" t="str">
            <v>IN-KE-940103</v>
          </cell>
          <cell r="C22" t="str">
            <v>IN-940103</v>
          </cell>
          <cell r="D22" t="str">
            <v>IN-KE</v>
          </cell>
          <cell r="E22" t="str">
            <v>PRI-IN-KE</v>
          </cell>
          <cell r="F22" t="str">
            <v>PRI-KE</v>
          </cell>
          <cell r="G22">
            <v>940103</v>
          </cell>
          <cell r="H22" t="str">
            <v>PRI</v>
          </cell>
          <cell r="I22">
            <v>1999</v>
          </cell>
          <cell r="J22" t="str">
            <v>P</v>
          </cell>
          <cell r="K22" t="str">
            <v>IN</v>
          </cell>
          <cell r="L22" t="str">
            <v>KE</v>
          </cell>
          <cell r="Z22">
            <v>0</v>
          </cell>
          <cell r="AB22">
            <v>0</v>
          </cell>
          <cell r="AC22">
            <v>0</v>
          </cell>
          <cell r="AD22">
            <v>0</v>
          </cell>
          <cell r="AE22">
            <v>0</v>
          </cell>
        </row>
        <row r="23">
          <cell r="B23" t="str">
            <v>IN-KN-940103</v>
          </cell>
          <cell r="C23" t="str">
            <v>IN-940103</v>
          </cell>
          <cell r="D23" t="str">
            <v>IN-KN</v>
          </cell>
          <cell r="E23" t="str">
            <v>PRI-IN-KN</v>
          </cell>
          <cell r="F23" t="str">
            <v>PRI-KN</v>
          </cell>
          <cell r="G23">
            <v>940103</v>
          </cell>
          <cell r="H23" t="str">
            <v>PRI</v>
          </cell>
          <cell r="I23">
            <v>1999</v>
          </cell>
          <cell r="J23" t="str">
            <v>P</v>
          </cell>
          <cell r="K23" t="str">
            <v>IN</v>
          </cell>
          <cell r="L23" t="str">
            <v>KN</v>
          </cell>
          <cell r="Z23">
            <v>0</v>
          </cell>
          <cell r="AB23">
            <v>0</v>
          </cell>
          <cell r="AC23">
            <v>0</v>
          </cell>
          <cell r="AD23">
            <v>0</v>
          </cell>
          <cell r="AE23">
            <v>0</v>
          </cell>
        </row>
        <row r="24">
          <cell r="B24" t="str">
            <v>AD-KE-950807</v>
          </cell>
          <cell r="C24" t="str">
            <v>AD-950807</v>
          </cell>
          <cell r="D24" t="str">
            <v>AD-KE</v>
          </cell>
          <cell r="E24" t="str">
            <v>PRI-AD-KE</v>
          </cell>
          <cell r="F24" t="str">
            <v>PRI-KE</v>
          </cell>
          <cell r="G24">
            <v>950807</v>
          </cell>
          <cell r="H24" t="str">
            <v>PRI</v>
          </cell>
          <cell r="I24">
            <v>1999</v>
          </cell>
          <cell r="J24" t="str">
            <v>P</v>
          </cell>
          <cell r="K24" t="str">
            <v>AD</v>
          </cell>
          <cell r="L24" t="str">
            <v>KE</v>
          </cell>
          <cell r="Z24">
            <v>0</v>
          </cell>
          <cell r="AB24">
            <v>0</v>
          </cell>
          <cell r="AC24">
            <v>0</v>
          </cell>
          <cell r="AD24">
            <v>0</v>
          </cell>
          <cell r="AE24">
            <v>0</v>
          </cell>
        </row>
        <row r="25">
          <cell r="B25" t="str">
            <v>AD-KN-950807</v>
          </cell>
          <cell r="C25" t="str">
            <v>AD-950807</v>
          </cell>
          <cell r="D25" t="str">
            <v>AD-KN</v>
          </cell>
          <cell r="E25" t="str">
            <v>PRI-AD-KN</v>
          </cell>
          <cell r="F25" t="str">
            <v>PRI-KN</v>
          </cell>
          <cell r="G25">
            <v>950807</v>
          </cell>
          <cell r="H25" t="str">
            <v>PRI</v>
          </cell>
          <cell r="I25">
            <v>1999</v>
          </cell>
          <cell r="J25" t="str">
            <v>P</v>
          </cell>
          <cell r="K25" t="str">
            <v>AD</v>
          </cell>
          <cell r="L25" t="str">
            <v>KN</v>
          </cell>
          <cell r="Z25">
            <v>0</v>
          </cell>
          <cell r="AB25">
            <v>0</v>
          </cell>
          <cell r="AC25">
            <v>0</v>
          </cell>
          <cell r="AD25">
            <v>0</v>
          </cell>
          <cell r="AE25">
            <v>0</v>
          </cell>
        </row>
        <row r="26">
          <cell r="B26" t="str">
            <v>CO-KE-950807</v>
          </cell>
          <cell r="C26" t="str">
            <v>CO-950807</v>
          </cell>
          <cell r="D26" t="str">
            <v>CO-KE</v>
          </cell>
          <cell r="E26" t="str">
            <v>PRI-CO-KE</v>
          </cell>
          <cell r="F26" t="str">
            <v>PRI-KE</v>
          </cell>
          <cell r="G26">
            <v>950807</v>
          </cell>
          <cell r="H26" t="str">
            <v>PRI</v>
          </cell>
          <cell r="I26">
            <v>1999</v>
          </cell>
          <cell r="J26" t="str">
            <v>P</v>
          </cell>
          <cell r="K26" t="str">
            <v>CO</v>
          </cell>
          <cell r="L26" t="str">
            <v>KE</v>
          </cell>
          <cell r="Z26">
            <v>0</v>
          </cell>
          <cell r="AB26">
            <v>0</v>
          </cell>
          <cell r="AC26">
            <v>0</v>
          </cell>
          <cell r="AD26">
            <v>0</v>
          </cell>
          <cell r="AE26">
            <v>0</v>
          </cell>
        </row>
        <row r="27">
          <cell r="B27" t="str">
            <v>CO-KN-950807</v>
          </cell>
          <cell r="C27" t="str">
            <v>CO-950807</v>
          </cell>
          <cell r="D27" t="str">
            <v>CO-KN</v>
          </cell>
          <cell r="E27" t="str">
            <v>PRI-CO-KN</v>
          </cell>
          <cell r="F27" t="str">
            <v>PRI-KN</v>
          </cell>
          <cell r="G27">
            <v>950807</v>
          </cell>
          <cell r="H27" t="str">
            <v>PRI</v>
          </cell>
          <cell r="I27">
            <v>1999</v>
          </cell>
          <cell r="J27" t="str">
            <v>P</v>
          </cell>
          <cell r="K27" t="str">
            <v>CO</v>
          </cell>
          <cell r="L27" t="str">
            <v>KN</v>
          </cell>
          <cell r="Z27">
            <v>0</v>
          </cell>
          <cell r="AB27">
            <v>0</v>
          </cell>
          <cell r="AC27">
            <v>0</v>
          </cell>
          <cell r="AD27">
            <v>0</v>
          </cell>
          <cell r="AE27">
            <v>0</v>
          </cell>
        </row>
        <row r="28">
          <cell r="B28" t="str">
            <v>IN-KE-950807</v>
          </cell>
          <cell r="C28" t="str">
            <v>IN-950807</v>
          </cell>
          <cell r="D28" t="str">
            <v>IN-KE</v>
          </cell>
          <cell r="E28" t="str">
            <v>PRI-IN-KE</v>
          </cell>
          <cell r="F28" t="str">
            <v>PRI-KE</v>
          </cell>
          <cell r="G28">
            <v>950807</v>
          </cell>
          <cell r="H28" t="str">
            <v>PRI</v>
          </cell>
          <cell r="I28">
            <v>1999</v>
          </cell>
          <cell r="J28" t="str">
            <v>P</v>
          </cell>
          <cell r="K28" t="str">
            <v>IN</v>
          </cell>
          <cell r="L28" t="str">
            <v>KE</v>
          </cell>
          <cell r="Z28">
            <v>0</v>
          </cell>
          <cell r="AB28">
            <v>0</v>
          </cell>
          <cell r="AC28">
            <v>0</v>
          </cell>
          <cell r="AD28">
            <v>0</v>
          </cell>
          <cell r="AE28">
            <v>0</v>
          </cell>
        </row>
        <row r="29">
          <cell r="B29" t="str">
            <v>IN-KN-950807</v>
          </cell>
          <cell r="C29" t="str">
            <v>IN-950807</v>
          </cell>
          <cell r="D29" t="str">
            <v>IN-KN</v>
          </cell>
          <cell r="E29" t="str">
            <v>PRI-IN-KN</v>
          </cell>
          <cell r="F29" t="str">
            <v>PRI-KN</v>
          </cell>
          <cell r="G29">
            <v>950807</v>
          </cell>
          <cell r="H29" t="str">
            <v>PRI</v>
          </cell>
          <cell r="I29">
            <v>1999</v>
          </cell>
          <cell r="J29" t="str">
            <v>P</v>
          </cell>
          <cell r="K29" t="str">
            <v>IN</v>
          </cell>
          <cell r="L29" t="str">
            <v>KN</v>
          </cell>
          <cell r="Z29">
            <v>0</v>
          </cell>
          <cell r="AB29">
            <v>0</v>
          </cell>
          <cell r="AC29">
            <v>0</v>
          </cell>
          <cell r="AD29">
            <v>0</v>
          </cell>
          <cell r="AE29">
            <v>0</v>
          </cell>
        </row>
        <row r="30">
          <cell r="B30" t="str">
            <v>AD-KE-961001</v>
          </cell>
          <cell r="C30" t="str">
            <v>AD-961001</v>
          </cell>
          <cell r="D30" t="str">
            <v>AD-KE</v>
          </cell>
          <cell r="E30" t="str">
            <v>PRI-AD-KE</v>
          </cell>
          <cell r="F30" t="str">
            <v>PRI-KE</v>
          </cell>
          <cell r="G30">
            <v>961001</v>
          </cell>
          <cell r="H30" t="str">
            <v>PRI</v>
          </cell>
          <cell r="I30">
            <v>2000</v>
          </cell>
          <cell r="J30" t="str">
            <v>P</v>
          </cell>
          <cell r="K30" t="str">
            <v>AD</v>
          </cell>
          <cell r="L30" t="str">
            <v>KE</v>
          </cell>
          <cell r="Z30">
            <v>0</v>
          </cell>
          <cell r="AB30">
            <v>0</v>
          </cell>
          <cell r="AC30">
            <v>0</v>
          </cell>
          <cell r="AD30">
            <v>0</v>
          </cell>
          <cell r="AE30">
            <v>0</v>
          </cell>
        </row>
        <row r="31">
          <cell r="B31" t="str">
            <v>AD-KN-961001</v>
          </cell>
          <cell r="C31" t="str">
            <v>AD-961001</v>
          </cell>
          <cell r="D31" t="str">
            <v>AD-KN</v>
          </cell>
          <cell r="E31" t="str">
            <v>PRI-AD-KN</v>
          </cell>
          <cell r="F31" t="str">
            <v>PRI-KN</v>
          </cell>
          <cell r="G31">
            <v>961001</v>
          </cell>
          <cell r="H31" t="str">
            <v>PRI</v>
          </cell>
          <cell r="I31">
            <v>2000</v>
          </cell>
          <cell r="J31" t="str">
            <v>P</v>
          </cell>
          <cell r="K31" t="str">
            <v>AD</v>
          </cell>
          <cell r="L31" t="str">
            <v>KN</v>
          </cell>
          <cell r="Z31">
            <v>0</v>
          </cell>
          <cell r="AB31">
            <v>0</v>
          </cell>
          <cell r="AC31">
            <v>0</v>
          </cell>
          <cell r="AD31">
            <v>0</v>
          </cell>
          <cell r="AE31">
            <v>0</v>
          </cell>
        </row>
        <row r="32">
          <cell r="B32" t="str">
            <v>CO-KE-961001</v>
          </cell>
          <cell r="C32" t="str">
            <v>CO-961001</v>
          </cell>
          <cell r="D32" t="str">
            <v>CO-KE</v>
          </cell>
          <cell r="E32" t="str">
            <v>PRI-CO-KE</v>
          </cell>
          <cell r="F32" t="str">
            <v>PRI-KE</v>
          </cell>
          <cell r="G32">
            <v>961001</v>
          </cell>
          <cell r="H32" t="str">
            <v>PRI</v>
          </cell>
          <cell r="I32">
            <v>2000</v>
          </cell>
          <cell r="J32" t="str">
            <v>P</v>
          </cell>
          <cell r="K32" t="str">
            <v>CO</v>
          </cell>
          <cell r="L32" t="str">
            <v>KE</v>
          </cell>
          <cell r="Z32">
            <v>0</v>
          </cell>
          <cell r="AB32">
            <v>0</v>
          </cell>
          <cell r="AC32">
            <v>0</v>
          </cell>
          <cell r="AD32">
            <v>0</v>
          </cell>
          <cell r="AE32">
            <v>0</v>
          </cell>
        </row>
        <row r="33">
          <cell r="B33" t="str">
            <v>CO-KN-961001</v>
          </cell>
          <cell r="C33" t="str">
            <v>CO-961001</v>
          </cell>
          <cell r="D33" t="str">
            <v>CO-KN</v>
          </cell>
          <cell r="E33" t="str">
            <v>PRI-CO-KN</v>
          </cell>
          <cell r="F33" t="str">
            <v>PRI-KN</v>
          </cell>
          <cell r="G33">
            <v>961001</v>
          </cell>
          <cell r="H33" t="str">
            <v>PRI</v>
          </cell>
          <cell r="I33">
            <v>2000</v>
          </cell>
          <cell r="J33" t="str">
            <v>P</v>
          </cell>
          <cell r="K33" t="str">
            <v>CO</v>
          </cell>
          <cell r="L33" t="str">
            <v>KN</v>
          </cell>
          <cell r="Z33">
            <v>0</v>
          </cell>
          <cell r="AB33">
            <v>0</v>
          </cell>
          <cell r="AC33">
            <v>0</v>
          </cell>
          <cell r="AD33">
            <v>0</v>
          </cell>
          <cell r="AE33">
            <v>0</v>
          </cell>
        </row>
        <row r="34">
          <cell r="B34" t="str">
            <v>IN-KE-961001</v>
          </cell>
          <cell r="C34" t="str">
            <v>IN-961001</v>
          </cell>
          <cell r="D34" t="str">
            <v>IN-KE</v>
          </cell>
          <cell r="E34" t="str">
            <v>PRI-IN-KE</v>
          </cell>
          <cell r="F34" t="str">
            <v>PRI-KE</v>
          </cell>
          <cell r="G34">
            <v>961001</v>
          </cell>
          <cell r="H34" t="str">
            <v>PRI</v>
          </cell>
          <cell r="I34">
            <v>2000</v>
          </cell>
          <cell r="J34" t="str">
            <v>P</v>
          </cell>
          <cell r="K34" t="str">
            <v>IN</v>
          </cell>
          <cell r="L34" t="str">
            <v>KE</v>
          </cell>
          <cell r="Z34">
            <v>0</v>
          </cell>
          <cell r="AB34">
            <v>0</v>
          </cell>
          <cell r="AC34">
            <v>0</v>
          </cell>
          <cell r="AD34">
            <v>0</v>
          </cell>
          <cell r="AE34">
            <v>0</v>
          </cell>
        </row>
        <row r="35">
          <cell r="B35" t="str">
            <v>IN-KN-961001</v>
          </cell>
          <cell r="C35" t="str">
            <v>IN-961001</v>
          </cell>
          <cell r="D35" t="str">
            <v>IN-KN</v>
          </cell>
          <cell r="E35" t="str">
            <v>PRI-IN-KN</v>
          </cell>
          <cell r="F35" t="str">
            <v>PRI-KN</v>
          </cell>
          <cell r="G35">
            <v>961001</v>
          </cell>
          <cell r="H35" t="str">
            <v>PRI</v>
          </cell>
          <cell r="I35">
            <v>2000</v>
          </cell>
          <cell r="J35" t="str">
            <v>P</v>
          </cell>
          <cell r="K35" t="str">
            <v>IN</v>
          </cell>
          <cell r="L35" t="str">
            <v>KN</v>
          </cell>
          <cell r="Z35">
            <v>0</v>
          </cell>
          <cell r="AB35">
            <v>0</v>
          </cell>
          <cell r="AC35">
            <v>0</v>
          </cell>
          <cell r="AD35">
            <v>0</v>
          </cell>
          <cell r="AE35">
            <v>0</v>
          </cell>
        </row>
        <row r="36">
          <cell r="B36" t="str">
            <v>AD-KE-970805</v>
          </cell>
          <cell r="C36" t="str">
            <v>AD-970805</v>
          </cell>
          <cell r="D36" t="str">
            <v>AD-KE</v>
          </cell>
          <cell r="E36" t="str">
            <v>OTR-AD-KE</v>
          </cell>
          <cell r="F36" t="str">
            <v>OTR-KE</v>
          </cell>
          <cell r="G36">
            <v>970805</v>
          </cell>
          <cell r="H36" t="str">
            <v>OTR</v>
          </cell>
          <cell r="I36">
            <v>1999</v>
          </cell>
          <cell r="J36" t="str">
            <v>P</v>
          </cell>
          <cell r="K36" t="str">
            <v>AD</v>
          </cell>
          <cell r="L36" t="str">
            <v>KE</v>
          </cell>
          <cell r="Z36">
            <v>0</v>
          </cell>
          <cell r="AB36">
            <v>0</v>
          </cell>
          <cell r="AC36">
            <v>0</v>
          </cell>
          <cell r="AD36">
            <v>0</v>
          </cell>
          <cell r="AE36">
            <v>0</v>
          </cell>
        </row>
        <row r="37">
          <cell r="B37" t="str">
            <v>AD-KN-970805</v>
          </cell>
          <cell r="C37" t="str">
            <v>AD-970805</v>
          </cell>
          <cell r="D37" t="str">
            <v>AD-KN</v>
          </cell>
          <cell r="E37" t="str">
            <v>OTR-AD-KN</v>
          </cell>
          <cell r="F37" t="str">
            <v>OTR-KN</v>
          </cell>
          <cell r="G37">
            <v>970805</v>
          </cell>
          <cell r="H37" t="str">
            <v>OTR</v>
          </cell>
          <cell r="I37">
            <v>1999</v>
          </cell>
          <cell r="J37" t="str">
            <v>P</v>
          </cell>
          <cell r="K37" t="str">
            <v>AD</v>
          </cell>
          <cell r="L37" t="str">
            <v>KN</v>
          </cell>
          <cell r="Z37">
            <v>0</v>
          </cell>
          <cell r="AB37">
            <v>0</v>
          </cell>
          <cell r="AC37">
            <v>0</v>
          </cell>
          <cell r="AD37">
            <v>0</v>
          </cell>
          <cell r="AE37">
            <v>0</v>
          </cell>
        </row>
        <row r="38">
          <cell r="B38" t="str">
            <v>CO-KE-970805</v>
          </cell>
          <cell r="C38" t="str">
            <v>CO-970805</v>
          </cell>
          <cell r="D38" t="str">
            <v>CO-KE</v>
          </cell>
          <cell r="E38" t="str">
            <v>OTR-CO-KE</v>
          </cell>
          <cell r="F38" t="str">
            <v>OTR-KE</v>
          </cell>
          <cell r="G38">
            <v>970805</v>
          </cell>
          <cell r="H38" t="str">
            <v>OTR</v>
          </cell>
          <cell r="I38">
            <v>1999</v>
          </cell>
          <cell r="J38" t="str">
            <v>P</v>
          </cell>
          <cell r="K38" t="str">
            <v>CO</v>
          </cell>
          <cell r="L38" t="str">
            <v>KE</v>
          </cell>
          <cell r="Z38">
            <v>0</v>
          </cell>
          <cell r="AB38">
            <v>0</v>
          </cell>
          <cell r="AC38">
            <v>0</v>
          </cell>
          <cell r="AD38">
            <v>0</v>
          </cell>
          <cell r="AE38">
            <v>0</v>
          </cell>
        </row>
        <row r="39">
          <cell r="B39" t="str">
            <v>CO-KN-970805</v>
          </cell>
          <cell r="C39" t="str">
            <v>CO-970805</v>
          </cell>
          <cell r="D39" t="str">
            <v>CO-KN</v>
          </cell>
          <cell r="E39" t="str">
            <v>OTR-CO-KN</v>
          </cell>
          <cell r="F39" t="str">
            <v>OTR-KN</v>
          </cell>
          <cell r="G39">
            <v>970805</v>
          </cell>
          <cell r="H39" t="str">
            <v>OTR</v>
          </cell>
          <cell r="I39">
            <v>1999</v>
          </cell>
          <cell r="J39" t="str">
            <v>P</v>
          </cell>
          <cell r="K39" t="str">
            <v>CO</v>
          </cell>
          <cell r="L39" t="str">
            <v>KN</v>
          </cell>
          <cell r="Z39">
            <v>0</v>
          </cell>
          <cell r="AB39">
            <v>0</v>
          </cell>
          <cell r="AC39">
            <v>0</v>
          </cell>
          <cell r="AD39">
            <v>0</v>
          </cell>
          <cell r="AE39">
            <v>0</v>
          </cell>
        </row>
        <row r="40">
          <cell r="B40" t="str">
            <v>IN-KE-970805</v>
          </cell>
          <cell r="C40" t="str">
            <v>IN-970805</v>
          </cell>
          <cell r="D40" t="str">
            <v>IN-KE</v>
          </cell>
          <cell r="E40" t="str">
            <v>OTR-IN-KE</v>
          </cell>
          <cell r="F40" t="str">
            <v>OTR-KE</v>
          </cell>
          <cell r="G40">
            <v>970805</v>
          </cell>
          <cell r="H40" t="str">
            <v>OTR</v>
          </cell>
          <cell r="I40">
            <v>1999</v>
          </cell>
          <cell r="J40" t="str">
            <v>P</v>
          </cell>
          <cell r="K40" t="str">
            <v>IN</v>
          </cell>
          <cell r="L40" t="str">
            <v>KE</v>
          </cell>
          <cell r="Z40">
            <v>0</v>
          </cell>
          <cell r="AB40">
            <v>0</v>
          </cell>
          <cell r="AC40">
            <v>0</v>
          </cell>
          <cell r="AD40">
            <v>0</v>
          </cell>
          <cell r="AE40">
            <v>0</v>
          </cell>
        </row>
        <row r="41">
          <cell r="B41" t="str">
            <v>IN-KN-970805</v>
          </cell>
          <cell r="C41" t="str">
            <v>IN-970805</v>
          </cell>
          <cell r="D41" t="str">
            <v>IN-KN</v>
          </cell>
          <cell r="E41" t="str">
            <v>OTR-IN-KN</v>
          </cell>
          <cell r="F41" t="str">
            <v>OTR-KN</v>
          </cell>
          <cell r="G41">
            <v>970805</v>
          </cell>
          <cell r="H41" t="str">
            <v>OTR</v>
          </cell>
          <cell r="I41">
            <v>1999</v>
          </cell>
          <cell r="J41" t="str">
            <v>P</v>
          </cell>
          <cell r="K41" t="str">
            <v>IN</v>
          </cell>
          <cell r="L41" t="str">
            <v>KN</v>
          </cell>
          <cell r="Z41">
            <v>0</v>
          </cell>
          <cell r="AB41">
            <v>0</v>
          </cell>
          <cell r="AC41">
            <v>0</v>
          </cell>
          <cell r="AD41">
            <v>0</v>
          </cell>
          <cell r="AE41">
            <v>0</v>
          </cell>
        </row>
        <row r="42">
          <cell r="B42" t="str">
            <v>AD-KE-980101</v>
          </cell>
          <cell r="C42" t="str">
            <v>AD-980101</v>
          </cell>
          <cell r="D42" t="str">
            <v>AD-KE</v>
          </cell>
          <cell r="E42" t="str">
            <v>PRI-AD-KE</v>
          </cell>
          <cell r="F42" t="str">
            <v>PRI-KE</v>
          </cell>
          <cell r="G42">
            <v>980101</v>
          </cell>
          <cell r="H42" t="str">
            <v>PRI</v>
          </cell>
          <cell r="I42">
            <v>2000</v>
          </cell>
          <cell r="J42" t="str">
            <v>P</v>
          </cell>
          <cell r="K42" t="str">
            <v>AD</v>
          </cell>
          <cell r="L42" t="str">
            <v>KE</v>
          </cell>
          <cell r="Z42">
            <v>0</v>
          </cell>
          <cell r="AB42">
            <v>0</v>
          </cell>
          <cell r="AC42">
            <v>0</v>
          </cell>
          <cell r="AD42">
            <v>0</v>
          </cell>
          <cell r="AE42">
            <v>0</v>
          </cell>
        </row>
        <row r="43">
          <cell r="B43" t="str">
            <v>AD-KN-980101</v>
          </cell>
          <cell r="C43" t="str">
            <v>AD-980101</v>
          </cell>
          <cell r="D43" t="str">
            <v>AD-KN</v>
          </cell>
          <cell r="E43" t="str">
            <v>PRI-AD-KN</v>
          </cell>
          <cell r="F43" t="str">
            <v>PRI-KN</v>
          </cell>
          <cell r="G43">
            <v>980101</v>
          </cell>
          <cell r="H43" t="str">
            <v>PRI</v>
          </cell>
          <cell r="I43">
            <v>2000</v>
          </cell>
          <cell r="J43" t="str">
            <v>P</v>
          </cell>
          <cell r="K43" t="str">
            <v>AD</v>
          </cell>
          <cell r="L43" t="str">
            <v>KN</v>
          </cell>
          <cell r="Z43">
            <v>0</v>
          </cell>
          <cell r="AB43">
            <v>0</v>
          </cell>
          <cell r="AC43">
            <v>0</v>
          </cell>
          <cell r="AD43">
            <v>0</v>
          </cell>
          <cell r="AE43">
            <v>0</v>
          </cell>
        </row>
        <row r="44">
          <cell r="B44" t="str">
            <v>CO-KE-980101</v>
          </cell>
          <cell r="C44" t="str">
            <v>CO-980101</v>
          </cell>
          <cell r="D44" t="str">
            <v>CO-KE</v>
          </cell>
          <cell r="E44" t="str">
            <v>PRI-CO-KE</v>
          </cell>
          <cell r="F44" t="str">
            <v>PRI-KE</v>
          </cell>
          <cell r="G44">
            <v>980101</v>
          </cell>
          <cell r="H44" t="str">
            <v>PRI</v>
          </cell>
          <cell r="I44">
            <v>2000</v>
          </cell>
          <cell r="J44" t="str">
            <v>P</v>
          </cell>
          <cell r="K44" t="str">
            <v>CO</v>
          </cell>
          <cell r="L44" t="str">
            <v>KE</v>
          </cell>
          <cell r="Z44">
            <v>0</v>
          </cell>
          <cell r="AB44">
            <v>0</v>
          </cell>
          <cell r="AC44">
            <v>0</v>
          </cell>
          <cell r="AD44">
            <v>0</v>
          </cell>
          <cell r="AE44">
            <v>0</v>
          </cell>
        </row>
        <row r="45">
          <cell r="B45" t="str">
            <v>CO-KN-980101</v>
          </cell>
          <cell r="C45" t="str">
            <v>CO-980101</v>
          </cell>
          <cell r="D45" t="str">
            <v>CO-KN</v>
          </cell>
          <cell r="E45" t="str">
            <v>PRI-CO-KN</v>
          </cell>
          <cell r="F45" t="str">
            <v>PRI-KN</v>
          </cell>
          <cell r="G45">
            <v>980101</v>
          </cell>
          <cell r="H45" t="str">
            <v>PRI</v>
          </cell>
          <cell r="I45">
            <v>2000</v>
          </cell>
          <cell r="J45" t="str">
            <v>P</v>
          </cell>
          <cell r="K45" t="str">
            <v>CO</v>
          </cell>
          <cell r="L45" t="str">
            <v>KN</v>
          </cell>
          <cell r="Z45">
            <v>0</v>
          </cell>
          <cell r="AB45">
            <v>0</v>
          </cell>
          <cell r="AC45">
            <v>0</v>
          </cell>
          <cell r="AD45">
            <v>0</v>
          </cell>
          <cell r="AE45">
            <v>0</v>
          </cell>
        </row>
        <row r="46">
          <cell r="B46" t="str">
            <v>IN-KE-980101</v>
          </cell>
          <cell r="C46" t="str">
            <v>IN-980101</v>
          </cell>
          <cell r="D46" t="str">
            <v>IN-KE</v>
          </cell>
          <cell r="E46" t="str">
            <v>PRI-IN-KE</v>
          </cell>
          <cell r="F46" t="str">
            <v>PRI-KE</v>
          </cell>
          <cell r="G46">
            <v>980101</v>
          </cell>
          <cell r="H46" t="str">
            <v>PRI</v>
          </cell>
          <cell r="I46">
            <v>2000</v>
          </cell>
          <cell r="J46" t="str">
            <v>P</v>
          </cell>
          <cell r="K46" t="str">
            <v>IN</v>
          </cell>
          <cell r="L46" t="str">
            <v>KE</v>
          </cell>
          <cell r="Z46">
            <v>0</v>
          </cell>
          <cell r="AB46">
            <v>0</v>
          </cell>
          <cell r="AC46">
            <v>0</v>
          </cell>
          <cell r="AD46">
            <v>0</v>
          </cell>
          <cell r="AE46">
            <v>0</v>
          </cell>
        </row>
        <row r="47">
          <cell r="B47" t="str">
            <v>IN-KN-980101</v>
          </cell>
          <cell r="C47" t="str">
            <v>IN-980101</v>
          </cell>
          <cell r="D47" t="str">
            <v>IN-KN</v>
          </cell>
          <cell r="E47" t="str">
            <v>PRI-IN-KN</v>
          </cell>
          <cell r="F47" t="str">
            <v>PRI-KN</v>
          </cell>
          <cell r="G47">
            <v>980101</v>
          </cell>
          <cell r="H47" t="str">
            <v>PRI</v>
          </cell>
          <cell r="I47">
            <v>2000</v>
          </cell>
          <cell r="J47" t="str">
            <v>P</v>
          </cell>
          <cell r="K47" t="str">
            <v>IN</v>
          </cell>
          <cell r="L47" t="str">
            <v>KN</v>
          </cell>
          <cell r="Z47">
            <v>0</v>
          </cell>
          <cell r="AB47">
            <v>0</v>
          </cell>
          <cell r="AC47">
            <v>0</v>
          </cell>
          <cell r="AD47">
            <v>0</v>
          </cell>
          <cell r="AE47">
            <v>0</v>
          </cell>
        </row>
        <row r="48">
          <cell r="B48" t="str">
            <v>AD-KE-980502</v>
          </cell>
          <cell r="C48" t="str">
            <v>AD-980502</v>
          </cell>
          <cell r="D48" t="str">
            <v>AD-KE</v>
          </cell>
          <cell r="E48" t="str">
            <v>OTR-AD-KE</v>
          </cell>
          <cell r="F48" t="str">
            <v>OTR-KE</v>
          </cell>
          <cell r="G48">
            <v>980502</v>
          </cell>
          <cell r="H48" t="str">
            <v>OTR</v>
          </cell>
          <cell r="I48">
            <v>1999</v>
          </cell>
          <cell r="J48" t="str">
            <v>P</v>
          </cell>
          <cell r="K48" t="str">
            <v>AD</v>
          </cell>
          <cell r="L48" t="str">
            <v>KE</v>
          </cell>
          <cell r="Z48">
            <v>0</v>
          </cell>
          <cell r="AB48">
            <v>0</v>
          </cell>
          <cell r="AC48">
            <v>0</v>
          </cell>
          <cell r="AD48">
            <v>0</v>
          </cell>
          <cell r="AE48">
            <v>0</v>
          </cell>
        </row>
        <row r="49">
          <cell r="B49" t="str">
            <v>AD-KN-980502</v>
          </cell>
          <cell r="C49" t="str">
            <v>AD-980502</v>
          </cell>
          <cell r="D49" t="str">
            <v>AD-KN</v>
          </cell>
          <cell r="E49" t="str">
            <v>OTR-AD-KN</v>
          </cell>
          <cell r="F49" t="str">
            <v>OTR-KN</v>
          </cell>
          <cell r="G49">
            <v>980502</v>
          </cell>
          <cell r="H49" t="str">
            <v>OTR</v>
          </cell>
          <cell r="I49">
            <v>1999</v>
          </cell>
          <cell r="J49" t="str">
            <v>P</v>
          </cell>
          <cell r="K49" t="str">
            <v>AD</v>
          </cell>
          <cell r="L49" t="str">
            <v>KN</v>
          </cell>
          <cell r="Z49">
            <v>0</v>
          </cell>
          <cell r="AB49">
            <v>0</v>
          </cell>
          <cell r="AC49">
            <v>0</v>
          </cell>
          <cell r="AD49">
            <v>0</v>
          </cell>
          <cell r="AE49">
            <v>0</v>
          </cell>
        </row>
        <row r="50">
          <cell r="B50" t="str">
            <v>CO-KE-980502</v>
          </cell>
          <cell r="C50" t="str">
            <v>CO-980502</v>
          </cell>
          <cell r="D50" t="str">
            <v>CO-KE</v>
          </cell>
          <cell r="E50" t="str">
            <v>OTR-CO-KE</v>
          </cell>
          <cell r="F50" t="str">
            <v>OTR-KE</v>
          </cell>
          <cell r="G50">
            <v>980502</v>
          </cell>
          <cell r="H50" t="str">
            <v>OTR</v>
          </cell>
          <cell r="I50">
            <v>1999</v>
          </cell>
          <cell r="J50" t="str">
            <v>P</v>
          </cell>
          <cell r="K50" t="str">
            <v>CO</v>
          </cell>
          <cell r="L50" t="str">
            <v>KE</v>
          </cell>
          <cell r="Z50">
            <v>0</v>
          </cell>
          <cell r="AB50">
            <v>0</v>
          </cell>
          <cell r="AC50">
            <v>0</v>
          </cell>
          <cell r="AD50">
            <v>0</v>
          </cell>
          <cell r="AE50">
            <v>0</v>
          </cell>
        </row>
        <row r="51">
          <cell r="B51" t="str">
            <v>CO-KN-980502</v>
          </cell>
          <cell r="C51" t="str">
            <v>CO-980502</v>
          </cell>
          <cell r="D51" t="str">
            <v>CO-KN</v>
          </cell>
          <cell r="E51" t="str">
            <v>OTR-CO-KN</v>
          </cell>
          <cell r="F51" t="str">
            <v>OTR-KN</v>
          </cell>
          <cell r="G51">
            <v>980502</v>
          </cell>
          <cell r="H51" t="str">
            <v>OTR</v>
          </cell>
          <cell r="I51">
            <v>1999</v>
          </cell>
          <cell r="J51" t="str">
            <v>P</v>
          </cell>
          <cell r="K51" t="str">
            <v>CO</v>
          </cell>
          <cell r="L51" t="str">
            <v>KN</v>
          </cell>
          <cell r="Z51">
            <v>0</v>
          </cell>
          <cell r="AB51">
            <v>0</v>
          </cell>
          <cell r="AC51">
            <v>0</v>
          </cell>
          <cell r="AD51">
            <v>0</v>
          </cell>
          <cell r="AE51">
            <v>0</v>
          </cell>
        </row>
        <row r="52">
          <cell r="B52" t="str">
            <v>IN-KE-980502</v>
          </cell>
          <cell r="C52" t="str">
            <v>IN-980502</v>
          </cell>
          <cell r="D52" t="str">
            <v>IN-KE</v>
          </cell>
          <cell r="E52" t="str">
            <v>OTR-IN-KE</v>
          </cell>
          <cell r="F52" t="str">
            <v>OTR-KE</v>
          </cell>
          <cell r="G52">
            <v>980502</v>
          </cell>
          <cell r="H52" t="str">
            <v>OTR</v>
          </cell>
          <cell r="I52">
            <v>1999</v>
          </cell>
          <cell r="J52" t="str">
            <v>P</v>
          </cell>
          <cell r="K52" t="str">
            <v>IN</v>
          </cell>
          <cell r="L52" t="str">
            <v>KE</v>
          </cell>
          <cell r="Z52">
            <v>0</v>
          </cell>
          <cell r="AB52">
            <v>0</v>
          </cell>
          <cell r="AC52">
            <v>0</v>
          </cell>
          <cell r="AD52">
            <v>0</v>
          </cell>
          <cell r="AE52">
            <v>0</v>
          </cell>
        </row>
        <row r="53">
          <cell r="B53" t="str">
            <v>IN-KN-980502</v>
          </cell>
          <cell r="C53" t="str">
            <v>IN-980502</v>
          </cell>
          <cell r="D53" t="str">
            <v>IN-KN</v>
          </cell>
          <cell r="E53" t="str">
            <v>OTR-IN-KN</v>
          </cell>
          <cell r="F53" t="str">
            <v>OTR-KN</v>
          </cell>
          <cell r="G53">
            <v>980502</v>
          </cell>
          <cell r="H53" t="str">
            <v>OTR</v>
          </cell>
          <cell r="I53">
            <v>1999</v>
          </cell>
          <cell r="J53" t="str">
            <v>P</v>
          </cell>
          <cell r="K53" t="str">
            <v>IN</v>
          </cell>
          <cell r="L53" t="str">
            <v>KN</v>
          </cell>
          <cell r="Z53">
            <v>0</v>
          </cell>
          <cell r="AB53">
            <v>0</v>
          </cell>
          <cell r="AC53">
            <v>0</v>
          </cell>
          <cell r="AD53">
            <v>0</v>
          </cell>
          <cell r="AE53">
            <v>0</v>
          </cell>
        </row>
        <row r="54">
          <cell r="B54" t="str">
            <v>AD-KE-980503</v>
          </cell>
          <cell r="C54" t="str">
            <v>AD-980503</v>
          </cell>
          <cell r="D54" t="str">
            <v>AD-KE</v>
          </cell>
          <cell r="E54" t="str">
            <v>DIV-AD-KE</v>
          </cell>
          <cell r="F54" t="str">
            <v>DIV-KE</v>
          </cell>
          <cell r="G54">
            <v>980503</v>
          </cell>
          <cell r="H54" t="str">
            <v>DIV</v>
          </cell>
          <cell r="I54">
            <v>1999</v>
          </cell>
          <cell r="J54" t="str">
            <v>P</v>
          </cell>
          <cell r="K54" t="str">
            <v>AD</v>
          </cell>
          <cell r="L54" t="str">
            <v>KE</v>
          </cell>
          <cell r="Z54">
            <v>0</v>
          </cell>
          <cell r="AB54">
            <v>0</v>
          </cell>
          <cell r="AC54">
            <v>0</v>
          </cell>
          <cell r="AD54">
            <v>0</v>
          </cell>
          <cell r="AE54">
            <v>0</v>
          </cell>
        </row>
        <row r="55">
          <cell r="B55" t="str">
            <v>AD-KN-980503</v>
          </cell>
          <cell r="C55" t="str">
            <v>AD-980503</v>
          </cell>
          <cell r="D55" t="str">
            <v>AD-KN</v>
          </cell>
          <cell r="E55" t="str">
            <v>DIV-AD-KN</v>
          </cell>
          <cell r="F55" t="str">
            <v>DIV-KN</v>
          </cell>
          <cell r="G55">
            <v>980503</v>
          </cell>
          <cell r="H55" t="str">
            <v>DIV</v>
          </cell>
          <cell r="I55">
            <v>1999</v>
          </cell>
          <cell r="J55" t="str">
            <v>P</v>
          </cell>
          <cell r="K55" t="str">
            <v>AD</v>
          </cell>
          <cell r="L55" t="str">
            <v>KN</v>
          </cell>
          <cell r="Z55">
            <v>0</v>
          </cell>
          <cell r="AB55">
            <v>0</v>
          </cell>
          <cell r="AC55">
            <v>0</v>
          </cell>
          <cell r="AD55">
            <v>0</v>
          </cell>
          <cell r="AE55">
            <v>0</v>
          </cell>
        </row>
        <row r="56">
          <cell r="B56" t="str">
            <v>CO-KE-980503</v>
          </cell>
          <cell r="C56" t="str">
            <v>CO-980503</v>
          </cell>
          <cell r="D56" t="str">
            <v>CO-KE</v>
          </cell>
          <cell r="E56" t="str">
            <v>DIV-CO-KE</v>
          </cell>
          <cell r="F56" t="str">
            <v>DIV-KE</v>
          </cell>
          <cell r="G56">
            <v>980503</v>
          </cell>
          <cell r="H56" t="str">
            <v>DIV</v>
          </cell>
          <cell r="I56">
            <v>1999</v>
          </cell>
          <cell r="J56" t="str">
            <v>P</v>
          </cell>
          <cell r="K56" t="str">
            <v>CO</v>
          </cell>
          <cell r="L56" t="str">
            <v>KE</v>
          </cell>
          <cell r="Z56">
            <v>0</v>
          </cell>
          <cell r="AB56">
            <v>0</v>
          </cell>
          <cell r="AC56">
            <v>0</v>
          </cell>
          <cell r="AD56">
            <v>0</v>
          </cell>
          <cell r="AE56">
            <v>0</v>
          </cell>
        </row>
        <row r="57">
          <cell r="B57" t="str">
            <v>CO-KN-980503</v>
          </cell>
          <cell r="C57" t="str">
            <v>CO-980503</v>
          </cell>
          <cell r="D57" t="str">
            <v>CO-KN</v>
          </cell>
          <cell r="E57" t="str">
            <v>DIV-CO-KN</v>
          </cell>
          <cell r="F57" t="str">
            <v>DIV-KN</v>
          </cell>
          <cell r="G57">
            <v>980503</v>
          </cell>
          <cell r="H57" t="str">
            <v>DIV</v>
          </cell>
          <cell r="I57">
            <v>1999</v>
          </cell>
          <cell r="J57" t="str">
            <v>P</v>
          </cell>
          <cell r="K57" t="str">
            <v>CO</v>
          </cell>
          <cell r="L57" t="str">
            <v>KN</v>
          </cell>
          <cell r="Z57">
            <v>0</v>
          </cell>
          <cell r="AB57">
            <v>0</v>
          </cell>
          <cell r="AC57">
            <v>0</v>
          </cell>
          <cell r="AD57">
            <v>0</v>
          </cell>
          <cell r="AE57">
            <v>0</v>
          </cell>
        </row>
        <row r="58">
          <cell r="B58" t="str">
            <v>IN-KE-980503</v>
          </cell>
          <cell r="C58" t="str">
            <v>IN-980503</v>
          </cell>
          <cell r="D58" t="str">
            <v>IN-KE</v>
          </cell>
          <cell r="E58" t="str">
            <v>DIV-IN-KE</v>
          </cell>
          <cell r="F58" t="str">
            <v>DIV-KE</v>
          </cell>
          <cell r="G58">
            <v>980503</v>
          </cell>
          <cell r="H58" t="str">
            <v>DIV</v>
          </cell>
          <cell r="I58">
            <v>1999</v>
          </cell>
          <cell r="J58" t="str">
            <v>P</v>
          </cell>
          <cell r="K58" t="str">
            <v>IN</v>
          </cell>
          <cell r="L58" t="str">
            <v>KE</v>
          </cell>
          <cell r="Z58">
            <v>0</v>
          </cell>
          <cell r="AB58">
            <v>0</v>
          </cell>
          <cell r="AC58">
            <v>0</v>
          </cell>
          <cell r="AD58">
            <v>0</v>
          </cell>
          <cell r="AE58">
            <v>0</v>
          </cell>
        </row>
        <row r="59">
          <cell r="B59" t="str">
            <v>IN-KN-980503</v>
          </cell>
          <cell r="C59" t="str">
            <v>IN-980503</v>
          </cell>
          <cell r="D59" t="str">
            <v>IN-KN</v>
          </cell>
          <cell r="E59" t="str">
            <v>DIV-IN-KN</v>
          </cell>
          <cell r="F59" t="str">
            <v>DIV-KN</v>
          </cell>
          <cell r="G59">
            <v>980503</v>
          </cell>
          <cell r="H59" t="str">
            <v>DIV</v>
          </cell>
          <cell r="I59">
            <v>1999</v>
          </cell>
          <cell r="J59" t="str">
            <v>P</v>
          </cell>
          <cell r="K59" t="str">
            <v>IN</v>
          </cell>
          <cell r="L59" t="str">
            <v>KN</v>
          </cell>
          <cell r="Z59">
            <v>0</v>
          </cell>
          <cell r="AB59">
            <v>0</v>
          </cell>
          <cell r="AC59">
            <v>0</v>
          </cell>
          <cell r="AD59">
            <v>0</v>
          </cell>
          <cell r="AE59">
            <v>0</v>
          </cell>
        </row>
        <row r="60">
          <cell r="B60" t="str">
            <v>AD-KE-980602</v>
          </cell>
          <cell r="C60" t="str">
            <v>AD-980602</v>
          </cell>
          <cell r="D60" t="str">
            <v>AD-KE</v>
          </cell>
          <cell r="E60" t="str">
            <v>OTR-AD-KE</v>
          </cell>
          <cell r="F60" t="str">
            <v>OTR-KE</v>
          </cell>
          <cell r="G60">
            <v>980602</v>
          </cell>
          <cell r="H60" t="str">
            <v>OTR</v>
          </cell>
          <cell r="I60">
            <v>1999</v>
          </cell>
          <cell r="J60" t="str">
            <v>P</v>
          </cell>
          <cell r="K60" t="str">
            <v>AD</v>
          </cell>
          <cell r="L60" t="str">
            <v>KE</v>
          </cell>
          <cell r="Z60">
            <v>0</v>
          </cell>
          <cell r="AB60">
            <v>0</v>
          </cell>
          <cell r="AC60">
            <v>0</v>
          </cell>
          <cell r="AD60">
            <v>0</v>
          </cell>
          <cell r="AE60">
            <v>0</v>
          </cell>
        </row>
        <row r="61">
          <cell r="B61" t="str">
            <v>AD-KN-980602</v>
          </cell>
          <cell r="C61" t="str">
            <v>AD-980602</v>
          </cell>
          <cell r="D61" t="str">
            <v>AD-KN</v>
          </cell>
          <cell r="E61" t="str">
            <v>OTR-AD-KN</v>
          </cell>
          <cell r="F61" t="str">
            <v>OTR-KN</v>
          </cell>
          <cell r="G61">
            <v>980602</v>
          </cell>
          <cell r="H61" t="str">
            <v>OTR</v>
          </cell>
          <cell r="I61">
            <v>1999</v>
          </cell>
          <cell r="J61" t="str">
            <v>P</v>
          </cell>
          <cell r="K61" t="str">
            <v>AD</v>
          </cell>
          <cell r="L61" t="str">
            <v>KN</v>
          </cell>
          <cell r="Z61">
            <v>0</v>
          </cell>
          <cell r="AB61">
            <v>0</v>
          </cell>
          <cell r="AC61">
            <v>0</v>
          </cell>
          <cell r="AD61">
            <v>0</v>
          </cell>
          <cell r="AE61">
            <v>0</v>
          </cell>
        </row>
        <row r="62">
          <cell r="B62" t="str">
            <v>CO-KE-980602</v>
          </cell>
          <cell r="C62" t="str">
            <v>CO-980602</v>
          </cell>
          <cell r="D62" t="str">
            <v>CO-KE</v>
          </cell>
          <cell r="E62" t="str">
            <v>OTR-CO-KE</v>
          </cell>
          <cell r="F62" t="str">
            <v>OTR-KE</v>
          </cell>
          <cell r="G62">
            <v>980602</v>
          </cell>
          <cell r="H62" t="str">
            <v>OTR</v>
          </cell>
          <cell r="I62">
            <v>1999</v>
          </cell>
          <cell r="J62" t="str">
            <v>P</v>
          </cell>
          <cell r="K62" t="str">
            <v>CO</v>
          </cell>
          <cell r="L62" t="str">
            <v>KE</v>
          </cell>
          <cell r="Z62">
            <v>0</v>
          </cell>
          <cell r="AB62">
            <v>0</v>
          </cell>
          <cell r="AC62">
            <v>0</v>
          </cell>
          <cell r="AD62">
            <v>0</v>
          </cell>
          <cell r="AE62">
            <v>0</v>
          </cell>
        </row>
        <row r="63">
          <cell r="B63" t="str">
            <v>CO-KN-980602</v>
          </cell>
          <cell r="C63" t="str">
            <v>CO-980602</v>
          </cell>
          <cell r="D63" t="str">
            <v>CO-KN</v>
          </cell>
          <cell r="E63" t="str">
            <v>OTR-CO-KN</v>
          </cell>
          <cell r="F63" t="str">
            <v>OTR-KN</v>
          </cell>
          <cell r="G63">
            <v>980602</v>
          </cell>
          <cell r="H63" t="str">
            <v>OTR</v>
          </cell>
          <cell r="I63">
            <v>1999</v>
          </cell>
          <cell r="J63" t="str">
            <v>P</v>
          </cell>
          <cell r="K63" t="str">
            <v>CO</v>
          </cell>
          <cell r="L63" t="str">
            <v>KN</v>
          </cell>
          <cell r="Z63">
            <v>0</v>
          </cell>
          <cell r="AB63">
            <v>0</v>
          </cell>
          <cell r="AC63">
            <v>0</v>
          </cell>
          <cell r="AD63">
            <v>0</v>
          </cell>
          <cell r="AE63">
            <v>0</v>
          </cell>
        </row>
        <row r="64">
          <cell r="B64" t="str">
            <v>IN-KE-980602</v>
          </cell>
          <cell r="C64" t="str">
            <v>IN-980602</v>
          </cell>
          <cell r="D64" t="str">
            <v>IN-KE</v>
          </cell>
          <cell r="E64" t="str">
            <v>OTR-IN-KE</v>
          </cell>
          <cell r="F64" t="str">
            <v>OTR-KE</v>
          </cell>
          <cell r="G64">
            <v>980602</v>
          </cell>
          <cell r="H64" t="str">
            <v>OTR</v>
          </cell>
          <cell r="I64">
            <v>1999</v>
          </cell>
          <cell r="J64" t="str">
            <v>P</v>
          </cell>
          <cell r="K64" t="str">
            <v>IN</v>
          </cell>
          <cell r="L64" t="str">
            <v>KE</v>
          </cell>
          <cell r="Z64">
            <v>0</v>
          </cell>
          <cell r="AB64">
            <v>0</v>
          </cell>
          <cell r="AC64">
            <v>0</v>
          </cell>
          <cell r="AD64">
            <v>0</v>
          </cell>
          <cell r="AE64">
            <v>0</v>
          </cell>
        </row>
        <row r="65">
          <cell r="B65" t="str">
            <v>IN-KN-980602</v>
          </cell>
          <cell r="C65" t="str">
            <v>IN-980602</v>
          </cell>
          <cell r="D65" t="str">
            <v>IN-KN</v>
          </cell>
          <cell r="E65" t="str">
            <v>OTR-IN-KN</v>
          </cell>
          <cell r="F65" t="str">
            <v>OTR-KN</v>
          </cell>
          <cell r="G65">
            <v>980602</v>
          </cell>
          <cell r="H65" t="str">
            <v>OTR</v>
          </cell>
          <cell r="I65">
            <v>1999</v>
          </cell>
          <cell r="J65" t="str">
            <v>P</v>
          </cell>
          <cell r="K65" t="str">
            <v>IN</v>
          </cell>
          <cell r="L65" t="str">
            <v>KN</v>
          </cell>
          <cell r="Z65">
            <v>0</v>
          </cell>
          <cell r="AB65">
            <v>0</v>
          </cell>
          <cell r="AC65">
            <v>0</v>
          </cell>
          <cell r="AD65">
            <v>0</v>
          </cell>
          <cell r="AE65">
            <v>0</v>
          </cell>
        </row>
        <row r="66">
          <cell r="B66" t="str">
            <v>AD-KE-980808</v>
          </cell>
          <cell r="C66" t="str">
            <v>AD-980808</v>
          </cell>
          <cell r="D66" t="str">
            <v>AD-KE</v>
          </cell>
          <cell r="E66" t="str">
            <v>DIV-AD-KE</v>
          </cell>
          <cell r="F66" t="str">
            <v>DIV-KE</v>
          </cell>
          <cell r="G66">
            <v>980808</v>
          </cell>
          <cell r="H66" t="str">
            <v>DIV</v>
          </cell>
          <cell r="I66">
            <v>1999</v>
          </cell>
          <cell r="J66" t="str">
            <v>P</v>
          </cell>
          <cell r="K66" t="str">
            <v>AD</v>
          </cell>
          <cell r="L66" t="str">
            <v>KE</v>
          </cell>
          <cell r="Z66">
            <v>0</v>
          </cell>
          <cell r="AB66">
            <v>0</v>
          </cell>
          <cell r="AC66">
            <v>0</v>
          </cell>
          <cell r="AD66">
            <v>0</v>
          </cell>
          <cell r="AE66">
            <v>0</v>
          </cell>
        </row>
        <row r="67">
          <cell r="B67" t="str">
            <v>AD-KN-980808</v>
          </cell>
          <cell r="C67" t="str">
            <v>AD-980808</v>
          </cell>
          <cell r="D67" t="str">
            <v>AD-KN</v>
          </cell>
          <cell r="E67" t="str">
            <v>DIV-AD-KN</v>
          </cell>
          <cell r="F67" t="str">
            <v>DIV-KN</v>
          </cell>
          <cell r="G67">
            <v>980808</v>
          </cell>
          <cell r="H67" t="str">
            <v>DIV</v>
          </cell>
          <cell r="I67">
            <v>1999</v>
          </cell>
          <cell r="J67" t="str">
            <v>P</v>
          </cell>
          <cell r="K67" t="str">
            <v>AD</v>
          </cell>
          <cell r="L67" t="str">
            <v>KN</v>
          </cell>
          <cell r="Z67">
            <v>0</v>
          </cell>
          <cell r="AB67">
            <v>0</v>
          </cell>
          <cell r="AC67">
            <v>0</v>
          </cell>
          <cell r="AD67">
            <v>0</v>
          </cell>
          <cell r="AE67">
            <v>0</v>
          </cell>
        </row>
        <row r="68">
          <cell r="B68" t="str">
            <v>CO-KE-980808</v>
          </cell>
          <cell r="C68" t="str">
            <v>CO-980808</v>
          </cell>
          <cell r="D68" t="str">
            <v>CO-KE</v>
          </cell>
          <cell r="E68" t="str">
            <v>DIV-CO-KE</v>
          </cell>
          <cell r="F68" t="str">
            <v>DIV-KE</v>
          </cell>
          <cell r="G68">
            <v>980808</v>
          </cell>
          <cell r="H68" t="str">
            <v>DIV</v>
          </cell>
          <cell r="I68">
            <v>1999</v>
          </cell>
          <cell r="J68" t="str">
            <v>P</v>
          </cell>
          <cell r="K68" t="str">
            <v>CO</v>
          </cell>
          <cell r="L68" t="str">
            <v>KE</v>
          </cell>
          <cell r="Z68">
            <v>0</v>
          </cell>
          <cell r="AB68">
            <v>0</v>
          </cell>
          <cell r="AC68">
            <v>0</v>
          </cell>
          <cell r="AD68">
            <v>0</v>
          </cell>
          <cell r="AE68">
            <v>0</v>
          </cell>
        </row>
        <row r="69">
          <cell r="B69" t="str">
            <v>CO-KN-980808</v>
          </cell>
          <cell r="C69" t="str">
            <v>CO-980808</v>
          </cell>
          <cell r="D69" t="str">
            <v>CO-KN</v>
          </cell>
          <cell r="E69" t="str">
            <v>DIV-CO-KN</v>
          </cell>
          <cell r="F69" t="str">
            <v>DIV-KN</v>
          </cell>
          <cell r="G69">
            <v>980808</v>
          </cell>
          <cell r="H69" t="str">
            <v>DIV</v>
          </cell>
          <cell r="I69">
            <v>1999</v>
          </cell>
          <cell r="J69" t="str">
            <v>P</v>
          </cell>
          <cell r="K69" t="str">
            <v>CO</v>
          </cell>
          <cell r="L69" t="str">
            <v>KN</v>
          </cell>
          <cell r="Z69">
            <v>0</v>
          </cell>
          <cell r="AB69">
            <v>0</v>
          </cell>
          <cell r="AC69">
            <v>0</v>
          </cell>
          <cell r="AD69">
            <v>0</v>
          </cell>
          <cell r="AE69">
            <v>0</v>
          </cell>
        </row>
        <row r="70">
          <cell r="B70" t="str">
            <v>IN-KE-980808</v>
          </cell>
          <cell r="C70" t="str">
            <v>IN-980808</v>
          </cell>
          <cell r="D70" t="str">
            <v>IN-KE</v>
          </cell>
          <cell r="E70" t="str">
            <v>DIV-IN-KE</v>
          </cell>
          <cell r="F70" t="str">
            <v>DIV-KE</v>
          </cell>
          <cell r="G70">
            <v>980808</v>
          </cell>
          <cell r="H70" t="str">
            <v>DIV</v>
          </cell>
          <cell r="I70">
            <v>1999</v>
          </cell>
          <cell r="J70" t="str">
            <v>P</v>
          </cell>
          <cell r="K70" t="str">
            <v>IN</v>
          </cell>
          <cell r="L70" t="str">
            <v>KE</v>
          </cell>
          <cell r="Z70">
            <v>0</v>
          </cell>
          <cell r="AB70">
            <v>0</v>
          </cell>
          <cell r="AC70">
            <v>0</v>
          </cell>
          <cell r="AD70">
            <v>0</v>
          </cell>
          <cell r="AE70">
            <v>0</v>
          </cell>
        </row>
        <row r="71">
          <cell r="B71" t="str">
            <v>IN-KN-980808</v>
          </cell>
          <cell r="C71" t="str">
            <v>IN-980808</v>
          </cell>
          <cell r="D71" t="str">
            <v>IN-KN</v>
          </cell>
          <cell r="E71" t="str">
            <v>DIV-IN-KN</v>
          </cell>
          <cell r="F71" t="str">
            <v>DIV-KN</v>
          </cell>
          <cell r="G71">
            <v>980808</v>
          </cell>
          <cell r="H71" t="str">
            <v>DIV</v>
          </cell>
          <cell r="I71">
            <v>1999</v>
          </cell>
          <cell r="J71" t="str">
            <v>P</v>
          </cell>
          <cell r="K71" t="str">
            <v>IN</v>
          </cell>
          <cell r="L71" t="str">
            <v>KN</v>
          </cell>
          <cell r="Z71">
            <v>0</v>
          </cell>
          <cell r="AB71">
            <v>0</v>
          </cell>
          <cell r="AC71">
            <v>0</v>
          </cell>
          <cell r="AD71">
            <v>0</v>
          </cell>
          <cell r="AE71">
            <v>0</v>
          </cell>
        </row>
        <row r="72">
          <cell r="B72" t="str">
            <v>AD-KE-980809</v>
          </cell>
          <cell r="C72" t="str">
            <v>AD-980809</v>
          </cell>
          <cell r="D72" t="str">
            <v>AD-KE</v>
          </cell>
          <cell r="E72" t="str">
            <v>PRI-AD-KE</v>
          </cell>
          <cell r="F72" t="str">
            <v>PRI-KE</v>
          </cell>
          <cell r="G72">
            <v>980809</v>
          </cell>
          <cell r="H72" t="str">
            <v>PRI</v>
          </cell>
          <cell r="I72">
            <v>2000</v>
          </cell>
          <cell r="J72" t="str">
            <v>P</v>
          </cell>
          <cell r="K72" t="str">
            <v>AD</v>
          </cell>
          <cell r="L72" t="str">
            <v>KE</v>
          </cell>
          <cell r="Z72">
            <v>0</v>
          </cell>
          <cell r="AB72">
            <v>0</v>
          </cell>
          <cell r="AC72">
            <v>0</v>
          </cell>
          <cell r="AD72">
            <v>0</v>
          </cell>
          <cell r="AE72">
            <v>0</v>
          </cell>
        </row>
        <row r="73">
          <cell r="B73" t="str">
            <v>AD-KN-980809</v>
          </cell>
          <cell r="C73" t="str">
            <v>AD-980809</v>
          </cell>
          <cell r="D73" t="str">
            <v>AD-KN</v>
          </cell>
          <cell r="E73" t="str">
            <v>PRI-AD-KN</v>
          </cell>
          <cell r="F73" t="str">
            <v>PRI-KN</v>
          </cell>
          <cell r="G73">
            <v>980809</v>
          </cell>
          <cell r="H73" t="str">
            <v>PRI</v>
          </cell>
          <cell r="I73">
            <v>2000</v>
          </cell>
          <cell r="J73" t="str">
            <v>P</v>
          </cell>
          <cell r="K73" t="str">
            <v>AD</v>
          </cell>
          <cell r="L73" t="str">
            <v>KN</v>
          </cell>
          <cell r="Z73">
            <v>0</v>
          </cell>
          <cell r="AB73">
            <v>0</v>
          </cell>
          <cell r="AC73">
            <v>0</v>
          </cell>
          <cell r="AD73">
            <v>0</v>
          </cell>
          <cell r="AE73">
            <v>0</v>
          </cell>
        </row>
        <row r="74">
          <cell r="B74" t="str">
            <v>CO-KE-980809</v>
          </cell>
          <cell r="C74" t="str">
            <v>CO-980809</v>
          </cell>
          <cell r="D74" t="str">
            <v>CO-KE</v>
          </cell>
          <cell r="E74" t="str">
            <v>PRI-CO-KE</v>
          </cell>
          <cell r="F74" t="str">
            <v>PRI-KE</v>
          </cell>
          <cell r="G74">
            <v>980809</v>
          </cell>
          <cell r="H74" t="str">
            <v>PRI</v>
          </cell>
          <cell r="I74">
            <v>2000</v>
          </cell>
          <cell r="J74" t="str">
            <v>P</v>
          </cell>
          <cell r="K74" t="str">
            <v>CO</v>
          </cell>
          <cell r="L74" t="str">
            <v>KE</v>
          </cell>
          <cell r="Z74">
            <v>0</v>
          </cell>
          <cell r="AB74">
            <v>0</v>
          </cell>
          <cell r="AC74">
            <v>0</v>
          </cell>
          <cell r="AD74">
            <v>0</v>
          </cell>
          <cell r="AE74">
            <v>0</v>
          </cell>
        </row>
        <row r="75">
          <cell r="B75" t="str">
            <v>CO-KN-980809</v>
          </cell>
          <cell r="C75" t="str">
            <v>CO-980809</v>
          </cell>
          <cell r="D75" t="str">
            <v>CO-KN</v>
          </cell>
          <cell r="E75" t="str">
            <v>PRI-CO-KN</v>
          </cell>
          <cell r="F75" t="str">
            <v>PRI-KN</v>
          </cell>
          <cell r="G75">
            <v>980809</v>
          </cell>
          <cell r="H75" t="str">
            <v>PRI</v>
          </cell>
          <cell r="I75">
            <v>2000</v>
          </cell>
          <cell r="J75" t="str">
            <v>P</v>
          </cell>
          <cell r="K75" t="str">
            <v>CO</v>
          </cell>
          <cell r="L75" t="str">
            <v>KN</v>
          </cell>
          <cell r="Z75">
            <v>0</v>
          </cell>
          <cell r="AB75">
            <v>0</v>
          </cell>
          <cell r="AC75">
            <v>0</v>
          </cell>
          <cell r="AD75">
            <v>0</v>
          </cell>
          <cell r="AE75">
            <v>0</v>
          </cell>
        </row>
        <row r="76">
          <cell r="B76" t="str">
            <v>IN-KE-980809</v>
          </cell>
          <cell r="C76" t="str">
            <v>IN-980809</v>
          </cell>
          <cell r="D76" t="str">
            <v>IN-KE</v>
          </cell>
          <cell r="E76" t="str">
            <v>PRI-IN-KE</v>
          </cell>
          <cell r="F76" t="str">
            <v>PRI-KE</v>
          </cell>
          <cell r="G76">
            <v>980809</v>
          </cell>
          <cell r="H76" t="str">
            <v>PRI</v>
          </cell>
          <cell r="I76">
            <v>2000</v>
          </cell>
          <cell r="J76" t="str">
            <v>P</v>
          </cell>
          <cell r="K76" t="str">
            <v>IN</v>
          </cell>
          <cell r="L76" t="str">
            <v>KE</v>
          </cell>
          <cell r="Z76">
            <v>0</v>
          </cell>
          <cell r="AB76">
            <v>0</v>
          </cell>
          <cell r="AC76">
            <v>0</v>
          </cell>
          <cell r="AD76">
            <v>0</v>
          </cell>
          <cell r="AE76">
            <v>0</v>
          </cell>
        </row>
        <row r="77">
          <cell r="B77" t="str">
            <v>IN-KN-980809</v>
          </cell>
          <cell r="C77" t="str">
            <v>IN-980809</v>
          </cell>
          <cell r="D77" t="str">
            <v>IN-KN</v>
          </cell>
          <cell r="E77" t="str">
            <v>PRI-IN-KN</v>
          </cell>
          <cell r="F77" t="str">
            <v>PRI-KN</v>
          </cell>
          <cell r="G77">
            <v>980809</v>
          </cell>
          <cell r="H77" t="str">
            <v>PRI</v>
          </cell>
          <cell r="I77">
            <v>2000</v>
          </cell>
          <cell r="J77" t="str">
            <v>P</v>
          </cell>
          <cell r="K77" t="str">
            <v>IN</v>
          </cell>
          <cell r="L77" t="str">
            <v>KN</v>
          </cell>
          <cell r="Z77">
            <v>0</v>
          </cell>
          <cell r="AB77">
            <v>0</v>
          </cell>
          <cell r="AC77">
            <v>0</v>
          </cell>
          <cell r="AD77">
            <v>0</v>
          </cell>
          <cell r="AE77">
            <v>0</v>
          </cell>
        </row>
        <row r="78">
          <cell r="B78" t="str">
            <v>AD-KE-981004</v>
          </cell>
          <cell r="C78" t="str">
            <v>AD-981004</v>
          </cell>
          <cell r="D78" t="str">
            <v>AD-KE</v>
          </cell>
          <cell r="E78" t="str">
            <v>OTR-AD-KE</v>
          </cell>
          <cell r="F78" t="str">
            <v>OTR-KE</v>
          </cell>
          <cell r="G78">
            <v>981004</v>
          </cell>
          <cell r="H78" t="str">
            <v>OTR</v>
          </cell>
          <cell r="I78">
            <v>1999</v>
          </cell>
          <cell r="J78" t="str">
            <v>P</v>
          </cell>
          <cell r="K78" t="str">
            <v>AD</v>
          </cell>
          <cell r="L78" t="str">
            <v>KE</v>
          </cell>
          <cell r="Z78">
            <v>0</v>
          </cell>
          <cell r="AB78">
            <v>0</v>
          </cell>
          <cell r="AC78">
            <v>0</v>
          </cell>
          <cell r="AD78">
            <v>0</v>
          </cell>
          <cell r="AE78">
            <v>0</v>
          </cell>
        </row>
        <row r="79">
          <cell r="B79" t="str">
            <v>AD-KN-981004</v>
          </cell>
          <cell r="C79" t="str">
            <v>AD-981004</v>
          </cell>
          <cell r="D79" t="str">
            <v>AD-KN</v>
          </cell>
          <cell r="E79" t="str">
            <v>OTR-AD-KN</v>
          </cell>
          <cell r="F79" t="str">
            <v>OTR-KN</v>
          </cell>
          <cell r="G79">
            <v>981004</v>
          </cell>
          <cell r="H79" t="str">
            <v>OTR</v>
          </cell>
          <cell r="I79">
            <v>1999</v>
          </cell>
          <cell r="J79" t="str">
            <v>P</v>
          </cell>
          <cell r="K79" t="str">
            <v>AD</v>
          </cell>
          <cell r="L79" t="str">
            <v>KN</v>
          </cell>
          <cell r="Z79">
            <v>0</v>
          </cell>
          <cell r="AB79">
            <v>0</v>
          </cell>
          <cell r="AC79">
            <v>0</v>
          </cell>
          <cell r="AD79">
            <v>0</v>
          </cell>
          <cell r="AE79">
            <v>0</v>
          </cell>
        </row>
        <row r="80">
          <cell r="B80" t="str">
            <v>CO-KE-981004</v>
          </cell>
          <cell r="C80" t="str">
            <v>CO-981004</v>
          </cell>
          <cell r="D80" t="str">
            <v>CO-KE</v>
          </cell>
          <cell r="E80" t="str">
            <v>OTR-CO-KE</v>
          </cell>
          <cell r="F80" t="str">
            <v>OTR-KE</v>
          </cell>
          <cell r="G80">
            <v>981004</v>
          </cell>
          <cell r="H80" t="str">
            <v>OTR</v>
          </cell>
          <cell r="I80">
            <v>1999</v>
          </cell>
          <cell r="J80" t="str">
            <v>P</v>
          </cell>
          <cell r="K80" t="str">
            <v>CO</v>
          </cell>
          <cell r="L80" t="str">
            <v>KE</v>
          </cell>
          <cell r="Z80">
            <v>0</v>
          </cell>
          <cell r="AB80">
            <v>0</v>
          </cell>
          <cell r="AC80">
            <v>0</v>
          </cell>
          <cell r="AD80">
            <v>0</v>
          </cell>
          <cell r="AE80">
            <v>0</v>
          </cell>
        </row>
        <row r="81">
          <cell r="B81" t="str">
            <v>CO-KN-981004</v>
          </cell>
          <cell r="C81" t="str">
            <v>CO-981004</v>
          </cell>
          <cell r="D81" t="str">
            <v>CO-KN</v>
          </cell>
          <cell r="E81" t="str">
            <v>OTR-CO-KN</v>
          </cell>
          <cell r="F81" t="str">
            <v>OTR-KN</v>
          </cell>
          <cell r="G81">
            <v>981004</v>
          </cell>
          <cell r="H81" t="str">
            <v>OTR</v>
          </cell>
          <cell r="I81">
            <v>1999</v>
          </cell>
          <cell r="J81" t="str">
            <v>P</v>
          </cell>
          <cell r="K81" t="str">
            <v>CO</v>
          </cell>
          <cell r="L81" t="str">
            <v>KN</v>
          </cell>
          <cell r="Z81">
            <v>0</v>
          </cell>
          <cell r="AB81">
            <v>0</v>
          </cell>
          <cell r="AC81">
            <v>0</v>
          </cell>
          <cell r="AD81">
            <v>0</v>
          </cell>
          <cell r="AE81">
            <v>0</v>
          </cell>
        </row>
        <row r="82">
          <cell r="B82" t="str">
            <v>IN-KE-981004</v>
          </cell>
          <cell r="C82" t="str">
            <v>IN-981004</v>
          </cell>
          <cell r="D82" t="str">
            <v>IN-KE</v>
          </cell>
          <cell r="E82" t="str">
            <v>OTR-IN-KE</v>
          </cell>
          <cell r="F82" t="str">
            <v>OTR-KE</v>
          </cell>
          <cell r="G82">
            <v>981004</v>
          </cell>
          <cell r="H82" t="str">
            <v>OTR</v>
          </cell>
          <cell r="I82">
            <v>1999</v>
          </cell>
          <cell r="J82" t="str">
            <v>P</v>
          </cell>
          <cell r="K82" t="str">
            <v>IN</v>
          </cell>
          <cell r="L82" t="str">
            <v>KE</v>
          </cell>
          <cell r="Z82">
            <v>0</v>
          </cell>
          <cell r="AB82">
            <v>0</v>
          </cell>
          <cell r="AC82">
            <v>0</v>
          </cell>
          <cell r="AD82">
            <v>0</v>
          </cell>
          <cell r="AE82">
            <v>0</v>
          </cell>
        </row>
        <row r="83">
          <cell r="B83" t="str">
            <v>IN-KN-981004</v>
          </cell>
          <cell r="C83" t="str">
            <v>IN-981004</v>
          </cell>
          <cell r="D83" t="str">
            <v>IN-KN</v>
          </cell>
          <cell r="E83" t="str">
            <v>OTR-IN-KN</v>
          </cell>
          <cell r="F83" t="str">
            <v>OTR-KN</v>
          </cell>
          <cell r="G83">
            <v>981004</v>
          </cell>
          <cell r="H83" t="str">
            <v>OTR</v>
          </cell>
          <cell r="I83">
            <v>1999</v>
          </cell>
          <cell r="J83" t="str">
            <v>P</v>
          </cell>
          <cell r="K83" t="str">
            <v>IN</v>
          </cell>
          <cell r="L83" t="str">
            <v>KN</v>
          </cell>
          <cell r="Z83">
            <v>0</v>
          </cell>
          <cell r="AB83">
            <v>0</v>
          </cell>
          <cell r="AC83">
            <v>0</v>
          </cell>
          <cell r="AD83">
            <v>0</v>
          </cell>
          <cell r="AE83">
            <v>0</v>
          </cell>
        </row>
        <row r="84">
          <cell r="B84" t="str">
            <v>AD-KE-A99M401</v>
          </cell>
          <cell r="C84" t="str">
            <v>AD-A99M401</v>
          </cell>
          <cell r="D84" t="str">
            <v>AD-KE</v>
          </cell>
          <cell r="E84" t="str">
            <v>PRI-AD-KE</v>
          </cell>
          <cell r="F84" t="str">
            <v>PRI-KE</v>
          </cell>
          <cell r="G84" t="str">
            <v>A99M401</v>
          </cell>
          <cell r="H84" t="str">
            <v>PRI</v>
          </cell>
          <cell r="I84">
            <v>1999</v>
          </cell>
          <cell r="J84" t="str">
            <v>P</v>
          </cell>
          <cell r="K84" t="str">
            <v>AD</v>
          </cell>
          <cell r="L84" t="str">
            <v>KE</v>
          </cell>
          <cell r="Z84">
            <v>0</v>
          </cell>
          <cell r="AB84">
            <v>0</v>
          </cell>
          <cell r="AC84">
            <v>0</v>
          </cell>
          <cell r="AD84">
            <v>0</v>
          </cell>
          <cell r="AE84">
            <v>0</v>
          </cell>
        </row>
        <row r="85">
          <cell r="B85" t="str">
            <v>AD-KN-A99M401</v>
          </cell>
          <cell r="C85" t="str">
            <v>AD-A99M401</v>
          </cell>
          <cell r="D85" t="str">
            <v>AD-KN</v>
          </cell>
          <cell r="E85" t="str">
            <v>PRI-AD-KN</v>
          </cell>
          <cell r="F85" t="str">
            <v>PRI-KN</v>
          </cell>
          <cell r="G85" t="str">
            <v>A99M401</v>
          </cell>
          <cell r="H85" t="str">
            <v>PRI</v>
          </cell>
          <cell r="I85">
            <v>1999</v>
          </cell>
          <cell r="J85" t="str">
            <v>P</v>
          </cell>
          <cell r="K85" t="str">
            <v>AD</v>
          </cell>
          <cell r="L85" t="str">
            <v>KN</v>
          </cell>
          <cell r="Z85">
            <v>0</v>
          </cell>
          <cell r="AB85">
            <v>0</v>
          </cell>
          <cell r="AC85">
            <v>0</v>
          </cell>
          <cell r="AD85">
            <v>0</v>
          </cell>
          <cell r="AE85">
            <v>0</v>
          </cell>
        </row>
        <row r="86">
          <cell r="B86" t="str">
            <v>CO-KE-A99M401</v>
          </cell>
          <cell r="C86" t="str">
            <v>CO-A99M401</v>
          </cell>
          <cell r="D86" t="str">
            <v>CO-KE</v>
          </cell>
          <cell r="E86" t="str">
            <v>PRI-CO-KE</v>
          </cell>
          <cell r="F86" t="str">
            <v>PRI-KE</v>
          </cell>
          <cell r="G86" t="str">
            <v>A99M401</v>
          </cell>
          <cell r="H86" t="str">
            <v>PRI</v>
          </cell>
          <cell r="I86">
            <v>1999</v>
          </cell>
          <cell r="J86" t="str">
            <v>P</v>
          </cell>
          <cell r="K86" t="str">
            <v>CO</v>
          </cell>
          <cell r="L86" t="str">
            <v>KE</v>
          </cell>
          <cell r="Z86">
            <v>0</v>
          </cell>
          <cell r="AB86">
            <v>0</v>
          </cell>
          <cell r="AC86">
            <v>0</v>
          </cell>
          <cell r="AD86">
            <v>0</v>
          </cell>
          <cell r="AE86">
            <v>0</v>
          </cell>
        </row>
        <row r="87">
          <cell r="B87" t="str">
            <v>CO-KN-A99M401</v>
          </cell>
          <cell r="C87" t="str">
            <v>CO-A99M401</v>
          </cell>
          <cell r="D87" t="str">
            <v>CO-KN</v>
          </cell>
          <cell r="E87" t="str">
            <v>PRI-CO-KN</v>
          </cell>
          <cell r="F87" t="str">
            <v>PRI-KN</v>
          </cell>
          <cell r="G87" t="str">
            <v>A99M401</v>
          </cell>
          <cell r="H87" t="str">
            <v>PRI</v>
          </cell>
          <cell r="I87">
            <v>1999</v>
          </cell>
          <cell r="J87" t="str">
            <v>P</v>
          </cell>
          <cell r="K87" t="str">
            <v>CO</v>
          </cell>
          <cell r="L87" t="str">
            <v>KN</v>
          </cell>
          <cell r="Z87">
            <v>0</v>
          </cell>
          <cell r="AB87">
            <v>0</v>
          </cell>
          <cell r="AC87">
            <v>0</v>
          </cell>
          <cell r="AD87">
            <v>0</v>
          </cell>
          <cell r="AE87">
            <v>0</v>
          </cell>
        </row>
        <row r="88">
          <cell r="B88" t="str">
            <v>IN-KE-A99M401</v>
          </cell>
          <cell r="C88" t="str">
            <v>IN-A99M401</v>
          </cell>
          <cell r="D88" t="str">
            <v>IN-KE</v>
          </cell>
          <cell r="E88" t="str">
            <v>PRI-IN-KE</v>
          </cell>
          <cell r="F88" t="str">
            <v>PRI-KE</v>
          </cell>
          <cell r="G88" t="str">
            <v>A99M401</v>
          </cell>
          <cell r="H88" t="str">
            <v>PRI</v>
          </cell>
          <cell r="I88">
            <v>1999</v>
          </cell>
          <cell r="J88" t="str">
            <v>P</v>
          </cell>
          <cell r="K88" t="str">
            <v>IN</v>
          </cell>
          <cell r="L88" t="str">
            <v>KE</v>
          </cell>
          <cell r="Z88">
            <v>0</v>
          </cell>
          <cell r="AB88">
            <v>0</v>
          </cell>
          <cell r="AC88">
            <v>0</v>
          </cell>
          <cell r="AD88">
            <v>0</v>
          </cell>
          <cell r="AE88">
            <v>0</v>
          </cell>
        </row>
        <row r="89">
          <cell r="B89" t="str">
            <v>IN-KN-A99M401</v>
          </cell>
          <cell r="C89" t="str">
            <v>IN-A99M401</v>
          </cell>
          <cell r="D89" t="str">
            <v>IN-KN</v>
          </cell>
          <cell r="E89" t="str">
            <v>PRI-IN-KN</v>
          </cell>
          <cell r="F89" t="str">
            <v>PRI-KN</v>
          </cell>
          <cell r="G89" t="str">
            <v>A99M401</v>
          </cell>
          <cell r="H89" t="str">
            <v>PRI</v>
          </cell>
          <cell r="I89">
            <v>1999</v>
          </cell>
          <cell r="J89" t="str">
            <v>P</v>
          </cell>
          <cell r="K89" t="str">
            <v>IN</v>
          </cell>
          <cell r="L89" t="str">
            <v>KN</v>
          </cell>
          <cell r="Z89">
            <v>0</v>
          </cell>
          <cell r="AB89">
            <v>0</v>
          </cell>
          <cell r="AC89">
            <v>0</v>
          </cell>
          <cell r="AD89">
            <v>0</v>
          </cell>
          <cell r="AE89">
            <v>0</v>
          </cell>
        </row>
        <row r="90">
          <cell r="B90" t="str">
            <v>AD-KE-A99M402</v>
          </cell>
          <cell r="C90" t="str">
            <v>AD-A99M402</v>
          </cell>
          <cell r="D90" t="str">
            <v>AD-KE</v>
          </cell>
          <cell r="E90" t="str">
            <v>PRI-AD-KE</v>
          </cell>
          <cell r="F90" t="str">
            <v>PRI-KE</v>
          </cell>
          <cell r="G90" t="str">
            <v>A99M402</v>
          </cell>
          <cell r="H90" t="str">
            <v>PRI</v>
          </cell>
          <cell r="I90">
            <v>1999</v>
          </cell>
          <cell r="J90" t="str">
            <v>P</v>
          </cell>
          <cell r="K90" t="str">
            <v>AD</v>
          </cell>
          <cell r="L90" t="str">
            <v>KE</v>
          </cell>
          <cell r="Z90">
            <v>0</v>
          </cell>
          <cell r="AB90">
            <v>0</v>
          </cell>
          <cell r="AC90">
            <v>0</v>
          </cell>
          <cell r="AD90">
            <v>0</v>
          </cell>
          <cell r="AE90">
            <v>0</v>
          </cell>
        </row>
        <row r="91">
          <cell r="B91" t="str">
            <v>AD-KN-A99M402</v>
          </cell>
          <cell r="C91" t="str">
            <v>AD-A99M402</v>
          </cell>
          <cell r="D91" t="str">
            <v>AD-KN</v>
          </cell>
          <cell r="E91" t="str">
            <v>PRI-AD-KN</v>
          </cell>
          <cell r="F91" t="str">
            <v>PRI-KN</v>
          </cell>
          <cell r="G91" t="str">
            <v>A99M402</v>
          </cell>
          <cell r="H91" t="str">
            <v>PRI</v>
          </cell>
          <cell r="I91">
            <v>1999</v>
          </cell>
          <cell r="J91" t="str">
            <v>P</v>
          </cell>
          <cell r="K91" t="str">
            <v>AD</v>
          </cell>
          <cell r="L91" t="str">
            <v>KN</v>
          </cell>
          <cell r="Z91">
            <v>0</v>
          </cell>
          <cell r="AB91">
            <v>0</v>
          </cell>
          <cell r="AC91">
            <v>0</v>
          </cell>
          <cell r="AD91">
            <v>0</v>
          </cell>
          <cell r="AE91">
            <v>0</v>
          </cell>
        </row>
        <row r="92">
          <cell r="B92" t="str">
            <v>CO-KE-A99M402</v>
          </cell>
          <cell r="C92" t="str">
            <v>CO-A99M402</v>
          </cell>
          <cell r="D92" t="str">
            <v>CO-KE</v>
          </cell>
          <cell r="E92" t="str">
            <v>PRI-CO-KE</v>
          </cell>
          <cell r="F92" t="str">
            <v>PRI-KE</v>
          </cell>
          <cell r="G92" t="str">
            <v>A99M402</v>
          </cell>
          <cell r="H92" t="str">
            <v>PRI</v>
          </cell>
          <cell r="I92">
            <v>1999</v>
          </cell>
          <cell r="J92" t="str">
            <v>P</v>
          </cell>
          <cell r="K92" t="str">
            <v>CO</v>
          </cell>
          <cell r="L92" t="str">
            <v>KE</v>
          </cell>
          <cell r="Z92">
            <v>0</v>
          </cell>
          <cell r="AB92">
            <v>0</v>
          </cell>
          <cell r="AC92">
            <v>0</v>
          </cell>
          <cell r="AD92">
            <v>0</v>
          </cell>
          <cell r="AE92">
            <v>0</v>
          </cell>
        </row>
        <row r="93">
          <cell r="B93" t="str">
            <v>CO-KN-A99M402</v>
          </cell>
          <cell r="C93" t="str">
            <v>CO-A99M402</v>
          </cell>
          <cell r="D93" t="str">
            <v>CO-KN</v>
          </cell>
          <cell r="E93" t="str">
            <v>PRI-CO-KN</v>
          </cell>
          <cell r="F93" t="str">
            <v>PRI-KN</v>
          </cell>
          <cell r="G93" t="str">
            <v>A99M402</v>
          </cell>
          <cell r="H93" t="str">
            <v>PRI</v>
          </cell>
          <cell r="I93">
            <v>1999</v>
          </cell>
          <cell r="J93" t="str">
            <v>P</v>
          </cell>
          <cell r="K93" t="str">
            <v>CO</v>
          </cell>
          <cell r="L93" t="str">
            <v>KN</v>
          </cell>
          <cell r="Z93">
            <v>0</v>
          </cell>
          <cell r="AB93">
            <v>0</v>
          </cell>
          <cell r="AC93">
            <v>0</v>
          </cell>
          <cell r="AD93">
            <v>0</v>
          </cell>
          <cell r="AE93">
            <v>0</v>
          </cell>
        </row>
        <row r="94">
          <cell r="B94" t="str">
            <v>IN-KE-A99M402</v>
          </cell>
          <cell r="C94" t="str">
            <v>IN-A99M402</v>
          </cell>
          <cell r="D94" t="str">
            <v>IN-KE</v>
          </cell>
          <cell r="E94" t="str">
            <v>PRI-IN-KE</v>
          </cell>
          <cell r="F94" t="str">
            <v>PRI-KE</v>
          </cell>
          <cell r="G94" t="str">
            <v>A99M402</v>
          </cell>
          <cell r="H94" t="str">
            <v>PRI</v>
          </cell>
          <cell r="I94">
            <v>1999</v>
          </cell>
          <cell r="J94" t="str">
            <v>P</v>
          </cell>
          <cell r="K94" t="str">
            <v>IN</v>
          </cell>
          <cell r="L94" t="str">
            <v>KE</v>
          </cell>
          <cell r="Z94">
            <v>0</v>
          </cell>
          <cell r="AB94">
            <v>0</v>
          </cell>
          <cell r="AC94">
            <v>0</v>
          </cell>
          <cell r="AD94">
            <v>0</v>
          </cell>
          <cell r="AE94">
            <v>0</v>
          </cell>
        </row>
        <row r="95">
          <cell r="B95" t="str">
            <v>IN-KN-A99M402</v>
          </cell>
          <cell r="C95" t="str">
            <v>IN-A99M402</v>
          </cell>
          <cell r="D95" t="str">
            <v>IN-KN</v>
          </cell>
          <cell r="E95" t="str">
            <v>PRI-IN-KN</v>
          </cell>
          <cell r="F95" t="str">
            <v>PRI-KN</v>
          </cell>
          <cell r="G95" t="str">
            <v>A99M402</v>
          </cell>
          <cell r="H95" t="str">
            <v>PRI</v>
          </cell>
          <cell r="I95">
            <v>1999</v>
          </cell>
          <cell r="J95" t="str">
            <v>P</v>
          </cell>
          <cell r="K95" t="str">
            <v>IN</v>
          </cell>
          <cell r="L95" t="str">
            <v>KN</v>
          </cell>
          <cell r="Z95">
            <v>0</v>
          </cell>
          <cell r="AB95">
            <v>0</v>
          </cell>
          <cell r="AC95">
            <v>0</v>
          </cell>
          <cell r="AD95">
            <v>0</v>
          </cell>
          <cell r="AE95">
            <v>0</v>
          </cell>
        </row>
        <row r="96">
          <cell r="B96" t="str">
            <v>AD-KE-A99M403</v>
          </cell>
          <cell r="C96" t="str">
            <v>AD-A99M403</v>
          </cell>
          <cell r="D96" t="str">
            <v>AD-KE</v>
          </cell>
          <cell r="E96" t="str">
            <v>OTR-AD-KE</v>
          </cell>
          <cell r="F96" t="str">
            <v>OTR-KE</v>
          </cell>
          <cell r="G96" t="str">
            <v>A99M403</v>
          </cell>
          <cell r="H96" t="str">
            <v>OTR</v>
          </cell>
          <cell r="I96">
            <v>1999</v>
          </cell>
          <cell r="J96" t="str">
            <v>P</v>
          </cell>
          <cell r="K96" t="str">
            <v>AD</v>
          </cell>
          <cell r="L96" t="str">
            <v>KE</v>
          </cell>
          <cell r="Z96">
            <v>0</v>
          </cell>
          <cell r="AB96">
            <v>0</v>
          </cell>
          <cell r="AC96">
            <v>0</v>
          </cell>
          <cell r="AD96">
            <v>0</v>
          </cell>
          <cell r="AE96">
            <v>0</v>
          </cell>
        </row>
        <row r="97">
          <cell r="B97" t="str">
            <v>AD-KN-A99M403</v>
          </cell>
          <cell r="C97" t="str">
            <v>AD-A99M403</v>
          </cell>
          <cell r="D97" t="str">
            <v>AD-KN</v>
          </cell>
          <cell r="E97" t="str">
            <v>OTR-AD-KN</v>
          </cell>
          <cell r="F97" t="str">
            <v>OTR-KN</v>
          </cell>
          <cell r="G97" t="str">
            <v>A99M403</v>
          </cell>
          <cell r="H97" t="str">
            <v>OTR</v>
          </cell>
          <cell r="I97">
            <v>1999</v>
          </cell>
          <cell r="J97" t="str">
            <v>P</v>
          </cell>
          <cell r="K97" t="str">
            <v>AD</v>
          </cell>
          <cell r="L97" t="str">
            <v>KN</v>
          </cell>
          <cell r="Z97">
            <v>0</v>
          </cell>
          <cell r="AB97">
            <v>0</v>
          </cell>
          <cell r="AC97">
            <v>0</v>
          </cell>
          <cell r="AD97">
            <v>0</v>
          </cell>
          <cell r="AE97">
            <v>0</v>
          </cell>
        </row>
        <row r="98">
          <cell r="B98" t="str">
            <v>CO-KE-A99M403</v>
          </cell>
          <cell r="C98" t="str">
            <v>CO-A99M403</v>
          </cell>
          <cell r="D98" t="str">
            <v>CO-KE</v>
          </cell>
          <cell r="E98" t="str">
            <v>OTR-CO-KE</v>
          </cell>
          <cell r="F98" t="str">
            <v>OTR-KE</v>
          </cell>
          <cell r="G98" t="str">
            <v>A99M403</v>
          </cell>
          <cell r="H98" t="str">
            <v>OTR</v>
          </cell>
          <cell r="I98">
            <v>1999</v>
          </cell>
          <cell r="J98" t="str">
            <v>P</v>
          </cell>
          <cell r="K98" t="str">
            <v>CO</v>
          </cell>
          <cell r="L98" t="str">
            <v>KE</v>
          </cell>
          <cell r="Z98">
            <v>0</v>
          </cell>
          <cell r="AB98">
            <v>0</v>
          </cell>
          <cell r="AC98">
            <v>0</v>
          </cell>
          <cell r="AD98">
            <v>0</v>
          </cell>
          <cell r="AE98">
            <v>0</v>
          </cell>
        </row>
        <row r="99">
          <cell r="B99" t="str">
            <v>CO-KN-A99M403</v>
          </cell>
          <cell r="C99" t="str">
            <v>CO-A99M403</v>
          </cell>
          <cell r="D99" t="str">
            <v>CO-KN</v>
          </cell>
          <cell r="E99" t="str">
            <v>OTR-CO-KN</v>
          </cell>
          <cell r="F99" t="str">
            <v>OTR-KN</v>
          </cell>
          <cell r="G99" t="str">
            <v>A99M403</v>
          </cell>
          <cell r="H99" t="str">
            <v>OTR</v>
          </cell>
          <cell r="I99">
            <v>1999</v>
          </cell>
          <cell r="J99" t="str">
            <v>P</v>
          </cell>
          <cell r="K99" t="str">
            <v>CO</v>
          </cell>
          <cell r="L99" t="str">
            <v>KN</v>
          </cell>
          <cell r="Z99">
            <v>0</v>
          </cell>
          <cell r="AB99">
            <v>0</v>
          </cell>
          <cell r="AC99">
            <v>0</v>
          </cell>
          <cell r="AD99">
            <v>0</v>
          </cell>
          <cell r="AE99">
            <v>0</v>
          </cell>
        </row>
        <row r="100">
          <cell r="B100" t="str">
            <v>IN-KE-A99M403</v>
          </cell>
          <cell r="C100" t="str">
            <v>IN-A99M403</v>
          </cell>
          <cell r="D100" t="str">
            <v>IN-KE</v>
          </cell>
          <cell r="E100" t="str">
            <v>OTR-IN-KE</v>
          </cell>
          <cell r="F100" t="str">
            <v>OTR-KE</v>
          </cell>
          <cell r="G100" t="str">
            <v>A99M403</v>
          </cell>
          <cell r="H100" t="str">
            <v>OTR</v>
          </cell>
          <cell r="I100">
            <v>1999</v>
          </cell>
          <cell r="J100" t="str">
            <v>P</v>
          </cell>
          <cell r="K100" t="str">
            <v>IN</v>
          </cell>
          <cell r="L100" t="str">
            <v>KE</v>
          </cell>
          <cell r="Z100">
            <v>0</v>
          </cell>
          <cell r="AB100">
            <v>0</v>
          </cell>
          <cell r="AC100">
            <v>0</v>
          </cell>
          <cell r="AD100">
            <v>0</v>
          </cell>
          <cell r="AE100">
            <v>0</v>
          </cell>
        </row>
        <row r="101">
          <cell r="B101" t="str">
            <v>IN-KN-A99M403</v>
          </cell>
          <cell r="C101" t="str">
            <v>IN-A99M403</v>
          </cell>
          <cell r="D101" t="str">
            <v>IN-KN</v>
          </cell>
          <cell r="E101" t="str">
            <v>OTR-IN-KN</v>
          </cell>
          <cell r="F101" t="str">
            <v>OTR-KN</v>
          </cell>
          <cell r="G101" t="str">
            <v>A99M403</v>
          </cell>
          <cell r="H101" t="str">
            <v>OTR</v>
          </cell>
          <cell r="I101">
            <v>1999</v>
          </cell>
          <cell r="J101" t="str">
            <v>P</v>
          </cell>
          <cell r="K101" t="str">
            <v>IN</v>
          </cell>
          <cell r="L101" t="str">
            <v>KN</v>
          </cell>
          <cell r="Z101">
            <v>0</v>
          </cell>
          <cell r="AB101">
            <v>0</v>
          </cell>
          <cell r="AC101">
            <v>0</v>
          </cell>
          <cell r="AD101">
            <v>0</v>
          </cell>
          <cell r="AE101">
            <v>0</v>
          </cell>
        </row>
        <row r="102">
          <cell r="B102" t="str">
            <v>AD-KE-A99M406</v>
          </cell>
          <cell r="C102" t="str">
            <v>AD-A99M406</v>
          </cell>
          <cell r="D102" t="str">
            <v>AD-KE</v>
          </cell>
          <cell r="E102" t="str">
            <v>OTR-AD-KE</v>
          </cell>
          <cell r="F102" t="str">
            <v>OTR-KE</v>
          </cell>
          <cell r="G102" t="str">
            <v>A99M406</v>
          </cell>
          <cell r="H102" t="str">
            <v>OTR</v>
          </cell>
          <cell r="I102">
            <v>1999</v>
          </cell>
          <cell r="J102" t="str">
            <v>P</v>
          </cell>
          <cell r="K102" t="str">
            <v>AD</v>
          </cell>
          <cell r="L102" t="str">
            <v>KE</v>
          </cell>
          <cell r="Z102">
            <v>0</v>
          </cell>
          <cell r="AB102">
            <v>0</v>
          </cell>
          <cell r="AC102">
            <v>0</v>
          </cell>
          <cell r="AD102">
            <v>0</v>
          </cell>
          <cell r="AE102">
            <v>0</v>
          </cell>
        </row>
        <row r="103">
          <cell r="B103" t="str">
            <v>AD-KN-A99M406</v>
          </cell>
          <cell r="C103" t="str">
            <v>AD-A99M406</v>
          </cell>
          <cell r="D103" t="str">
            <v>AD-KN</v>
          </cell>
          <cell r="E103" t="str">
            <v>OTR-AD-KN</v>
          </cell>
          <cell r="F103" t="str">
            <v>OTR-KN</v>
          </cell>
          <cell r="G103" t="str">
            <v>A99M406</v>
          </cell>
          <cell r="H103" t="str">
            <v>OTR</v>
          </cell>
          <cell r="I103">
            <v>1999</v>
          </cell>
          <cell r="J103" t="str">
            <v>P</v>
          </cell>
          <cell r="K103" t="str">
            <v>AD</v>
          </cell>
          <cell r="L103" t="str">
            <v>KN</v>
          </cell>
          <cell r="Z103">
            <v>0</v>
          </cell>
          <cell r="AB103">
            <v>0</v>
          </cell>
          <cell r="AC103">
            <v>0</v>
          </cell>
          <cell r="AD103">
            <v>0</v>
          </cell>
          <cell r="AE103">
            <v>0</v>
          </cell>
        </row>
        <row r="104">
          <cell r="B104" t="str">
            <v>CO-KE-A99M406</v>
          </cell>
          <cell r="C104" t="str">
            <v>CO-A99M406</v>
          </cell>
          <cell r="D104" t="str">
            <v>CO-KE</v>
          </cell>
          <cell r="E104" t="str">
            <v>OTR-CO-KE</v>
          </cell>
          <cell r="F104" t="str">
            <v>OTR-KE</v>
          </cell>
          <cell r="G104" t="str">
            <v>A99M406</v>
          </cell>
          <cell r="H104" t="str">
            <v>OTR</v>
          </cell>
          <cell r="I104">
            <v>1999</v>
          </cell>
          <cell r="J104" t="str">
            <v>P</v>
          </cell>
          <cell r="K104" t="str">
            <v>CO</v>
          </cell>
          <cell r="L104" t="str">
            <v>KE</v>
          </cell>
          <cell r="Z104">
            <v>0</v>
          </cell>
          <cell r="AB104">
            <v>0</v>
          </cell>
          <cell r="AC104">
            <v>0</v>
          </cell>
          <cell r="AD104">
            <v>0</v>
          </cell>
          <cell r="AE104">
            <v>0</v>
          </cell>
        </row>
        <row r="105">
          <cell r="B105" t="str">
            <v>CO-KN-A99M406</v>
          </cell>
          <cell r="C105" t="str">
            <v>CO-A99M406</v>
          </cell>
          <cell r="D105" t="str">
            <v>CO-KN</v>
          </cell>
          <cell r="E105" t="str">
            <v>OTR-CO-KN</v>
          </cell>
          <cell r="F105" t="str">
            <v>OTR-KN</v>
          </cell>
          <cell r="G105" t="str">
            <v>A99M406</v>
          </cell>
          <cell r="H105" t="str">
            <v>OTR</v>
          </cell>
          <cell r="I105">
            <v>1999</v>
          </cell>
          <cell r="J105" t="str">
            <v>P</v>
          </cell>
          <cell r="K105" t="str">
            <v>CO</v>
          </cell>
          <cell r="L105" t="str">
            <v>KN</v>
          </cell>
          <cell r="Z105">
            <v>0</v>
          </cell>
          <cell r="AB105">
            <v>0</v>
          </cell>
          <cell r="AC105">
            <v>0</v>
          </cell>
          <cell r="AD105">
            <v>0</v>
          </cell>
          <cell r="AE105">
            <v>0</v>
          </cell>
        </row>
        <row r="106">
          <cell r="B106" t="str">
            <v>IN-KE-A99M406</v>
          </cell>
          <cell r="C106" t="str">
            <v>IN-A99M406</v>
          </cell>
          <cell r="D106" t="str">
            <v>IN-KE</v>
          </cell>
          <cell r="E106" t="str">
            <v>OTR-IN-KE</v>
          </cell>
          <cell r="F106" t="str">
            <v>OTR-KE</v>
          </cell>
          <cell r="G106" t="str">
            <v>A99M406</v>
          </cell>
          <cell r="H106" t="str">
            <v>OTR</v>
          </cell>
          <cell r="I106">
            <v>1999</v>
          </cell>
          <cell r="J106" t="str">
            <v>P</v>
          </cell>
          <cell r="K106" t="str">
            <v>IN</v>
          </cell>
          <cell r="L106" t="str">
            <v>KE</v>
          </cell>
          <cell r="Z106">
            <v>0</v>
          </cell>
          <cell r="AB106">
            <v>0</v>
          </cell>
          <cell r="AC106">
            <v>0</v>
          </cell>
          <cell r="AD106">
            <v>0</v>
          </cell>
          <cell r="AE106">
            <v>0</v>
          </cell>
        </row>
        <row r="107">
          <cell r="B107" t="str">
            <v>IN-KN-A99M406</v>
          </cell>
          <cell r="C107" t="str">
            <v>IN-A99M406</v>
          </cell>
          <cell r="D107" t="str">
            <v>IN-KN</v>
          </cell>
          <cell r="E107" t="str">
            <v>OTR-IN-KN</v>
          </cell>
          <cell r="F107" t="str">
            <v>OTR-KN</v>
          </cell>
          <cell r="G107" t="str">
            <v>A99M406</v>
          </cell>
          <cell r="H107" t="str">
            <v>OTR</v>
          </cell>
          <cell r="I107">
            <v>1999</v>
          </cell>
          <cell r="J107" t="str">
            <v>P</v>
          </cell>
          <cell r="K107" t="str">
            <v>IN</v>
          </cell>
          <cell r="L107" t="str">
            <v>KN</v>
          </cell>
          <cell r="Z107">
            <v>0</v>
          </cell>
          <cell r="AB107">
            <v>0</v>
          </cell>
          <cell r="AC107">
            <v>0</v>
          </cell>
          <cell r="AD107">
            <v>0</v>
          </cell>
          <cell r="AE107">
            <v>0</v>
          </cell>
        </row>
        <row r="108">
          <cell r="B108" t="str">
            <v>AD-KE-A99M407</v>
          </cell>
          <cell r="C108" t="str">
            <v>AD-A99M407</v>
          </cell>
          <cell r="D108" t="str">
            <v>AD-KE</v>
          </cell>
          <cell r="E108" t="str">
            <v>PRI-AD-KE</v>
          </cell>
          <cell r="F108" t="str">
            <v>PRI-KE</v>
          </cell>
          <cell r="G108" t="str">
            <v>A99M407</v>
          </cell>
          <cell r="H108" t="str">
            <v>PRI</v>
          </cell>
          <cell r="I108">
            <v>2000</v>
          </cell>
          <cell r="J108" t="str">
            <v>P</v>
          </cell>
          <cell r="K108" t="str">
            <v>AD</v>
          </cell>
          <cell r="L108" t="str">
            <v>KE</v>
          </cell>
          <cell r="Z108">
            <v>0</v>
          </cell>
          <cell r="AB108">
            <v>0</v>
          </cell>
          <cell r="AC108">
            <v>0</v>
          </cell>
          <cell r="AD108">
            <v>0</v>
          </cell>
          <cell r="AE108">
            <v>0</v>
          </cell>
        </row>
        <row r="109">
          <cell r="B109" t="str">
            <v>AD-KN-A99M407</v>
          </cell>
          <cell r="C109" t="str">
            <v>AD-A99M407</v>
          </cell>
          <cell r="D109" t="str">
            <v>AD-KN</v>
          </cell>
          <cell r="E109" t="str">
            <v>PRI-AD-KN</v>
          </cell>
          <cell r="F109" t="str">
            <v>PRI-KN</v>
          </cell>
          <cell r="G109" t="str">
            <v>A99M407</v>
          </cell>
          <cell r="H109" t="str">
            <v>PRI</v>
          </cell>
          <cell r="I109">
            <v>2000</v>
          </cell>
          <cell r="J109" t="str">
            <v>P</v>
          </cell>
          <cell r="K109" t="str">
            <v>AD</v>
          </cell>
          <cell r="L109" t="str">
            <v>KN</v>
          </cell>
          <cell r="Z109">
            <v>0</v>
          </cell>
          <cell r="AB109">
            <v>0</v>
          </cell>
          <cell r="AC109">
            <v>0</v>
          </cell>
          <cell r="AD109">
            <v>0</v>
          </cell>
          <cell r="AE109">
            <v>0</v>
          </cell>
        </row>
        <row r="110">
          <cell r="B110" t="str">
            <v>CO-KE-A99M407</v>
          </cell>
          <cell r="C110" t="str">
            <v>CO-A99M407</v>
          </cell>
          <cell r="D110" t="str">
            <v>CO-KE</v>
          </cell>
          <cell r="E110" t="str">
            <v>PRI-CO-KE</v>
          </cell>
          <cell r="F110" t="str">
            <v>PRI-KE</v>
          </cell>
          <cell r="G110" t="str">
            <v>A99M407</v>
          </cell>
          <cell r="H110" t="str">
            <v>PRI</v>
          </cell>
          <cell r="I110">
            <v>2000</v>
          </cell>
          <cell r="J110" t="str">
            <v>P</v>
          </cell>
          <cell r="K110" t="str">
            <v>CO</v>
          </cell>
          <cell r="L110" t="str">
            <v>KE</v>
          </cell>
          <cell r="Z110">
            <v>0</v>
          </cell>
          <cell r="AB110">
            <v>0</v>
          </cell>
          <cell r="AC110">
            <v>0</v>
          </cell>
          <cell r="AD110">
            <v>0</v>
          </cell>
          <cell r="AE110">
            <v>0</v>
          </cell>
        </row>
        <row r="111">
          <cell r="B111" t="str">
            <v>CO-KN-A99M407</v>
          </cell>
          <cell r="C111" t="str">
            <v>CO-A99M407</v>
          </cell>
          <cell r="D111" t="str">
            <v>CO-KN</v>
          </cell>
          <cell r="E111" t="str">
            <v>PRI-CO-KN</v>
          </cell>
          <cell r="F111" t="str">
            <v>PRI-KN</v>
          </cell>
          <cell r="G111" t="str">
            <v>A99M407</v>
          </cell>
          <cell r="H111" t="str">
            <v>PRI</v>
          </cell>
          <cell r="I111">
            <v>2000</v>
          </cell>
          <cell r="J111" t="str">
            <v>P</v>
          </cell>
          <cell r="K111" t="str">
            <v>CO</v>
          </cell>
          <cell r="L111" t="str">
            <v>KN</v>
          </cell>
          <cell r="Z111">
            <v>0</v>
          </cell>
          <cell r="AB111">
            <v>0</v>
          </cell>
          <cell r="AC111">
            <v>0</v>
          </cell>
          <cell r="AD111">
            <v>0</v>
          </cell>
          <cell r="AE111">
            <v>0</v>
          </cell>
        </row>
        <row r="112">
          <cell r="B112" t="str">
            <v>IN-KE-A99M407</v>
          </cell>
          <cell r="C112" t="str">
            <v>IN-A99M407</v>
          </cell>
          <cell r="D112" t="str">
            <v>IN-KE</v>
          </cell>
          <cell r="E112" t="str">
            <v>PRI-IN-KE</v>
          </cell>
          <cell r="F112" t="str">
            <v>PRI-KE</v>
          </cell>
          <cell r="G112" t="str">
            <v>A99M407</v>
          </cell>
          <cell r="H112" t="str">
            <v>PRI</v>
          </cell>
          <cell r="I112">
            <v>2000</v>
          </cell>
          <cell r="J112" t="str">
            <v>P</v>
          </cell>
          <cell r="K112" t="str">
            <v>IN</v>
          </cell>
          <cell r="L112" t="str">
            <v>KE</v>
          </cell>
          <cell r="Z112">
            <v>0</v>
          </cell>
          <cell r="AB112">
            <v>0</v>
          </cell>
          <cell r="AC112">
            <v>0</v>
          </cell>
          <cell r="AD112">
            <v>0</v>
          </cell>
          <cell r="AE112">
            <v>0</v>
          </cell>
        </row>
        <row r="113">
          <cell r="B113" t="str">
            <v>IN-KN-A99M407</v>
          </cell>
          <cell r="C113" t="str">
            <v>IN-A99M407</v>
          </cell>
          <cell r="D113" t="str">
            <v>IN-KN</v>
          </cell>
          <cell r="E113" t="str">
            <v>PRI-IN-KN</v>
          </cell>
          <cell r="F113" t="str">
            <v>PRI-KN</v>
          </cell>
          <cell r="G113" t="str">
            <v>A99M407</v>
          </cell>
          <cell r="H113" t="str">
            <v>PRI</v>
          </cell>
          <cell r="I113">
            <v>2000</v>
          </cell>
          <cell r="J113" t="str">
            <v>P</v>
          </cell>
          <cell r="K113" t="str">
            <v>IN</v>
          </cell>
          <cell r="L113" t="str">
            <v>KN</v>
          </cell>
          <cell r="Z113">
            <v>0</v>
          </cell>
          <cell r="AB113">
            <v>0</v>
          </cell>
          <cell r="AC113">
            <v>0</v>
          </cell>
          <cell r="AD113">
            <v>0</v>
          </cell>
          <cell r="AE113">
            <v>0</v>
          </cell>
        </row>
        <row r="114">
          <cell r="B114" t="str">
            <v>AD-KE-A99M301</v>
          </cell>
          <cell r="C114" t="str">
            <v>AD-A99M301</v>
          </cell>
          <cell r="D114" t="str">
            <v>AD-KE</v>
          </cell>
          <cell r="E114" t="str">
            <v>DIV-AD-KE</v>
          </cell>
          <cell r="F114" t="str">
            <v>DIV-KE</v>
          </cell>
          <cell r="G114" t="str">
            <v>A99M301</v>
          </cell>
          <cell r="H114" t="str">
            <v>DIV</v>
          </cell>
          <cell r="I114">
            <v>1999</v>
          </cell>
          <cell r="J114" t="str">
            <v>P</v>
          </cell>
          <cell r="K114" t="str">
            <v>AD</v>
          </cell>
          <cell r="L114" t="str">
            <v>KE</v>
          </cell>
          <cell r="Z114">
            <v>0</v>
          </cell>
          <cell r="AB114">
            <v>0</v>
          </cell>
          <cell r="AC114">
            <v>0</v>
          </cell>
          <cell r="AD114">
            <v>0</v>
          </cell>
          <cell r="AE114">
            <v>0</v>
          </cell>
        </row>
        <row r="115">
          <cell r="B115" t="str">
            <v>AD-KN-A99M301</v>
          </cell>
          <cell r="C115" t="str">
            <v>AD-A99M301</v>
          </cell>
          <cell r="D115" t="str">
            <v>AD-KN</v>
          </cell>
          <cell r="E115" t="str">
            <v>DIV-AD-KN</v>
          </cell>
          <cell r="F115" t="str">
            <v>DIV-KN</v>
          </cell>
          <cell r="G115" t="str">
            <v>A99M301</v>
          </cell>
          <cell r="H115" t="str">
            <v>DIV</v>
          </cell>
          <cell r="I115">
            <v>1999</v>
          </cell>
          <cell r="J115" t="str">
            <v>P</v>
          </cell>
          <cell r="K115" t="str">
            <v>AD</v>
          </cell>
          <cell r="L115" t="str">
            <v>KN</v>
          </cell>
          <cell r="Z115">
            <v>0</v>
          </cell>
          <cell r="AB115">
            <v>0</v>
          </cell>
          <cell r="AC115">
            <v>0</v>
          </cell>
          <cell r="AD115">
            <v>0</v>
          </cell>
          <cell r="AE115">
            <v>0</v>
          </cell>
        </row>
        <row r="116">
          <cell r="B116" t="str">
            <v>CO-KE-A99M301</v>
          </cell>
          <cell r="C116" t="str">
            <v>CO-A99M301</v>
          </cell>
          <cell r="D116" t="str">
            <v>CO-KE</v>
          </cell>
          <cell r="E116" t="str">
            <v>DIV-CO-KE</v>
          </cell>
          <cell r="F116" t="str">
            <v>DIV-KE</v>
          </cell>
          <cell r="G116" t="str">
            <v>A99M301</v>
          </cell>
          <cell r="H116" t="str">
            <v>DIV</v>
          </cell>
          <cell r="I116">
            <v>1999</v>
          </cell>
          <cell r="J116" t="str">
            <v>P</v>
          </cell>
          <cell r="K116" t="str">
            <v>CO</v>
          </cell>
          <cell r="L116" t="str">
            <v>KE</v>
          </cell>
          <cell r="Z116">
            <v>0</v>
          </cell>
          <cell r="AB116">
            <v>0</v>
          </cell>
          <cell r="AC116">
            <v>0</v>
          </cell>
          <cell r="AD116">
            <v>0</v>
          </cell>
          <cell r="AE116">
            <v>0</v>
          </cell>
        </row>
        <row r="117">
          <cell r="B117" t="str">
            <v>CO-KN-A99M301</v>
          </cell>
          <cell r="C117" t="str">
            <v>CO-A99M301</v>
          </cell>
          <cell r="D117" t="str">
            <v>CO-KN</v>
          </cell>
          <cell r="E117" t="str">
            <v>DIV-CO-KN</v>
          </cell>
          <cell r="F117" t="str">
            <v>DIV-KN</v>
          </cell>
          <cell r="G117" t="str">
            <v>A99M301</v>
          </cell>
          <cell r="H117" t="str">
            <v>DIV</v>
          </cell>
          <cell r="I117">
            <v>1999</v>
          </cell>
          <cell r="J117" t="str">
            <v>P</v>
          </cell>
          <cell r="K117" t="str">
            <v>CO</v>
          </cell>
          <cell r="L117" t="str">
            <v>KN</v>
          </cell>
          <cell r="Z117">
            <v>0</v>
          </cell>
          <cell r="AB117">
            <v>0</v>
          </cell>
          <cell r="AC117">
            <v>0</v>
          </cell>
          <cell r="AD117">
            <v>0</v>
          </cell>
          <cell r="AE117">
            <v>0</v>
          </cell>
        </row>
        <row r="118">
          <cell r="B118" t="str">
            <v>IN-KE-A99M301</v>
          </cell>
          <cell r="C118" t="str">
            <v>IN-A99M301</v>
          </cell>
          <cell r="D118" t="str">
            <v>IN-KE</v>
          </cell>
          <cell r="E118" t="str">
            <v>DIV-IN-KE</v>
          </cell>
          <cell r="F118" t="str">
            <v>DIV-KE</v>
          </cell>
          <cell r="G118" t="str">
            <v>A99M301</v>
          </cell>
          <cell r="H118" t="str">
            <v>DIV</v>
          </cell>
          <cell r="I118">
            <v>1999</v>
          </cell>
          <cell r="J118" t="str">
            <v>P</v>
          </cell>
          <cell r="K118" t="str">
            <v>IN</v>
          </cell>
          <cell r="L118" t="str">
            <v>KE</v>
          </cell>
          <cell r="Z118">
            <v>0</v>
          </cell>
          <cell r="AB118">
            <v>0</v>
          </cell>
          <cell r="AC118">
            <v>0</v>
          </cell>
          <cell r="AD118">
            <v>0</v>
          </cell>
          <cell r="AE118">
            <v>0</v>
          </cell>
        </row>
        <row r="119">
          <cell r="B119" t="str">
            <v>IN-KN-A99M301</v>
          </cell>
          <cell r="C119" t="str">
            <v>IN-A99M301</v>
          </cell>
          <cell r="D119" t="str">
            <v>IN-KN</v>
          </cell>
          <cell r="E119" t="str">
            <v>DIV-IN-KN</v>
          </cell>
          <cell r="F119" t="str">
            <v>DIV-KN</v>
          </cell>
          <cell r="G119" t="str">
            <v>A99M301</v>
          </cell>
          <cell r="H119" t="str">
            <v>DIV</v>
          </cell>
          <cell r="I119">
            <v>1999</v>
          </cell>
          <cell r="J119" t="str">
            <v>P</v>
          </cell>
          <cell r="K119" t="str">
            <v>IN</v>
          </cell>
          <cell r="L119" t="str">
            <v>KN</v>
          </cell>
          <cell r="Z119">
            <v>0</v>
          </cell>
          <cell r="AB119">
            <v>0</v>
          </cell>
          <cell r="AC119">
            <v>0</v>
          </cell>
          <cell r="AD119">
            <v>0</v>
          </cell>
          <cell r="AE119">
            <v>0</v>
          </cell>
        </row>
        <row r="120">
          <cell r="B120" t="str">
            <v>AD-KE-A99M302</v>
          </cell>
          <cell r="C120" t="str">
            <v>AD-A99M302</v>
          </cell>
          <cell r="D120" t="str">
            <v>AD-KE</v>
          </cell>
          <cell r="E120" t="str">
            <v>DIV-AD-KE</v>
          </cell>
          <cell r="F120" t="str">
            <v>DIV-KE</v>
          </cell>
          <cell r="G120" t="str">
            <v>A99M302</v>
          </cell>
          <cell r="H120" t="str">
            <v>DIV</v>
          </cell>
          <cell r="I120">
            <v>1999</v>
          </cell>
          <cell r="J120" t="str">
            <v>P</v>
          </cell>
          <cell r="K120" t="str">
            <v>AD</v>
          </cell>
          <cell r="L120" t="str">
            <v>KE</v>
          </cell>
          <cell r="Z120">
            <v>0</v>
          </cell>
          <cell r="AB120">
            <v>0</v>
          </cell>
          <cell r="AC120">
            <v>0</v>
          </cell>
          <cell r="AD120">
            <v>0</v>
          </cell>
          <cell r="AE120">
            <v>0</v>
          </cell>
        </row>
        <row r="121">
          <cell r="B121" t="str">
            <v>AD-KN-A99M302</v>
          </cell>
          <cell r="C121" t="str">
            <v>AD-A99M302</v>
          </cell>
          <cell r="D121" t="str">
            <v>AD-KN</v>
          </cell>
          <cell r="E121" t="str">
            <v>DIV-AD-KN</v>
          </cell>
          <cell r="F121" t="str">
            <v>DIV-KN</v>
          </cell>
          <cell r="G121" t="str">
            <v>A99M302</v>
          </cell>
          <cell r="H121" t="str">
            <v>DIV</v>
          </cell>
          <cell r="I121">
            <v>1999</v>
          </cell>
          <cell r="J121" t="str">
            <v>P</v>
          </cell>
          <cell r="K121" t="str">
            <v>AD</v>
          </cell>
          <cell r="L121" t="str">
            <v>KN</v>
          </cell>
          <cell r="Z121">
            <v>0</v>
          </cell>
          <cell r="AB121">
            <v>0</v>
          </cell>
          <cell r="AC121">
            <v>0</v>
          </cell>
          <cell r="AD121">
            <v>0</v>
          </cell>
          <cell r="AE121">
            <v>0</v>
          </cell>
        </row>
        <row r="122">
          <cell r="B122" t="str">
            <v>CO-KE-A99M302</v>
          </cell>
          <cell r="C122" t="str">
            <v>CO-A99M302</v>
          </cell>
          <cell r="D122" t="str">
            <v>CO-KE</v>
          </cell>
          <cell r="E122" t="str">
            <v>DIV-CO-KE</v>
          </cell>
          <cell r="F122" t="str">
            <v>DIV-KE</v>
          </cell>
          <cell r="G122" t="str">
            <v>A99M302</v>
          </cell>
          <cell r="H122" t="str">
            <v>DIV</v>
          </cell>
          <cell r="I122">
            <v>1999</v>
          </cell>
          <cell r="J122" t="str">
            <v>P</v>
          </cell>
          <cell r="K122" t="str">
            <v>CO</v>
          </cell>
          <cell r="L122" t="str">
            <v>KE</v>
          </cell>
          <cell r="Z122">
            <v>0</v>
          </cell>
          <cell r="AB122">
            <v>0</v>
          </cell>
          <cell r="AC122">
            <v>0</v>
          </cell>
          <cell r="AD122">
            <v>0</v>
          </cell>
          <cell r="AE122">
            <v>0</v>
          </cell>
        </row>
        <row r="123">
          <cell r="B123" t="str">
            <v>CO-KN-A99M302</v>
          </cell>
          <cell r="C123" t="str">
            <v>CO-A99M302</v>
          </cell>
          <cell r="D123" t="str">
            <v>CO-KN</v>
          </cell>
          <cell r="E123" t="str">
            <v>DIV-CO-KN</v>
          </cell>
          <cell r="F123" t="str">
            <v>DIV-KN</v>
          </cell>
          <cell r="G123" t="str">
            <v>A99M302</v>
          </cell>
          <cell r="H123" t="str">
            <v>DIV</v>
          </cell>
          <cell r="I123">
            <v>1999</v>
          </cell>
          <cell r="J123" t="str">
            <v>P</v>
          </cell>
          <cell r="K123" t="str">
            <v>CO</v>
          </cell>
          <cell r="L123" t="str">
            <v>KN</v>
          </cell>
          <cell r="Z123">
            <v>0</v>
          </cell>
          <cell r="AB123">
            <v>0</v>
          </cell>
          <cell r="AC123">
            <v>0</v>
          </cell>
          <cell r="AD123">
            <v>0</v>
          </cell>
          <cell r="AE123">
            <v>0</v>
          </cell>
        </row>
        <row r="124">
          <cell r="B124" t="str">
            <v>IN-KE-A99M302</v>
          </cell>
          <cell r="C124" t="str">
            <v>IN-A99M302</v>
          </cell>
          <cell r="D124" t="str">
            <v>IN-KE</v>
          </cell>
          <cell r="E124" t="str">
            <v>DIV-IN-KE</v>
          </cell>
          <cell r="F124" t="str">
            <v>DIV-KE</v>
          </cell>
          <cell r="G124" t="str">
            <v>A99M302</v>
          </cell>
          <cell r="H124" t="str">
            <v>DIV</v>
          </cell>
          <cell r="I124">
            <v>1999</v>
          </cell>
          <cell r="J124" t="str">
            <v>P</v>
          </cell>
          <cell r="K124" t="str">
            <v>IN</v>
          </cell>
          <cell r="L124" t="str">
            <v>KE</v>
          </cell>
          <cell r="Z124">
            <v>0</v>
          </cell>
          <cell r="AB124">
            <v>0</v>
          </cell>
          <cell r="AC124">
            <v>0</v>
          </cell>
          <cell r="AD124">
            <v>0</v>
          </cell>
          <cell r="AE124">
            <v>0</v>
          </cell>
        </row>
        <row r="125">
          <cell r="B125" t="str">
            <v>IN-KN-A99M302</v>
          </cell>
          <cell r="C125" t="str">
            <v>IN-A99M302</v>
          </cell>
          <cell r="D125" t="str">
            <v>IN-KN</v>
          </cell>
          <cell r="E125" t="str">
            <v>DIV-IN-KN</v>
          </cell>
          <cell r="F125" t="str">
            <v>DIV-KN</v>
          </cell>
          <cell r="G125" t="str">
            <v>A99M302</v>
          </cell>
          <cell r="H125" t="str">
            <v>DIV</v>
          </cell>
          <cell r="I125">
            <v>1999</v>
          </cell>
          <cell r="J125" t="str">
            <v>P</v>
          </cell>
          <cell r="K125" t="str">
            <v>IN</v>
          </cell>
          <cell r="L125" t="str">
            <v>KN</v>
          </cell>
          <cell r="Z125">
            <v>0</v>
          </cell>
          <cell r="AB125">
            <v>0</v>
          </cell>
          <cell r="AC125">
            <v>0</v>
          </cell>
          <cell r="AD125">
            <v>0</v>
          </cell>
          <cell r="AE125">
            <v>0</v>
          </cell>
        </row>
        <row r="126">
          <cell r="B126" t="str">
            <v>AD-KE-A99M304</v>
          </cell>
          <cell r="C126" t="str">
            <v>AD-A99M304</v>
          </cell>
          <cell r="D126" t="str">
            <v>AD-KE</v>
          </cell>
          <cell r="E126" t="str">
            <v>DIV-AD-KE</v>
          </cell>
          <cell r="F126" t="str">
            <v>DIV-KE</v>
          </cell>
          <cell r="G126" t="str">
            <v>A99M304</v>
          </cell>
          <cell r="H126" t="str">
            <v>DIV</v>
          </cell>
          <cell r="I126">
            <v>2000</v>
          </cell>
          <cell r="J126" t="str">
            <v>P</v>
          </cell>
          <cell r="K126" t="str">
            <v>AD</v>
          </cell>
          <cell r="L126" t="str">
            <v>KE</v>
          </cell>
          <cell r="Z126">
            <v>0</v>
          </cell>
          <cell r="AB126">
            <v>0</v>
          </cell>
          <cell r="AC126">
            <v>0</v>
          </cell>
          <cell r="AD126">
            <v>0</v>
          </cell>
          <cell r="AE126">
            <v>0</v>
          </cell>
        </row>
        <row r="127">
          <cell r="B127" t="str">
            <v>AD-KN-A99M304</v>
          </cell>
          <cell r="C127" t="str">
            <v>AD-A99M304</v>
          </cell>
          <cell r="D127" t="str">
            <v>AD-KN</v>
          </cell>
          <cell r="E127" t="str">
            <v>DIV-AD-KN</v>
          </cell>
          <cell r="F127" t="str">
            <v>DIV-KN</v>
          </cell>
          <cell r="G127" t="str">
            <v>A99M304</v>
          </cell>
          <cell r="H127" t="str">
            <v>DIV</v>
          </cell>
          <cell r="I127">
            <v>2000</v>
          </cell>
          <cell r="J127" t="str">
            <v>P</v>
          </cell>
          <cell r="K127" t="str">
            <v>AD</v>
          </cell>
          <cell r="L127" t="str">
            <v>KN</v>
          </cell>
          <cell r="Z127">
            <v>0</v>
          </cell>
          <cell r="AB127">
            <v>0</v>
          </cell>
          <cell r="AC127">
            <v>0</v>
          </cell>
          <cell r="AD127">
            <v>0</v>
          </cell>
          <cell r="AE127">
            <v>0</v>
          </cell>
        </row>
        <row r="128">
          <cell r="B128" t="str">
            <v>CO-KE-A99M304</v>
          </cell>
          <cell r="C128" t="str">
            <v>CO-A99M304</v>
          </cell>
          <cell r="D128" t="str">
            <v>CO-KE</v>
          </cell>
          <cell r="E128" t="str">
            <v>DIV-CO-KE</v>
          </cell>
          <cell r="F128" t="str">
            <v>DIV-KE</v>
          </cell>
          <cell r="G128" t="str">
            <v>A99M304</v>
          </cell>
          <cell r="H128" t="str">
            <v>DIV</v>
          </cell>
          <cell r="I128">
            <v>2000</v>
          </cell>
          <cell r="J128" t="str">
            <v>P</v>
          </cell>
          <cell r="K128" t="str">
            <v>CO</v>
          </cell>
          <cell r="L128" t="str">
            <v>KE</v>
          </cell>
          <cell r="Z128">
            <v>0</v>
          </cell>
          <cell r="AB128">
            <v>0</v>
          </cell>
          <cell r="AC128">
            <v>0</v>
          </cell>
          <cell r="AD128">
            <v>0</v>
          </cell>
          <cell r="AE128">
            <v>0</v>
          </cell>
        </row>
        <row r="129">
          <cell r="B129" t="str">
            <v>CO-KN-A99M304</v>
          </cell>
          <cell r="C129" t="str">
            <v>CO-A99M304</v>
          </cell>
          <cell r="D129" t="str">
            <v>CO-KN</v>
          </cell>
          <cell r="E129" t="str">
            <v>DIV-CO-KN</v>
          </cell>
          <cell r="F129" t="str">
            <v>DIV-KN</v>
          </cell>
          <cell r="G129" t="str">
            <v>A99M304</v>
          </cell>
          <cell r="H129" t="str">
            <v>DIV</v>
          </cell>
          <cell r="I129">
            <v>2000</v>
          </cell>
          <cell r="J129" t="str">
            <v>P</v>
          </cell>
          <cell r="K129" t="str">
            <v>CO</v>
          </cell>
          <cell r="L129" t="str">
            <v>KN</v>
          </cell>
          <cell r="Z129">
            <v>0</v>
          </cell>
          <cell r="AB129">
            <v>0</v>
          </cell>
          <cell r="AC129">
            <v>0</v>
          </cell>
          <cell r="AD129">
            <v>0</v>
          </cell>
          <cell r="AE129">
            <v>0</v>
          </cell>
        </row>
        <row r="130">
          <cell r="B130" t="str">
            <v>IN-KE-A99M304</v>
          </cell>
          <cell r="C130" t="str">
            <v>IN-A99M304</v>
          </cell>
          <cell r="D130" t="str">
            <v>IN-KE</v>
          </cell>
          <cell r="E130" t="str">
            <v>DIV-IN-KE</v>
          </cell>
          <cell r="F130" t="str">
            <v>DIV-KE</v>
          </cell>
          <cell r="G130" t="str">
            <v>A99M304</v>
          </cell>
          <cell r="H130" t="str">
            <v>DIV</v>
          </cell>
          <cell r="I130">
            <v>2000</v>
          </cell>
          <cell r="J130" t="str">
            <v>P</v>
          </cell>
          <cell r="K130" t="str">
            <v>IN</v>
          </cell>
          <cell r="L130" t="str">
            <v>KE</v>
          </cell>
          <cell r="Z130">
            <v>0</v>
          </cell>
          <cell r="AB130">
            <v>0</v>
          </cell>
          <cell r="AC130">
            <v>0</v>
          </cell>
          <cell r="AD130">
            <v>0</v>
          </cell>
          <cell r="AE130">
            <v>0</v>
          </cell>
        </row>
        <row r="131">
          <cell r="B131" t="str">
            <v>IN-KN-A99M304</v>
          </cell>
          <cell r="C131" t="str">
            <v>IN-A99M304</v>
          </cell>
          <cell r="D131" t="str">
            <v>IN-KN</v>
          </cell>
          <cell r="E131" t="str">
            <v>DIV-IN-KN</v>
          </cell>
          <cell r="F131" t="str">
            <v>DIV-KN</v>
          </cell>
          <cell r="G131" t="str">
            <v>A99M304</v>
          </cell>
          <cell r="H131" t="str">
            <v>DIV</v>
          </cell>
          <cell r="I131">
            <v>2000</v>
          </cell>
          <cell r="J131" t="str">
            <v>P</v>
          </cell>
          <cell r="K131" t="str">
            <v>IN</v>
          </cell>
          <cell r="L131" t="str">
            <v>KN</v>
          </cell>
          <cell r="Z131">
            <v>0</v>
          </cell>
          <cell r="AB131">
            <v>0</v>
          </cell>
          <cell r="AC131">
            <v>0</v>
          </cell>
          <cell r="AD131">
            <v>0</v>
          </cell>
          <cell r="AE131">
            <v>0</v>
          </cell>
        </row>
        <row r="132">
          <cell r="B132" t="str">
            <v>AD-KE-A00M201</v>
          </cell>
          <cell r="C132" t="str">
            <v>AD-A00M201</v>
          </cell>
          <cell r="D132" t="str">
            <v>AD-KE</v>
          </cell>
          <cell r="E132" t="str">
            <v>OTR-AD-KE</v>
          </cell>
          <cell r="F132" t="str">
            <v>OTR-KE</v>
          </cell>
          <cell r="G132" t="str">
            <v>A00M201</v>
          </cell>
          <cell r="H132" t="str">
            <v>OTR</v>
          </cell>
          <cell r="I132">
            <v>2000</v>
          </cell>
          <cell r="J132" t="str">
            <v>P</v>
          </cell>
          <cell r="K132" t="str">
            <v>AD</v>
          </cell>
          <cell r="L132" t="str">
            <v>KE</v>
          </cell>
          <cell r="Z132">
            <v>0</v>
          </cell>
          <cell r="AB132">
            <v>0</v>
          </cell>
          <cell r="AC132">
            <v>0</v>
          </cell>
          <cell r="AD132">
            <v>0</v>
          </cell>
          <cell r="AE132">
            <v>0</v>
          </cell>
        </row>
        <row r="133">
          <cell r="B133" t="str">
            <v>AD-KN-A00M201</v>
          </cell>
          <cell r="C133" t="str">
            <v>AD-A00M201</v>
          </cell>
          <cell r="D133" t="str">
            <v>AD-KN</v>
          </cell>
          <cell r="E133" t="str">
            <v>OTR-AD-KN</v>
          </cell>
          <cell r="F133" t="str">
            <v>OTR-KN</v>
          </cell>
          <cell r="G133" t="str">
            <v>A00M201</v>
          </cell>
          <cell r="H133" t="str">
            <v>OTR</v>
          </cell>
          <cell r="I133">
            <v>2000</v>
          </cell>
          <cell r="J133" t="str">
            <v>P</v>
          </cell>
          <cell r="K133" t="str">
            <v>AD</v>
          </cell>
          <cell r="L133" t="str">
            <v>KN</v>
          </cell>
          <cell r="Z133">
            <v>0</v>
          </cell>
          <cell r="AB133">
            <v>0</v>
          </cell>
          <cell r="AC133">
            <v>0</v>
          </cell>
          <cell r="AD133">
            <v>0</v>
          </cell>
          <cell r="AE133">
            <v>0</v>
          </cell>
        </row>
        <row r="134">
          <cell r="B134" t="str">
            <v>CO-KE-A00M201</v>
          </cell>
          <cell r="C134" t="str">
            <v>CO-A00M201</v>
          </cell>
          <cell r="D134" t="str">
            <v>CO-KE</v>
          </cell>
          <cell r="E134" t="str">
            <v>OTR-CO-KE</v>
          </cell>
          <cell r="F134" t="str">
            <v>OTR-KE</v>
          </cell>
          <cell r="G134" t="str">
            <v>A00M201</v>
          </cell>
          <cell r="H134" t="str">
            <v>OTR</v>
          </cell>
          <cell r="I134">
            <v>2000</v>
          </cell>
          <cell r="J134" t="str">
            <v>P</v>
          </cell>
          <cell r="K134" t="str">
            <v>CO</v>
          </cell>
          <cell r="L134" t="str">
            <v>KE</v>
          </cell>
          <cell r="Z134">
            <v>0</v>
          </cell>
          <cell r="AB134">
            <v>0</v>
          </cell>
          <cell r="AC134">
            <v>0</v>
          </cell>
          <cell r="AD134">
            <v>0</v>
          </cell>
          <cell r="AE134">
            <v>0</v>
          </cell>
        </row>
        <row r="135">
          <cell r="B135" t="str">
            <v>CO-KN-A00M201</v>
          </cell>
          <cell r="C135" t="str">
            <v>CO-A00M201</v>
          </cell>
          <cell r="D135" t="str">
            <v>CO-KN</v>
          </cell>
          <cell r="E135" t="str">
            <v>OTR-CO-KN</v>
          </cell>
          <cell r="F135" t="str">
            <v>OTR-KN</v>
          </cell>
          <cell r="G135" t="str">
            <v>A00M201</v>
          </cell>
          <cell r="H135" t="str">
            <v>OTR</v>
          </cell>
          <cell r="I135">
            <v>2000</v>
          </cell>
          <cell r="J135" t="str">
            <v>P</v>
          </cell>
          <cell r="K135" t="str">
            <v>CO</v>
          </cell>
          <cell r="L135" t="str">
            <v>KN</v>
          </cell>
          <cell r="Z135">
            <v>0</v>
          </cell>
          <cell r="AB135">
            <v>0</v>
          </cell>
          <cell r="AC135">
            <v>0</v>
          </cell>
          <cell r="AD135">
            <v>0</v>
          </cell>
          <cell r="AE135">
            <v>0</v>
          </cell>
        </row>
        <row r="136">
          <cell r="B136" t="str">
            <v>IN-KE-A00M201</v>
          </cell>
          <cell r="C136" t="str">
            <v>IN-A00M201</v>
          </cell>
          <cell r="D136" t="str">
            <v>IN-KE</v>
          </cell>
          <cell r="E136" t="str">
            <v>OTR-IN-KE</v>
          </cell>
          <cell r="F136" t="str">
            <v>OTR-KE</v>
          </cell>
          <cell r="G136" t="str">
            <v>A00M201</v>
          </cell>
          <cell r="H136" t="str">
            <v>OTR</v>
          </cell>
          <cell r="I136">
            <v>2000</v>
          </cell>
          <cell r="J136" t="str">
            <v>P</v>
          </cell>
          <cell r="K136" t="str">
            <v>IN</v>
          </cell>
          <cell r="L136" t="str">
            <v>KE</v>
          </cell>
          <cell r="Z136">
            <v>0</v>
          </cell>
          <cell r="AB136">
            <v>0</v>
          </cell>
          <cell r="AC136">
            <v>0</v>
          </cell>
          <cell r="AD136">
            <v>0</v>
          </cell>
          <cell r="AE136">
            <v>0</v>
          </cell>
        </row>
        <row r="137">
          <cell r="B137" t="str">
            <v>IN-KN-A00M201</v>
          </cell>
          <cell r="C137" t="str">
            <v>IN-A00M201</v>
          </cell>
          <cell r="D137" t="str">
            <v>IN-KN</v>
          </cell>
          <cell r="E137" t="str">
            <v>OTR-IN-KN</v>
          </cell>
          <cell r="F137" t="str">
            <v>OTR-KN</v>
          </cell>
          <cell r="G137" t="str">
            <v>A00M201</v>
          </cell>
          <cell r="H137" t="str">
            <v>OTR</v>
          </cell>
          <cell r="I137">
            <v>2000</v>
          </cell>
          <cell r="J137" t="str">
            <v>P</v>
          </cell>
          <cell r="K137" t="str">
            <v>IN</v>
          </cell>
          <cell r="L137" t="str">
            <v>KN</v>
          </cell>
          <cell r="Z137">
            <v>0</v>
          </cell>
          <cell r="AB137">
            <v>0</v>
          </cell>
          <cell r="AC137">
            <v>0</v>
          </cell>
          <cell r="AD137">
            <v>0</v>
          </cell>
          <cell r="AE137">
            <v>0</v>
          </cell>
        </row>
        <row r="138">
          <cell r="B138" t="str">
            <v>AD-KE-A00M202</v>
          </cell>
          <cell r="C138" t="str">
            <v>AD-A00M202</v>
          </cell>
          <cell r="D138" t="str">
            <v>AD-KE</v>
          </cell>
          <cell r="E138" t="str">
            <v>PRI-AD-KE</v>
          </cell>
          <cell r="F138" t="str">
            <v>PRI-KE</v>
          </cell>
          <cell r="G138" t="str">
            <v>A00M202</v>
          </cell>
          <cell r="H138" t="str">
            <v>PRI</v>
          </cell>
          <cell r="I138">
            <v>2001</v>
          </cell>
          <cell r="J138" t="str">
            <v>P</v>
          </cell>
          <cell r="K138" t="str">
            <v>AD</v>
          </cell>
          <cell r="L138" t="str">
            <v>KE</v>
          </cell>
          <cell r="Z138">
            <v>0</v>
          </cell>
          <cell r="AB138">
            <v>0</v>
          </cell>
          <cell r="AC138">
            <v>0</v>
          </cell>
          <cell r="AD138">
            <v>0</v>
          </cell>
          <cell r="AE138">
            <v>0</v>
          </cell>
        </row>
        <row r="139">
          <cell r="B139" t="str">
            <v>AD-KN-A00M202</v>
          </cell>
          <cell r="C139" t="str">
            <v>AD-A00M202</v>
          </cell>
          <cell r="D139" t="str">
            <v>AD-KN</v>
          </cell>
          <cell r="E139" t="str">
            <v>PRI-AD-KN</v>
          </cell>
          <cell r="F139" t="str">
            <v>PRI-KN</v>
          </cell>
          <cell r="G139" t="str">
            <v>A00M202</v>
          </cell>
          <cell r="H139" t="str">
            <v>PRI</v>
          </cell>
          <cell r="I139">
            <v>2001</v>
          </cell>
          <cell r="J139" t="str">
            <v>P</v>
          </cell>
          <cell r="K139" t="str">
            <v>AD</v>
          </cell>
          <cell r="L139" t="str">
            <v>KN</v>
          </cell>
          <cell r="Z139">
            <v>0</v>
          </cell>
          <cell r="AB139">
            <v>0</v>
          </cell>
          <cell r="AC139">
            <v>0</v>
          </cell>
          <cell r="AD139">
            <v>0</v>
          </cell>
          <cell r="AE139">
            <v>0</v>
          </cell>
        </row>
        <row r="140">
          <cell r="B140" t="str">
            <v>CO-KE-A00M202</v>
          </cell>
          <cell r="C140" t="str">
            <v>CO-A00M202</v>
          </cell>
          <cell r="D140" t="str">
            <v>CO-KE</v>
          </cell>
          <cell r="E140" t="str">
            <v>PRI-CO-KE</v>
          </cell>
          <cell r="F140" t="str">
            <v>PRI-KE</v>
          </cell>
          <cell r="G140" t="str">
            <v>A00M202</v>
          </cell>
          <cell r="H140" t="str">
            <v>PRI</v>
          </cell>
          <cell r="I140">
            <v>2001</v>
          </cell>
          <cell r="J140" t="str">
            <v>P</v>
          </cell>
          <cell r="K140" t="str">
            <v>CO</v>
          </cell>
          <cell r="L140" t="str">
            <v>KE</v>
          </cell>
          <cell r="Z140">
            <v>0</v>
          </cell>
          <cell r="AB140">
            <v>0</v>
          </cell>
          <cell r="AC140">
            <v>0</v>
          </cell>
          <cell r="AD140">
            <v>0</v>
          </cell>
          <cell r="AE140">
            <v>0</v>
          </cell>
        </row>
        <row r="141">
          <cell r="B141" t="str">
            <v>CO-KN-A00M202</v>
          </cell>
          <cell r="C141" t="str">
            <v>CO-A00M202</v>
          </cell>
          <cell r="D141" t="str">
            <v>CO-KN</v>
          </cell>
          <cell r="E141" t="str">
            <v>PRI-CO-KN</v>
          </cell>
          <cell r="F141" t="str">
            <v>PRI-KN</v>
          </cell>
          <cell r="G141" t="str">
            <v>A00M202</v>
          </cell>
          <cell r="H141" t="str">
            <v>PRI</v>
          </cell>
          <cell r="I141">
            <v>2001</v>
          </cell>
          <cell r="J141" t="str">
            <v>P</v>
          </cell>
          <cell r="K141" t="str">
            <v>CO</v>
          </cell>
          <cell r="L141" t="str">
            <v>KN</v>
          </cell>
          <cell r="Z141">
            <v>0</v>
          </cell>
          <cell r="AB141">
            <v>0</v>
          </cell>
          <cell r="AC141">
            <v>0</v>
          </cell>
          <cell r="AD141">
            <v>0</v>
          </cell>
          <cell r="AE141">
            <v>0</v>
          </cell>
        </row>
        <row r="142">
          <cell r="B142" t="str">
            <v>IN-KE-A00M202</v>
          </cell>
          <cell r="C142" t="str">
            <v>IN-A00M202</v>
          </cell>
          <cell r="D142" t="str">
            <v>IN-KE</v>
          </cell>
          <cell r="E142" t="str">
            <v>PRI-IN-KE</v>
          </cell>
          <cell r="F142" t="str">
            <v>PRI-KE</v>
          </cell>
          <cell r="G142" t="str">
            <v>A00M202</v>
          </cell>
          <cell r="H142" t="str">
            <v>PRI</v>
          </cell>
          <cell r="I142">
            <v>2001</v>
          </cell>
          <cell r="J142" t="str">
            <v>P</v>
          </cell>
          <cell r="K142" t="str">
            <v>IN</v>
          </cell>
          <cell r="L142" t="str">
            <v>KE</v>
          </cell>
          <cell r="Z142">
            <v>0</v>
          </cell>
          <cell r="AB142">
            <v>0</v>
          </cell>
          <cell r="AC142">
            <v>0</v>
          </cell>
          <cell r="AD142">
            <v>0</v>
          </cell>
          <cell r="AE142">
            <v>0</v>
          </cell>
        </row>
        <row r="143">
          <cell r="B143" t="str">
            <v>IN-KN-A00M202</v>
          </cell>
          <cell r="C143" t="str">
            <v>IN-A00M202</v>
          </cell>
          <cell r="D143" t="str">
            <v>IN-KN</v>
          </cell>
          <cell r="E143" t="str">
            <v>PRI-IN-KN</v>
          </cell>
          <cell r="F143" t="str">
            <v>PRI-KN</v>
          </cell>
          <cell r="G143" t="str">
            <v>A00M202</v>
          </cell>
          <cell r="H143" t="str">
            <v>PRI</v>
          </cell>
          <cell r="I143">
            <v>2001</v>
          </cell>
          <cell r="J143" t="str">
            <v>P</v>
          </cell>
          <cell r="K143" t="str">
            <v>IN</v>
          </cell>
          <cell r="L143" t="str">
            <v>KN</v>
          </cell>
          <cell r="M143">
            <v>188.08600000000001</v>
          </cell>
          <cell r="N143">
            <v>52.25</v>
          </cell>
          <cell r="O143">
            <v>24.94</v>
          </cell>
          <cell r="Y143">
            <v>1393.32</v>
          </cell>
          <cell r="Z143">
            <v>265.27600000000001</v>
          </cell>
          <cell r="AB143">
            <v>1658.596</v>
          </cell>
          <cell r="AC143">
            <v>265.27600000000001</v>
          </cell>
          <cell r="AD143">
            <v>1658.596</v>
          </cell>
          <cell r="AE143">
            <v>0</v>
          </cell>
        </row>
        <row r="144">
          <cell r="B144" t="str">
            <v>AD-KE-A00M401</v>
          </cell>
          <cell r="C144" t="str">
            <v>AD-A00M401</v>
          </cell>
          <cell r="D144" t="str">
            <v>AD-KE</v>
          </cell>
          <cell r="E144" t="str">
            <v>OTR-AD-KE</v>
          </cell>
          <cell r="F144" t="str">
            <v>OTR-KE</v>
          </cell>
          <cell r="G144" t="str">
            <v>A00M401</v>
          </cell>
          <cell r="H144" t="str">
            <v>OTR</v>
          </cell>
          <cell r="I144">
            <v>2001</v>
          </cell>
          <cell r="J144" t="str">
            <v>P</v>
          </cell>
          <cell r="K144" t="str">
            <v>AD</v>
          </cell>
          <cell r="L144" t="str">
            <v>KE</v>
          </cell>
          <cell r="M144">
            <v>-321</v>
          </cell>
          <cell r="N144">
            <v>314.3</v>
          </cell>
          <cell r="Y144">
            <v>322.2</v>
          </cell>
          <cell r="Z144">
            <v>-6.6999999999999886</v>
          </cell>
          <cell r="AB144">
            <v>315.5</v>
          </cell>
          <cell r="AC144">
            <v>-6.6999999999999886</v>
          </cell>
          <cell r="AD144">
            <v>315.5</v>
          </cell>
          <cell r="AE144">
            <v>0</v>
          </cell>
        </row>
        <row r="145">
          <cell r="B145" t="str">
            <v>AD-KN-A00M401</v>
          </cell>
          <cell r="C145" t="str">
            <v>AD-A00M401</v>
          </cell>
          <cell r="D145" t="str">
            <v>AD-KN</v>
          </cell>
          <cell r="E145" t="str">
            <v>OTR-AD-KN</v>
          </cell>
          <cell r="F145" t="str">
            <v>OTR-KN</v>
          </cell>
          <cell r="G145" t="str">
            <v>A00M401</v>
          </cell>
          <cell r="H145" t="str">
            <v>OTR</v>
          </cell>
          <cell r="I145">
            <v>2001</v>
          </cell>
          <cell r="J145" t="str">
            <v>P</v>
          </cell>
          <cell r="K145" t="str">
            <v>AD</v>
          </cell>
          <cell r="L145" t="str">
            <v>KN</v>
          </cell>
          <cell r="M145">
            <v>3</v>
          </cell>
          <cell r="N145">
            <v>5.9</v>
          </cell>
          <cell r="Z145">
            <v>8.9</v>
          </cell>
          <cell r="AB145">
            <v>8.9</v>
          </cell>
          <cell r="AC145">
            <v>8.9</v>
          </cell>
          <cell r="AD145">
            <v>8.9</v>
          </cell>
          <cell r="AE145">
            <v>0</v>
          </cell>
        </row>
        <row r="146">
          <cell r="B146" t="str">
            <v>CO-KE-A00M401</v>
          </cell>
          <cell r="C146" t="str">
            <v>CO-A00M401</v>
          </cell>
          <cell r="D146" t="str">
            <v>CO-KE</v>
          </cell>
          <cell r="E146" t="str">
            <v>OTR-CO-KE</v>
          </cell>
          <cell r="F146" t="str">
            <v>OTR-KE</v>
          </cell>
          <cell r="G146" t="str">
            <v>A00M401</v>
          </cell>
          <cell r="H146" t="str">
            <v>OTR</v>
          </cell>
          <cell r="I146">
            <v>2001</v>
          </cell>
          <cell r="J146" t="str">
            <v>P</v>
          </cell>
          <cell r="K146" t="str">
            <v>CO</v>
          </cell>
          <cell r="L146" t="str">
            <v>KE</v>
          </cell>
          <cell r="Z146">
            <v>0</v>
          </cell>
          <cell r="AB146">
            <v>0</v>
          </cell>
          <cell r="AC146">
            <v>0</v>
          </cell>
          <cell r="AD146">
            <v>0</v>
          </cell>
          <cell r="AE146">
            <v>0</v>
          </cell>
        </row>
        <row r="147">
          <cell r="B147" t="str">
            <v>CO-KN-A00M401</v>
          </cell>
          <cell r="C147" t="str">
            <v>CO-A00M401</v>
          </cell>
          <cell r="D147" t="str">
            <v>CO-KN</v>
          </cell>
          <cell r="E147" t="str">
            <v>OTR-CO-KN</v>
          </cell>
          <cell r="F147" t="str">
            <v>OTR-KN</v>
          </cell>
          <cell r="G147" t="str">
            <v>A00M401</v>
          </cell>
          <cell r="H147" t="str">
            <v>OTR</v>
          </cell>
          <cell r="I147">
            <v>2001</v>
          </cell>
          <cell r="J147" t="str">
            <v>P</v>
          </cell>
          <cell r="K147" t="str">
            <v>CO</v>
          </cell>
          <cell r="L147" t="str">
            <v>KN</v>
          </cell>
          <cell r="Z147">
            <v>0</v>
          </cell>
          <cell r="AB147">
            <v>0</v>
          </cell>
          <cell r="AC147">
            <v>0</v>
          </cell>
          <cell r="AD147">
            <v>0</v>
          </cell>
          <cell r="AE147">
            <v>0</v>
          </cell>
        </row>
        <row r="148">
          <cell r="B148" t="str">
            <v>IN-KE-A00M401</v>
          </cell>
          <cell r="C148" t="str">
            <v>IN-A00M401</v>
          </cell>
          <cell r="D148" t="str">
            <v>IN-KE</v>
          </cell>
          <cell r="E148" t="str">
            <v>OTR-IN-KE</v>
          </cell>
          <cell r="F148" t="str">
            <v>OTR-KE</v>
          </cell>
          <cell r="G148" t="str">
            <v>A00M401</v>
          </cell>
          <cell r="H148" t="str">
            <v>OTR</v>
          </cell>
          <cell r="I148">
            <v>2001</v>
          </cell>
          <cell r="J148" t="str">
            <v>P</v>
          </cell>
          <cell r="K148" t="str">
            <v>IN</v>
          </cell>
          <cell r="L148" t="str">
            <v>KE</v>
          </cell>
          <cell r="Z148">
            <v>0</v>
          </cell>
          <cell r="AB148">
            <v>0</v>
          </cell>
          <cell r="AC148">
            <v>0</v>
          </cell>
          <cell r="AD148">
            <v>0</v>
          </cell>
          <cell r="AE148">
            <v>0</v>
          </cell>
        </row>
        <row r="149">
          <cell r="B149" t="str">
            <v>IN-KN-A00M401</v>
          </cell>
          <cell r="C149" t="str">
            <v>IN-A00M401</v>
          </cell>
          <cell r="D149" t="str">
            <v>IN-KN</v>
          </cell>
          <cell r="E149" t="str">
            <v>OTR-IN-KN</v>
          </cell>
          <cell r="F149" t="str">
            <v>OTR-KN</v>
          </cell>
          <cell r="G149" t="str">
            <v>A00M401</v>
          </cell>
          <cell r="H149" t="str">
            <v>OTR</v>
          </cell>
          <cell r="I149">
            <v>2001</v>
          </cell>
          <cell r="J149" t="str">
            <v>P</v>
          </cell>
          <cell r="K149" t="str">
            <v>IN</v>
          </cell>
          <cell r="L149" t="str">
            <v>KN</v>
          </cell>
          <cell r="N149">
            <v>5</v>
          </cell>
          <cell r="O149">
            <v>8.6</v>
          </cell>
          <cell r="Y149">
            <v>1.37</v>
          </cell>
          <cell r="Z149">
            <v>13.6</v>
          </cell>
          <cell r="AB149">
            <v>14.969999999999999</v>
          </cell>
          <cell r="AC149">
            <v>13.6</v>
          </cell>
          <cell r="AD149">
            <v>14.969999999999999</v>
          </cell>
          <cell r="AE149">
            <v>0</v>
          </cell>
        </row>
        <row r="150">
          <cell r="B150" t="str">
            <v>AD-KE-A00M405</v>
          </cell>
          <cell r="C150" t="str">
            <v>AD-A00M405</v>
          </cell>
          <cell r="D150" t="str">
            <v>AD-KE</v>
          </cell>
          <cell r="E150" t="str">
            <v>OTR-AD-KE</v>
          </cell>
          <cell r="F150" t="str">
            <v>OTR-KE</v>
          </cell>
          <cell r="G150" t="str">
            <v>A00M405</v>
          </cell>
          <cell r="H150" t="str">
            <v>OTR</v>
          </cell>
          <cell r="I150">
            <v>2001</v>
          </cell>
          <cell r="J150" t="str">
            <v>P</v>
          </cell>
          <cell r="K150" t="str">
            <v>AD</v>
          </cell>
          <cell r="L150" t="str">
            <v>KE</v>
          </cell>
          <cell r="Z150">
            <v>0</v>
          </cell>
          <cell r="AB150">
            <v>0</v>
          </cell>
          <cell r="AC150">
            <v>0</v>
          </cell>
          <cell r="AD150">
            <v>0</v>
          </cell>
          <cell r="AE150">
            <v>0</v>
          </cell>
        </row>
        <row r="151">
          <cell r="B151" t="str">
            <v>AD-KN-A00M405</v>
          </cell>
          <cell r="C151" t="str">
            <v>AD-A00M405</v>
          </cell>
          <cell r="D151" t="str">
            <v>AD-KN</v>
          </cell>
          <cell r="E151" t="str">
            <v>OTR-AD-KN</v>
          </cell>
          <cell r="F151" t="str">
            <v>OTR-KN</v>
          </cell>
          <cell r="G151" t="str">
            <v>A00M405</v>
          </cell>
          <cell r="H151" t="str">
            <v>OTR</v>
          </cell>
          <cell r="I151">
            <v>2001</v>
          </cell>
          <cell r="J151" t="str">
            <v>P</v>
          </cell>
          <cell r="K151" t="str">
            <v>AD</v>
          </cell>
          <cell r="L151" t="str">
            <v>KN</v>
          </cell>
          <cell r="Y151">
            <v>210.44</v>
          </cell>
          <cell r="Z151">
            <v>0</v>
          </cell>
          <cell r="AB151">
            <v>210.44</v>
          </cell>
          <cell r="AC151">
            <v>0</v>
          </cell>
          <cell r="AD151">
            <v>210.44</v>
          </cell>
          <cell r="AE151">
            <v>0</v>
          </cell>
        </row>
        <row r="152">
          <cell r="B152" t="str">
            <v>CO-KE-A00M405</v>
          </cell>
          <cell r="C152" t="str">
            <v>CO-A00M405</v>
          </cell>
          <cell r="D152" t="str">
            <v>CO-KE</v>
          </cell>
          <cell r="E152" t="str">
            <v>OTR-CO-KE</v>
          </cell>
          <cell r="F152" t="str">
            <v>OTR-KE</v>
          </cell>
          <cell r="G152" t="str">
            <v>A00M405</v>
          </cell>
          <cell r="H152" t="str">
            <v>OTR</v>
          </cell>
          <cell r="I152">
            <v>2001</v>
          </cell>
          <cell r="J152" t="str">
            <v>P</v>
          </cell>
          <cell r="K152" t="str">
            <v>CO</v>
          </cell>
          <cell r="L152" t="str">
            <v>KE</v>
          </cell>
          <cell r="Z152">
            <v>0</v>
          </cell>
          <cell r="AB152">
            <v>0</v>
          </cell>
          <cell r="AC152">
            <v>0</v>
          </cell>
          <cell r="AD152">
            <v>0</v>
          </cell>
          <cell r="AE152">
            <v>0</v>
          </cell>
        </row>
        <row r="153">
          <cell r="B153" t="str">
            <v>CO-KN-A00M405</v>
          </cell>
          <cell r="C153" t="str">
            <v>CO-A00M405</v>
          </cell>
          <cell r="D153" t="str">
            <v>CO-KN</v>
          </cell>
          <cell r="E153" t="str">
            <v>OTR-CO-KN</v>
          </cell>
          <cell r="F153" t="str">
            <v>OTR-KN</v>
          </cell>
          <cell r="G153" t="str">
            <v>A00M405</v>
          </cell>
          <cell r="H153" t="str">
            <v>OTR</v>
          </cell>
          <cell r="I153">
            <v>2001</v>
          </cell>
          <cell r="J153" t="str">
            <v>P</v>
          </cell>
          <cell r="K153" t="str">
            <v>CO</v>
          </cell>
          <cell r="L153" t="str">
            <v>KN</v>
          </cell>
          <cell r="M153">
            <v>3.4</v>
          </cell>
          <cell r="N153">
            <v>2.2000000000000002</v>
          </cell>
          <cell r="O153">
            <v>21.2</v>
          </cell>
          <cell r="P153">
            <v>0.1</v>
          </cell>
          <cell r="R153">
            <v>3</v>
          </cell>
          <cell r="S153">
            <v>21.1</v>
          </cell>
          <cell r="Y153">
            <v>59.88</v>
          </cell>
          <cell r="Z153">
            <v>51</v>
          </cell>
          <cell r="AB153">
            <v>110.88</v>
          </cell>
          <cell r="AC153">
            <v>51</v>
          </cell>
          <cell r="AD153">
            <v>110.88</v>
          </cell>
          <cell r="AE153">
            <v>0</v>
          </cell>
        </row>
        <row r="154">
          <cell r="B154" t="str">
            <v>IN-KE-A00M405</v>
          </cell>
          <cell r="C154" t="str">
            <v>IN-A00M405</v>
          </cell>
          <cell r="D154" t="str">
            <v>IN-KE</v>
          </cell>
          <cell r="E154" t="str">
            <v>OTR-IN-KE</v>
          </cell>
          <cell r="F154" t="str">
            <v>OTR-KE</v>
          </cell>
          <cell r="G154" t="str">
            <v>A00M405</v>
          </cell>
          <cell r="H154" t="str">
            <v>OTR</v>
          </cell>
          <cell r="I154">
            <v>2001</v>
          </cell>
          <cell r="J154" t="str">
            <v>P</v>
          </cell>
          <cell r="K154" t="str">
            <v>IN</v>
          </cell>
          <cell r="L154" t="str">
            <v>KE</v>
          </cell>
          <cell r="Z154">
            <v>0</v>
          </cell>
          <cell r="AB154">
            <v>0</v>
          </cell>
          <cell r="AC154">
            <v>0</v>
          </cell>
          <cell r="AD154">
            <v>0</v>
          </cell>
          <cell r="AE154">
            <v>0</v>
          </cell>
        </row>
        <row r="155">
          <cell r="B155" t="str">
            <v>IN-KN-A00M405</v>
          </cell>
          <cell r="C155" t="str">
            <v>IN-A00M405</v>
          </cell>
          <cell r="D155" t="str">
            <v>IN-KN</v>
          </cell>
          <cell r="E155" t="str">
            <v>OTR-IN-KN</v>
          </cell>
          <cell r="F155" t="str">
            <v>OTR-KN</v>
          </cell>
          <cell r="G155" t="str">
            <v>A00M405</v>
          </cell>
          <cell r="H155" t="str">
            <v>OTR</v>
          </cell>
          <cell r="I155">
            <v>2001</v>
          </cell>
          <cell r="J155" t="str">
            <v>P</v>
          </cell>
          <cell r="K155" t="str">
            <v>IN</v>
          </cell>
          <cell r="L155" t="str">
            <v>KN</v>
          </cell>
          <cell r="N155">
            <v>1.6</v>
          </cell>
          <cell r="O155">
            <v>28.6</v>
          </cell>
          <cell r="P155">
            <v>0.9</v>
          </cell>
          <cell r="Y155">
            <v>51.54</v>
          </cell>
          <cell r="Z155">
            <v>31.1</v>
          </cell>
          <cell r="AB155">
            <v>82.64</v>
          </cell>
          <cell r="AC155">
            <v>31.1</v>
          </cell>
          <cell r="AD155">
            <v>82.64</v>
          </cell>
          <cell r="AE155">
            <v>0</v>
          </cell>
        </row>
        <row r="156">
          <cell r="B156" t="str">
            <v>AD-KE-A00M406</v>
          </cell>
          <cell r="C156" t="str">
            <v>AD-A00M406</v>
          </cell>
          <cell r="D156" t="str">
            <v>AD-KE</v>
          </cell>
          <cell r="E156" t="str">
            <v>OTR-AD-KE</v>
          </cell>
          <cell r="F156" t="str">
            <v>OTR-KE</v>
          </cell>
          <cell r="G156" t="str">
            <v>A00M406</v>
          </cell>
          <cell r="H156" t="str">
            <v>OTR</v>
          </cell>
          <cell r="I156">
            <v>2001</v>
          </cell>
          <cell r="J156" t="str">
            <v>P</v>
          </cell>
          <cell r="K156" t="str">
            <v>AD</v>
          </cell>
          <cell r="L156" t="str">
            <v>KE</v>
          </cell>
          <cell r="Z156">
            <v>0</v>
          </cell>
          <cell r="AB156">
            <v>0</v>
          </cell>
          <cell r="AC156">
            <v>0</v>
          </cell>
          <cell r="AD156">
            <v>0</v>
          </cell>
          <cell r="AE156">
            <v>0</v>
          </cell>
        </row>
        <row r="157">
          <cell r="B157" t="str">
            <v>AD-KN-A00M406</v>
          </cell>
          <cell r="C157" t="str">
            <v>AD-A00M406</v>
          </cell>
          <cell r="D157" t="str">
            <v>AD-KN</v>
          </cell>
          <cell r="E157" t="str">
            <v>OTR-AD-KN</v>
          </cell>
          <cell r="F157" t="str">
            <v>OTR-KN</v>
          </cell>
          <cell r="G157" t="str">
            <v>A00M406</v>
          </cell>
          <cell r="H157" t="str">
            <v>OTR</v>
          </cell>
          <cell r="I157">
            <v>2001</v>
          </cell>
          <cell r="J157" t="str">
            <v>P</v>
          </cell>
          <cell r="K157" t="str">
            <v>AD</v>
          </cell>
          <cell r="L157" t="str">
            <v>KN</v>
          </cell>
          <cell r="Q157">
            <v>409.2</v>
          </cell>
          <cell r="R157">
            <v>17.3</v>
          </cell>
          <cell r="Y157">
            <v>11.31</v>
          </cell>
          <cell r="Z157">
            <v>426.5</v>
          </cell>
          <cell r="AB157">
            <v>437.81</v>
          </cell>
          <cell r="AC157">
            <v>426.5</v>
          </cell>
          <cell r="AD157">
            <v>437.81</v>
          </cell>
          <cell r="AE157">
            <v>0</v>
          </cell>
        </row>
        <row r="158">
          <cell r="B158" t="str">
            <v>CO-KE-A00M406</v>
          </cell>
          <cell r="C158" t="str">
            <v>CO-A00M406</v>
          </cell>
          <cell r="D158" t="str">
            <v>CO-KE</v>
          </cell>
          <cell r="E158" t="str">
            <v>OTR-CO-KE</v>
          </cell>
          <cell r="F158" t="str">
            <v>OTR-KE</v>
          </cell>
          <cell r="G158" t="str">
            <v>A00M406</v>
          </cell>
          <cell r="H158" t="str">
            <v>OTR</v>
          </cell>
          <cell r="I158">
            <v>2001</v>
          </cell>
          <cell r="J158" t="str">
            <v>P</v>
          </cell>
          <cell r="K158" t="str">
            <v>CO</v>
          </cell>
          <cell r="L158" t="str">
            <v>KE</v>
          </cell>
          <cell r="Z158">
            <v>0</v>
          </cell>
          <cell r="AB158">
            <v>0</v>
          </cell>
          <cell r="AC158">
            <v>0</v>
          </cell>
          <cell r="AD158">
            <v>0</v>
          </cell>
          <cell r="AE158">
            <v>0</v>
          </cell>
        </row>
        <row r="159">
          <cell r="B159" t="str">
            <v>CO-KN-A00M406</v>
          </cell>
          <cell r="C159" t="str">
            <v>CO-A00M406</v>
          </cell>
          <cell r="D159" t="str">
            <v>CO-KN</v>
          </cell>
          <cell r="E159" t="str">
            <v>OTR-CO-KN</v>
          </cell>
          <cell r="F159" t="str">
            <v>OTR-KN</v>
          </cell>
          <cell r="G159" t="str">
            <v>A00M406</v>
          </cell>
          <cell r="H159" t="str">
            <v>OTR</v>
          </cell>
          <cell r="I159">
            <v>2001</v>
          </cell>
          <cell r="J159" t="str">
            <v>P</v>
          </cell>
          <cell r="K159" t="str">
            <v>CO</v>
          </cell>
          <cell r="L159" t="str">
            <v>KN</v>
          </cell>
          <cell r="Z159">
            <v>0</v>
          </cell>
          <cell r="AB159">
            <v>0</v>
          </cell>
          <cell r="AC159">
            <v>0</v>
          </cell>
          <cell r="AD159">
            <v>0</v>
          </cell>
          <cell r="AE159">
            <v>0</v>
          </cell>
        </row>
        <row r="160">
          <cell r="B160" t="str">
            <v>IN-KE-A00M406</v>
          </cell>
          <cell r="C160" t="str">
            <v>IN-A00M406</v>
          </cell>
          <cell r="D160" t="str">
            <v>IN-KE</v>
          </cell>
          <cell r="E160" t="str">
            <v>OTR-IN-KE</v>
          </cell>
          <cell r="F160" t="str">
            <v>OTR-KE</v>
          </cell>
          <cell r="G160" t="str">
            <v>A00M406</v>
          </cell>
          <cell r="H160" t="str">
            <v>OTR</v>
          </cell>
          <cell r="I160">
            <v>2001</v>
          </cell>
          <cell r="J160" t="str">
            <v>P</v>
          </cell>
          <cell r="K160" t="str">
            <v>IN</v>
          </cell>
          <cell r="L160" t="str">
            <v>KE</v>
          </cell>
          <cell r="Z160">
            <v>0</v>
          </cell>
          <cell r="AB160">
            <v>0</v>
          </cell>
          <cell r="AC160">
            <v>0</v>
          </cell>
          <cell r="AD160">
            <v>0</v>
          </cell>
          <cell r="AE160">
            <v>0</v>
          </cell>
        </row>
        <row r="161">
          <cell r="B161" t="str">
            <v>IN-KN-A00M406</v>
          </cell>
          <cell r="C161" t="str">
            <v>IN-A00M406</v>
          </cell>
          <cell r="D161" t="str">
            <v>IN-KN</v>
          </cell>
          <cell r="E161" t="str">
            <v>OTR-IN-KN</v>
          </cell>
          <cell r="F161" t="str">
            <v>OTR-KN</v>
          </cell>
          <cell r="G161" t="str">
            <v>A00M406</v>
          </cell>
          <cell r="H161" t="str">
            <v>OTR</v>
          </cell>
          <cell r="I161">
            <v>2001</v>
          </cell>
          <cell r="J161" t="str">
            <v>P</v>
          </cell>
          <cell r="K161" t="str">
            <v>IN</v>
          </cell>
          <cell r="L161" t="str">
            <v>KN</v>
          </cell>
          <cell r="M161">
            <v>0.4</v>
          </cell>
          <cell r="N161">
            <v>0.5</v>
          </cell>
          <cell r="O161">
            <v>5</v>
          </cell>
          <cell r="P161">
            <v>45.1</v>
          </cell>
          <cell r="Q161">
            <v>2.5</v>
          </cell>
          <cell r="R161">
            <v>6.5</v>
          </cell>
          <cell r="Y161">
            <v>19.760000000000002</v>
          </cell>
          <cell r="Z161">
            <v>60</v>
          </cell>
          <cell r="AB161">
            <v>79.760000000000005</v>
          </cell>
          <cell r="AC161">
            <v>60</v>
          </cell>
          <cell r="AD161">
            <v>79.760000000000005</v>
          </cell>
          <cell r="AE161">
            <v>0</v>
          </cell>
        </row>
        <row r="162">
          <cell r="B162" t="str">
            <v>AD-KE-A00M101</v>
          </cell>
          <cell r="C162" t="str">
            <v>AD-A00M101</v>
          </cell>
          <cell r="D162" t="str">
            <v>AD-KE</v>
          </cell>
          <cell r="E162" t="str">
            <v>DIV-AD-KE</v>
          </cell>
          <cell r="F162" t="str">
            <v>DIV-KE</v>
          </cell>
          <cell r="G162" t="str">
            <v>A00M101</v>
          </cell>
          <cell r="H162" t="str">
            <v>DIV</v>
          </cell>
          <cell r="I162">
            <v>2000</v>
          </cell>
          <cell r="J162" t="str">
            <v>P</v>
          </cell>
          <cell r="K162" t="str">
            <v>AD</v>
          </cell>
          <cell r="L162" t="str">
            <v>KE</v>
          </cell>
          <cell r="Z162">
            <v>0</v>
          </cell>
          <cell r="AB162">
            <v>0</v>
          </cell>
          <cell r="AC162">
            <v>0</v>
          </cell>
          <cell r="AD162">
            <v>0</v>
          </cell>
          <cell r="AE162">
            <v>0</v>
          </cell>
        </row>
        <row r="163">
          <cell r="B163" t="str">
            <v>AD-KN-A00M101</v>
          </cell>
          <cell r="C163" t="str">
            <v>AD-A00M101</v>
          </cell>
          <cell r="D163" t="str">
            <v>AD-KN</v>
          </cell>
          <cell r="E163" t="str">
            <v>DIV-AD-KN</v>
          </cell>
          <cell r="F163" t="str">
            <v>DIV-KN</v>
          </cell>
          <cell r="G163" t="str">
            <v>A00M101</v>
          </cell>
          <cell r="H163" t="str">
            <v>DIV</v>
          </cell>
          <cell r="I163">
            <v>2000</v>
          </cell>
          <cell r="J163" t="str">
            <v>P</v>
          </cell>
          <cell r="K163" t="str">
            <v>AD</v>
          </cell>
          <cell r="L163" t="str">
            <v>KN</v>
          </cell>
          <cell r="Z163">
            <v>0</v>
          </cell>
          <cell r="AB163">
            <v>0</v>
          </cell>
          <cell r="AC163">
            <v>0</v>
          </cell>
          <cell r="AD163">
            <v>0</v>
          </cell>
          <cell r="AE163">
            <v>0</v>
          </cell>
        </row>
        <row r="164">
          <cell r="B164" t="str">
            <v>CO-KE-A00M101</v>
          </cell>
          <cell r="C164" t="str">
            <v>CO-A00M101</v>
          </cell>
          <cell r="D164" t="str">
            <v>CO-KE</v>
          </cell>
          <cell r="E164" t="str">
            <v>DIV-CO-KE</v>
          </cell>
          <cell r="F164" t="str">
            <v>DIV-KE</v>
          </cell>
          <cell r="G164" t="str">
            <v>A00M101</v>
          </cell>
          <cell r="H164" t="str">
            <v>DIV</v>
          </cell>
          <cell r="I164">
            <v>2000</v>
          </cell>
          <cell r="J164" t="str">
            <v>P</v>
          </cell>
          <cell r="K164" t="str">
            <v>CO</v>
          </cell>
          <cell r="L164" t="str">
            <v>KE</v>
          </cell>
          <cell r="Z164">
            <v>0</v>
          </cell>
          <cell r="AB164">
            <v>0</v>
          </cell>
          <cell r="AC164">
            <v>0</v>
          </cell>
          <cell r="AD164">
            <v>0</v>
          </cell>
          <cell r="AE164">
            <v>0</v>
          </cell>
        </row>
        <row r="165">
          <cell r="B165" t="str">
            <v>CO-KN-A00M101</v>
          </cell>
          <cell r="C165" t="str">
            <v>CO-A00M101</v>
          </cell>
          <cell r="D165" t="str">
            <v>CO-KN</v>
          </cell>
          <cell r="E165" t="str">
            <v>DIV-CO-KN</v>
          </cell>
          <cell r="F165" t="str">
            <v>DIV-KN</v>
          </cell>
          <cell r="G165" t="str">
            <v>A00M101</v>
          </cell>
          <cell r="H165" t="str">
            <v>DIV</v>
          </cell>
          <cell r="I165">
            <v>2000</v>
          </cell>
          <cell r="J165" t="str">
            <v>P</v>
          </cell>
          <cell r="K165" t="str">
            <v>CO</v>
          </cell>
          <cell r="L165" t="str">
            <v>KN</v>
          </cell>
          <cell r="Z165">
            <v>0</v>
          </cell>
          <cell r="AB165">
            <v>0</v>
          </cell>
          <cell r="AC165">
            <v>0</v>
          </cell>
          <cell r="AD165">
            <v>0</v>
          </cell>
          <cell r="AE165">
            <v>0</v>
          </cell>
        </row>
        <row r="166">
          <cell r="B166" t="str">
            <v>IN-KE-A00M101</v>
          </cell>
          <cell r="C166" t="str">
            <v>IN-A00M101</v>
          </cell>
          <cell r="D166" t="str">
            <v>IN-KE</v>
          </cell>
          <cell r="E166" t="str">
            <v>DIV-IN-KE</v>
          </cell>
          <cell r="F166" t="str">
            <v>DIV-KE</v>
          </cell>
          <cell r="G166" t="str">
            <v>A00M101</v>
          </cell>
          <cell r="H166" t="str">
            <v>DIV</v>
          </cell>
          <cell r="I166">
            <v>2000</v>
          </cell>
          <cell r="J166" t="str">
            <v>P</v>
          </cell>
          <cell r="K166" t="str">
            <v>IN</v>
          </cell>
          <cell r="L166" t="str">
            <v>KE</v>
          </cell>
          <cell r="Z166">
            <v>0</v>
          </cell>
          <cell r="AB166">
            <v>0</v>
          </cell>
          <cell r="AC166">
            <v>0</v>
          </cell>
          <cell r="AD166">
            <v>0</v>
          </cell>
          <cell r="AE166">
            <v>0</v>
          </cell>
        </row>
        <row r="167">
          <cell r="B167" t="str">
            <v>IN-KN-A00M101</v>
          </cell>
          <cell r="C167" t="str">
            <v>IN-A00M101</v>
          </cell>
          <cell r="D167" t="str">
            <v>IN-KN</v>
          </cell>
          <cell r="E167" t="str">
            <v>DIV-IN-KN</v>
          </cell>
          <cell r="F167" t="str">
            <v>DIV-KN</v>
          </cell>
          <cell r="G167" t="str">
            <v>A00M101</v>
          </cell>
          <cell r="H167" t="str">
            <v>DIV</v>
          </cell>
          <cell r="I167">
            <v>2000</v>
          </cell>
          <cell r="J167" t="str">
            <v>P</v>
          </cell>
          <cell r="K167" t="str">
            <v>IN</v>
          </cell>
          <cell r="L167" t="str">
            <v>KN</v>
          </cell>
          <cell r="Z167">
            <v>0</v>
          </cell>
          <cell r="AB167">
            <v>0</v>
          </cell>
          <cell r="AC167">
            <v>0</v>
          </cell>
          <cell r="AD167">
            <v>0</v>
          </cell>
          <cell r="AE167">
            <v>0</v>
          </cell>
        </row>
        <row r="168">
          <cell r="B168" t="str">
            <v>AD-KE-A00M102</v>
          </cell>
          <cell r="C168" t="str">
            <v>AD-A00M102</v>
          </cell>
          <cell r="D168" t="str">
            <v>AD-KE</v>
          </cell>
          <cell r="E168" t="str">
            <v>DIV-AD-KE</v>
          </cell>
          <cell r="F168" t="str">
            <v>DIV-KE</v>
          </cell>
          <cell r="G168" t="str">
            <v>A00M102</v>
          </cell>
          <cell r="H168" t="str">
            <v>DIV</v>
          </cell>
          <cell r="I168">
            <v>2001</v>
          </cell>
          <cell r="J168" t="str">
            <v>P</v>
          </cell>
          <cell r="K168" t="str">
            <v>AD</v>
          </cell>
          <cell r="L168" t="str">
            <v>KE</v>
          </cell>
          <cell r="Z168">
            <v>0</v>
          </cell>
          <cell r="AB168">
            <v>0</v>
          </cell>
          <cell r="AC168">
            <v>0</v>
          </cell>
          <cell r="AD168">
            <v>0</v>
          </cell>
          <cell r="AE168">
            <v>0</v>
          </cell>
        </row>
        <row r="169">
          <cell r="B169" t="str">
            <v>AD-KN-A00M102</v>
          </cell>
          <cell r="C169" t="str">
            <v>AD-A00M102</v>
          </cell>
          <cell r="D169" t="str">
            <v>AD-KN</v>
          </cell>
          <cell r="E169" t="str">
            <v>DIV-AD-KN</v>
          </cell>
          <cell r="F169" t="str">
            <v>DIV-KN</v>
          </cell>
          <cell r="G169" t="str">
            <v>A00M102</v>
          </cell>
          <cell r="H169" t="str">
            <v>DIV</v>
          </cell>
          <cell r="I169">
            <v>2001</v>
          </cell>
          <cell r="J169" t="str">
            <v>P</v>
          </cell>
          <cell r="K169" t="str">
            <v>AD</v>
          </cell>
          <cell r="L169" t="str">
            <v>KN</v>
          </cell>
          <cell r="Z169">
            <v>0</v>
          </cell>
          <cell r="AB169">
            <v>0</v>
          </cell>
          <cell r="AC169">
            <v>0</v>
          </cell>
          <cell r="AD169">
            <v>0</v>
          </cell>
          <cell r="AE169">
            <v>0</v>
          </cell>
        </row>
        <row r="170">
          <cell r="B170" t="str">
            <v>CO-KE-A00M102</v>
          </cell>
          <cell r="C170" t="str">
            <v>CO-A00M102</v>
          </cell>
          <cell r="D170" t="str">
            <v>CO-KE</v>
          </cell>
          <cell r="E170" t="str">
            <v>DIV-CO-KE</v>
          </cell>
          <cell r="F170" t="str">
            <v>DIV-KE</v>
          </cell>
          <cell r="G170" t="str">
            <v>A00M102</v>
          </cell>
          <cell r="H170" t="str">
            <v>DIV</v>
          </cell>
          <cell r="I170">
            <v>2001</v>
          </cell>
          <cell r="J170" t="str">
            <v>P</v>
          </cell>
          <cell r="K170" t="str">
            <v>CO</v>
          </cell>
          <cell r="L170" t="str">
            <v>KE</v>
          </cell>
          <cell r="Z170">
            <v>0</v>
          </cell>
          <cell r="AB170">
            <v>0</v>
          </cell>
          <cell r="AC170">
            <v>0</v>
          </cell>
          <cell r="AD170">
            <v>0</v>
          </cell>
          <cell r="AE170">
            <v>0</v>
          </cell>
        </row>
        <row r="171">
          <cell r="B171" t="str">
            <v>CO-KN-A00M102</v>
          </cell>
          <cell r="C171" t="str">
            <v>CO-A00M102</v>
          </cell>
          <cell r="D171" t="str">
            <v>CO-KN</v>
          </cell>
          <cell r="E171" t="str">
            <v>DIV-CO-KN</v>
          </cell>
          <cell r="F171" t="str">
            <v>DIV-KN</v>
          </cell>
          <cell r="G171" t="str">
            <v>A00M102</v>
          </cell>
          <cell r="H171" t="str">
            <v>DIV</v>
          </cell>
          <cell r="I171">
            <v>2001</v>
          </cell>
          <cell r="J171" t="str">
            <v>P</v>
          </cell>
          <cell r="K171" t="str">
            <v>CO</v>
          </cell>
          <cell r="L171" t="str">
            <v>KN</v>
          </cell>
          <cell r="Z171">
            <v>0</v>
          </cell>
          <cell r="AB171">
            <v>0</v>
          </cell>
          <cell r="AC171">
            <v>0</v>
          </cell>
          <cell r="AD171">
            <v>0</v>
          </cell>
          <cell r="AE171">
            <v>0</v>
          </cell>
        </row>
        <row r="172">
          <cell r="B172" t="str">
            <v>IN-KE-A00M102</v>
          </cell>
          <cell r="C172" t="str">
            <v>IN-A00M102</v>
          </cell>
          <cell r="D172" t="str">
            <v>IN-KE</v>
          </cell>
          <cell r="E172" t="str">
            <v>DIV-IN-KE</v>
          </cell>
          <cell r="F172" t="str">
            <v>DIV-KE</v>
          </cell>
          <cell r="G172" t="str">
            <v>A00M102</v>
          </cell>
          <cell r="H172" t="str">
            <v>DIV</v>
          </cell>
          <cell r="I172">
            <v>2001</v>
          </cell>
          <cell r="J172" t="str">
            <v>P</v>
          </cell>
          <cell r="K172" t="str">
            <v>IN</v>
          </cell>
          <cell r="L172" t="str">
            <v>KE</v>
          </cell>
          <cell r="Z172">
            <v>0</v>
          </cell>
          <cell r="AB172">
            <v>0</v>
          </cell>
          <cell r="AC172">
            <v>0</v>
          </cell>
          <cell r="AD172">
            <v>0</v>
          </cell>
          <cell r="AE172">
            <v>0</v>
          </cell>
        </row>
        <row r="173">
          <cell r="B173" t="str">
            <v>IN-KN-A00M102</v>
          </cell>
          <cell r="C173" t="str">
            <v>IN-A00M102</v>
          </cell>
          <cell r="D173" t="str">
            <v>IN-KN</v>
          </cell>
          <cell r="E173" t="str">
            <v>DIV-IN-KN</v>
          </cell>
          <cell r="F173" t="str">
            <v>DIV-KN</v>
          </cell>
          <cell r="G173" t="str">
            <v>A00M102</v>
          </cell>
          <cell r="H173" t="str">
            <v>DIV</v>
          </cell>
          <cell r="I173">
            <v>2001</v>
          </cell>
          <cell r="J173" t="str">
            <v>P</v>
          </cell>
          <cell r="K173" t="str">
            <v>IN</v>
          </cell>
          <cell r="L173" t="str">
            <v>KN</v>
          </cell>
          <cell r="N173">
            <v>4</v>
          </cell>
          <cell r="O173">
            <v>40</v>
          </cell>
          <cell r="Y173">
            <v>26.4</v>
          </cell>
          <cell r="Z173">
            <v>44</v>
          </cell>
          <cell r="AB173">
            <v>70.400000000000006</v>
          </cell>
          <cell r="AC173">
            <v>44</v>
          </cell>
          <cell r="AD173">
            <v>70.400000000000006</v>
          </cell>
          <cell r="AE173">
            <v>0</v>
          </cell>
        </row>
        <row r="174">
          <cell r="B174" t="str">
            <v>AD-KE-A00M103</v>
          </cell>
          <cell r="C174" t="str">
            <v>AD-A00M103</v>
          </cell>
          <cell r="D174" t="str">
            <v>AD-KE</v>
          </cell>
          <cell r="E174" t="str">
            <v>DIV-AD-KE</v>
          </cell>
          <cell r="F174" t="str">
            <v>DIV-KE</v>
          </cell>
          <cell r="G174" t="str">
            <v>A00M103</v>
          </cell>
          <cell r="H174" t="str">
            <v>DIV</v>
          </cell>
          <cell r="I174">
            <v>2001</v>
          </cell>
          <cell r="J174" t="str">
            <v>P</v>
          </cell>
          <cell r="K174" t="str">
            <v>AD</v>
          </cell>
          <cell r="L174" t="str">
            <v>KE</v>
          </cell>
          <cell r="Z174">
            <v>0</v>
          </cell>
          <cell r="AB174">
            <v>0</v>
          </cell>
          <cell r="AC174">
            <v>0</v>
          </cell>
          <cell r="AD174">
            <v>0</v>
          </cell>
          <cell r="AE174">
            <v>0</v>
          </cell>
        </row>
        <row r="175">
          <cell r="B175" t="str">
            <v>AD-KN-A00M103</v>
          </cell>
          <cell r="C175" t="str">
            <v>AD-A00M103</v>
          </cell>
          <cell r="D175" t="str">
            <v>AD-KN</v>
          </cell>
          <cell r="E175" t="str">
            <v>DIV-AD-KN</v>
          </cell>
          <cell r="F175" t="str">
            <v>DIV-KN</v>
          </cell>
          <cell r="G175" t="str">
            <v>A00M103</v>
          </cell>
          <cell r="H175" t="str">
            <v>DIV</v>
          </cell>
          <cell r="I175">
            <v>2001</v>
          </cell>
          <cell r="J175" t="str">
            <v>P</v>
          </cell>
          <cell r="K175" t="str">
            <v>AD</v>
          </cell>
          <cell r="L175" t="str">
            <v>KN</v>
          </cell>
          <cell r="Z175">
            <v>0</v>
          </cell>
          <cell r="AB175">
            <v>0</v>
          </cell>
          <cell r="AC175">
            <v>0</v>
          </cell>
          <cell r="AD175">
            <v>0</v>
          </cell>
          <cell r="AE175">
            <v>0</v>
          </cell>
        </row>
        <row r="176">
          <cell r="B176" t="str">
            <v>CO-KE-A00M103</v>
          </cell>
          <cell r="C176" t="str">
            <v>CO-A00M103</v>
          </cell>
          <cell r="D176" t="str">
            <v>CO-KE</v>
          </cell>
          <cell r="E176" t="str">
            <v>DIV-CO-KE</v>
          </cell>
          <cell r="F176" t="str">
            <v>DIV-KE</v>
          </cell>
          <cell r="G176" t="str">
            <v>A00M103</v>
          </cell>
          <cell r="H176" t="str">
            <v>DIV</v>
          </cell>
          <cell r="I176">
            <v>2001</v>
          </cell>
          <cell r="J176" t="str">
            <v>P</v>
          </cell>
          <cell r="K176" t="str">
            <v>CO</v>
          </cell>
          <cell r="L176" t="str">
            <v>KE</v>
          </cell>
          <cell r="Z176">
            <v>0</v>
          </cell>
          <cell r="AB176">
            <v>0</v>
          </cell>
          <cell r="AC176">
            <v>0</v>
          </cell>
          <cell r="AD176">
            <v>0</v>
          </cell>
          <cell r="AE176">
            <v>0</v>
          </cell>
        </row>
        <row r="177">
          <cell r="B177" t="str">
            <v>CO-KN-A00M103</v>
          </cell>
          <cell r="C177" t="str">
            <v>CO-A00M103</v>
          </cell>
          <cell r="D177" t="str">
            <v>CO-KN</v>
          </cell>
          <cell r="E177" t="str">
            <v>DIV-CO-KN</v>
          </cell>
          <cell r="F177" t="str">
            <v>DIV-KN</v>
          </cell>
          <cell r="G177" t="str">
            <v>A00M103</v>
          </cell>
          <cell r="H177" t="str">
            <v>DIV</v>
          </cell>
          <cell r="I177">
            <v>2001</v>
          </cell>
          <cell r="J177" t="str">
            <v>P</v>
          </cell>
          <cell r="K177" t="str">
            <v>CO</v>
          </cell>
          <cell r="L177" t="str">
            <v>KN</v>
          </cell>
          <cell r="Z177">
            <v>0</v>
          </cell>
          <cell r="AB177">
            <v>0</v>
          </cell>
          <cell r="AC177">
            <v>0</v>
          </cell>
          <cell r="AD177">
            <v>0</v>
          </cell>
          <cell r="AE177">
            <v>0</v>
          </cell>
        </row>
        <row r="178">
          <cell r="B178" t="str">
            <v>IN-KE-A00M103</v>
          </cell>
          <cell r="C178" t="str">
            <v>IN-A00M103</v>
          </cell>
          <cell r="D178" t="str">
            <v>IN-KE</v>
          </cell>
          <cell r="E178" t="str">
            <v>DIV-IN-KE</v>
          </cell>
          <cell r="F178" t="str">
            <v>DIV-KE</v>
          </cell>
          <cell r="G178" t="str">
            <v>A00M103</v>
          </cell>
          <cell r="H178" t="str">
            <v>DIV</v>
          </cell>
          <cell r="I178">
            <v>2001</v>
          </cell>
          <cell r="J178" t="str">
            <v>P</v>
          </cell>
          <cell r="K178" t="str">
            <v>IN</v>
          </cell>
          <cell r="L178" t="str">
            <v>KE</v>
          </cell>
          <cell r="Z178">
            <v>0</v>
          </cell>
          <cell r="AB178">
            <v>0</v>
          </cell>
          <cell r="AC178">
            <v>0</v>
          </cell>
          <cell r="AD178">
            <v>0</v>
          </cell>
          <cell r="AE178">
            <v>0</v>
          </cell>
        </row>
        <row r="179">
          <cell r="B179" t="str">
            <v>IN-KN-A00M103</v>
          </cell>
          <cell r="C179" t="str">
            <v>IN-A00M103</v>
          </cell>
          <cell r="D179" t="str">
            <v>IN-KN</v>
          </cell>
          <cell r="E179" t="str">
            <v>DIV-IN-KN</v>
          </cell>
          <cell r="F179" t="str">
            <v>DIV-KN</v>
          </cell>
          <cell r="G179" t="str">
            <v>A00M103</v>
          </cell>
          <cell r="H179" t="str">
            <v>DIV</v>
          </cell>
          <cell r="I179">
            <v>2001</v>
          </cell>
          <cell r="J179" t="str">
            <v>P</v>
          </cell>
          <cell r="K179" t="str">
            <v>IN</v>
          </cell>
          <cell r="L179" t="str">
            <v>KN</v>
          </cell>
          <cell r="N179">
            <v>3</v>
          </cell>
          <cell r="O179">
            <v>25</v>
          </cell>
          <cell r="P179">
            <v>18</v>
          </cell>
          <cell r="Q179">
            <v>13</v>
          </cell>
          <cell r="Z179">
            <v>59</v>
          </cell>
          <cell r="AB179">
            <v>59</v>
          </cell>
          <cell r="AC179">
            <v>59</v>
          </cell>
          <cell r="AD179">
            <v>59</v>
          </cell>
          <cell r="AE179">
            <v>0</v>
          </cell>
        </row>
        <row r="180">
          <cell r="B180" t="str">
            <v>AD-KE-A00M301</v>
          </cell>
          <cell r="C180" t="str">
            <v>AD-A00M301</v>
          </cell>
          <cell r="D180" t="str">
            <v>AD-KE</v>
          </cell>
          <cell r="E180" t="str">
            <v>DIV-AD-KE</v>
          </cell>
          <cell r="F180" t="str">
            <v>DIV-KE</v>
          </cell>
          <cell r="G180" t="str">
            <v>A00M301</v>
          </cell>
          <cell r="H180" t="str">
            <v>DIV</v>
          </cell>
          <cell r="I180">
            <v>2001</v>
          </cell>
          <cell r="J180" t="str">
            <v>P</v>
          </cell>
          <cell r="K180" t="str">
            <v>AD</v>
          </cell>
          <cell r="L180" t="str">
            <v>KE</v>
          </cell>
          <cell r="Y180">
            <v>74.599999999999994</v>
          </cell>
          <cell r="Z180">
            <v>0</v>
          </cell>
          <cell r="AB180">
            <v>74.599999999999994</v>
          </cell>
          <cell r="AC180">
            <v>0</v>
          </cell>
          <cell r="AD180">
            <v>74.599999999999994</v>
          </cell>
          <cell r="AE180">
            <v>0</v>
          </cell>
        </row>
        <row r="181">
          <cell r="B181" t="str">
            <v>AD-KN-A00M301</v>
          </cell>
          <cell r="C181" t="str">
            <v>AD-A00M301</v>
          </cell>
          <cell r="D181" t="str">
            <v>AD-KN</v>
          </cell>
          <cell r="E181" t="str">
            <v>DIV-AD-KN</v>
          </cell>
          <cell r="F181" t="str">
            <v>DIV-KN</v>
          </cell>
          <cell r="G181" t="str">
            <v>A00M301</v>
          </cell>
          <cell r="H181" t="str">
            <v>DIV</v>
          </cell>
          <cell r="I181">
            <v>2001</v>
          </cell>
          <cell r="J181" t="str">
            <v>P</v>
          </cell>
          <cell r="K181" t="str">
            <v>AD</v>
          </cell>
          <cell r="L181" t="str">
            <v>KN</v>
          </cell>
          <cell r="Y181">
            <v>84.54</v>
          </cell>
          <cell r="Z181">
            <v>0</v>
          </cell>
          <cell r="AB181">
            <v>84.54</v>
          </cell>
          <cell r="AC181">
            <v>0</v>
          </cell>
          <cell r="AD181">
            <v>84.54</v>
          </cell>
          <cell r="AE181">
            <v>0</v>
          </cell>
        </row>
        <row r="182">
          <cell r="B182" t="str">
            <v>CO-KE-A00M301</v>
          </cell>
          <cell r="C182" t="str">
            <v>CO-A00M301</v>
          </cell>
          <cell r="D182" t="str">
            <v>CO-KE</v>
          </cell>
          <cell r="E182" t="str">
            <v>DIV-CO-KE</v>
          </cell>
          <cell r="F182" t="str">
            <v>DIV-KE</v>
          </cell>
          <cell r="G182" t="str">
            <v>A00M301</v>
          </cell>
          <cell r="H182" t="str">
            <v>DIV</v>
          </cell>
          <cell r="I182">
            <v>2001</v>
          </cell>
          <cell r="J182" t="str">
            <v>P</v>
          </cell>
          <cell r="K182" t="str">
            <v>CO</v>
          </cell>
          <cell r="L182" t="str">
            <v>KE</v>
          </cell>
          <cell r="Z182">
            <v>0</v>
          </cell>
          <cell r="AB182">
            <v>0</v>
          </cell>
          <cell r="AC182">
            <v>0</v>
          </cell>
          <cell r="AD182">
            <v>0</v>
          </cell>
          <cell r="AE182">
            <v>0</v>
          </cell>
        </row>
        <row r="183">
          <cell r="B183" t="str">
            <v>CO-KN-A00M301</v>
          </cell>
          <cell r="C183" t="str">
            <v>CO-A00M301</v>
          </cell>
          <cell r="D183" t="str">
            <v>CO-KN</v>
          </cell>
          <cell r="E183" t="str">
            <v>DIV-CO-KN</v>
          </cell>
          <cell r="F183" t="str">
            <v>DIV-KN</v>
          </cell>
          <cell r="G183" t="str">
            <v>A00M301</v>
          </cell>
          <cell r="H183" t="str">
            <v>DIV</v>
          </cell>
          <cell r="I183">
            <v>2001</v>
          </cell>
          <cell r="J183" t="str">
            <v>P</v>
          </cell>
          <cell r="K183" t="str">
            <v>CO</v>
          </cell>
          <cell r="L183" t="str">
            <v>KN</v>
          </cell>
          <cell r="N183">
            <v>1.8</v>
          </cell>
          <cell r="O183">
            <v>8.9</v>
          </cell>
          <cell r="Y183">
            <v>23.79</v>
          </cell>
          <cell r="Z183">
            <v>10.700000000000001</v>
          </cell>
          <cell r="AB183">
            <v>34.49</v>
          </cell>
          <cell r="AC183">
            <v>10.700000000000001</v>
          </cell>
          <cell r="AD183">
            <v>34.49</v>
          </cell>
          <cell r="AE183">
            <v>0</v>
          </cell>
        </row>
        <row r="184">
          <cell r="B184" t="str">
            <v>IN-KE-A00M301</v>
          </cell>
          <cell r="C184" t="str">
            <v>IN-A00M301</v>
          </cell>
          <cell r="D184" t="str">
            <v>IN-KE</v>
          </cell>
          <cell r="E184" t="str">
            <v>DIV-IN-KE</v>
          </cell>
          <cell r="F184" t="str">
            <v>DIV-KE</v>
          </cell>
          <cell r="G184" t="str">
            <v>A00M301</v>
          </cell>
          <cell r="H184" t="str">
            <v>DIV</v>
          </cell>
          <cell r="I184">
            <v>2001</v>
          </cell>
          <cell r="J184" t="str">
            <v>P</v>
          </cell>
          <cell r="K184" t="str">
            <v>IN</v>
          </cell>
          <cell r="L184" t="str">
            <v>KE</v>
          </cell>
          <cell r="Z184">
            <v>0</v>
          </cell>
          <cell r="AB184">
            <v>0</v>
          </cell>
          <cell r="AC184">
            <v>0</v>
          </cell>
          <cell r="AD184">
            <v>0</v>
          </cell>
          <cell r="AE184">
            <v>0</v>
          </cell>
        </row>
        <row r="185">
          <cell r="B185" t="str">
            <v>IN-KN-A00M301</v>
          </cell>
          <cell r="C185" t="str">
            <v>IN-A00M301</v>
          </cell>
          <cell r="D185" t="str">
            <v>IN-KN</v>
          </cell>
          <cell r="E185" t="str">
            <v>DIV-IN-KN</v>
          </cell>
          <cell r="F185" t="str">
            <v>DIV-KN</v>
          </cell>
          <cell r="G185" t="str">
            <v>A00M301</v>
          </cell>
          <cell r="H185" t="str">
            <v>DIV</v>
          </cell>
          <cell r="I185">
            <v>2001</v>
          </cell>
          <cell r="J185" t="str">
            <v>P</v>
          </cell>
          <cell r="K185" t="str">
            <v>IN</v>
          </cell>
          <cell r="L185" t="str">
            <v>KN</v>
          </cell>
          <cell r="N185">
            <v>0.5</v>
          </cell>
          <cell r="O185">
            <v>3.6</v>
          </cell>
          <cell r="Y185">
            <v>6.76</v>
          </cell>
          <cell r="Z185">
            <v>4.0999999999999996</v>
          </cell>
          <cell r="AB185">
            <v>10.86</v>
          </cell>
          <cell r="AC185">
            <v>4.0999999999999996</v>
          </cell>
          <cell r="AD185">
            <v>10.86</v>
          </cell>
          <cell r="AE185">
            <v>0</v>
          </cell>
        </row>
        <row r="186">
          <cell r="B186" t="str">
            <v>AD-KE-A00M302</v>
          </cell>
          <cell r="C186" t="str">
            <v>AD-A00M302</v>
          </cell>
          <cell r="D186" t="str">
            <v>AD-KE</v>
          </cell>
          <cell r="E186" t="str">
            <v>DIV-AD-KE</v>
          </cell>
          <cell r="F186" t="str">
            <v>DIV-KE</v>
          </cell>
          <cell r="G186" t="str">
            <v>A00M302</v>
          </cell>
          <cell r="H186" t="str">
            <v>DIV</v>
          </cell>
          <cell r="I186">
            <v>2001</v>
          </cell>
          <cell r="J186" t="str">
            <v>P</v>
          </cell>
          <cell r="K186" t="str">
            <v>AD</v>
          </cell>
          <cell r="L186" t="str">
            <v>KE</v>
          </cell>
          <cell r="Z186">
            <v>0</v>
          </cell>
          <cell r="AB186">
            <v>0</v>
          </cell>
          <cell r="AC186">
            <v>0</v>
          </cell>
          <cell r="AD186">
            <v>0</v>
          </cell>
          <cell r="AE186">
            <v>0</v>
          </cell>
        </row>
        <row r="187">
          <cell r="B187" t="str">
            <v>AD-KN-A00M302</v>
          </cell>
          <cell r="C187" t="str">
            <v>AD-A00M302</v>
          </cell>
          <cell r="D187" t="str">
            <v>AD-KN</v>
          </cell>
          <cell r="E187" t="str">
            <v>DIV-AD-KN</v>
          </cell>
          <cell r="F187" t="str">
            <v>DIV-KN</v>
          </cell>
          <cell r="G187" t="str">
            <v>A00M302</v>
          </cell>
          <cell r="H187" t="str">
            <v>DIV</v>
          </cell>
          <cell r="I187">
            <v>2001</v>
          </cell>
          <cell r="J187" t="str">
            <v>P</v>
          </cell>
          <cell r="K187" t="str">
            <v>AD</v>
          </cell>
          <cell r="L187" t="str">
            <v>KN</v>
          </cell>
          <cell r="O187">
            <v>10</v>
          </cell>
          <cell r="Y187">
            <v>44.2</v>
          </cell>
          <cell r="Z187">
            <v>10</v>
          </cell>
          <cell r="AB187">
            <v>54.2</v>
          </cell>
          <cell r="AC187">
            <v>10</v>
          </cell>
          <cell r="AD187">
            <v>54.2</v>
          </cell>
          <cell r="AE187">
            <v>0</v>
          </cell>
        </row>
        <row r="188">
          <cell r="B188" t="str">
            <v>CO-KE-A00M302</v>
          </cell>
          <cell r="C188" t="str">
            <v>CO-A00M302</v>
          </cell>
          <cell r="D188" t="str">
            <v>CO-KE</v>
          </cell>
          <cell r="E188" t="str">
            <v>DIV-CO-KE</v>
          </cell>
          <cell r="F188" t="str">
            <v>DIV-KE</v>
          </cell>
          <cell r="G188" t="str">
            <v>A00M302</v>
          </cell>
          <cell r="H188" t="str">
            <v>DIV</v>
          </cell>
          <cell r="I188">
            <v>2001</v>
          </cell>
          <cell r="J188" t="str">
            <v>P</v>
          </cell>
          <cell r="K188" t="str">
            <v>CO</v>
          </cell>
          <cell r="L188" t="str">
            <v>KE</v>
          </cell>
          <cell r="Z188">
            <v>0</v>
          </cell>
          <cell r="AB188">
            <v>0</v>
          </cell>
          <cell r="AC188">
            <v>0</v>
          </cell>
          <cell r="AD188">
            <v>0</v>
          </cell>
          <cell r="AE188">
            <v>0</v>
          </cell>
        </row>
        <row r="189">
          <cell r="B189" t="str">
            <v>CO-KN-A00M302</v>
          </cell>
          <cell r="C189" t="str">
            <v>CO-A00M302</v>
          </cell>
          <cell r="D189" t="str">
            <v>CO-KN</v>
          </cell>
          <cell r="E189" t="str">
            <v>DIV-CO-KN</v>
          </cell>
          <cell r="F189" t="str">
            <v>DIV-KN</v>
          </cell>
          <cell r="G189" t="str">
            <v>A00M302</v>
          </cell>
          <cell r="H189" t="str">
            <v>DIV</v>
          </cell>
          <cell r="I189">
            <v>2001</v>
          </cell>
          <cell r="J189" t="str">
            <v>P</v>
          </cell>
          <cell r="K189" t="str">
            <v>CO</v>
          </cell>
          <cell r="L189" t="str">
            <v>KN</v>
          </cell>
          <cell r="M189">
            <v>-89.3</v>
          </cell>
          <cell r="N189">
            <v>0.1</v>
          </cell>
          <cell r="O189">
            <v>4</v>
          </cell>
          <cell r="P189">
            <v>109.1</v>
          </cell>
          <cell r="Y189">
            <v>81.53</v>
          </cell>
          <cell r="Z189">
            <v>23.899999999999991</v>
          </cell>
          <cell r="AB189">
            <v>105.42999999999999</v>
          </cell>
          <cell r="AC189">
            <v>23.899999999999991</v>
          </cell>
          <cell r="AD189">
            <v>105.42999999999999</v>
          </cell>
          <cell r="AE189">
            <v>0</v>
          </cell>
        </row>
        <row r="190">
          <cell r="B190" t="str">
            <v>IN-KE-A00M302</v>
          </cell>
          <cell r="C190" t="str">
            <v>IN-A00M302</v>
          </cell>
          <cell r="D190" t="str">
            <v>IN-KE</v>
          </cell>
          <cell r="E190" t="str">
            <v>DIV-IN-KE</v>
          </cell>
          <cell r="F190" t="str">
            <v>DIV-KE</v>
          </cell>
          <cell r="G190" t="str">
            <v>A00M302</v>
          </cell>
          <cell r="H190" t="str">
            <v>DIV</v>
          </cell>
          <cell r="I190">
            <v>2001</v>
          </cell>
          <cell r="J190" t="str">
            <v>P</v>
          </cell>
          <cell r="K190" t="str">
            <v>IN</v>
          </cell>
          <cell r="L190" t="str">
            <v>KE</v>
          </cell>
          <cell r="Z190">
            <v>0</v>
          </cell>
          <cell r="AB190">
            <v>0</v>
          </cell>
          <cell r="AC190">
            <v>0</v>
          </cell>
          <cell r="AD190">
            <v>0</v>
          </cell>
          <cell r="AE190">
            <v>0</v>
          </cell>
        </row>
        <row r="191">
          <cell r="B191" t="str">
            <v>IN-KN-A00M302</v>
          </cell>
          <cell r="C191" t="str">
            <v>IN-A00M302</v>
          </cell>
          <cell r="D191" t="str">
            <v>IN-KN</v>
          </cell>
          <cell r="E191" t="str">
            <v>DIV-IN-KN</v>
          </cell>
          <cell r="F191" t="str">
            <v>DIV-KN</v>
          </cell>
          <cell r="G191" t="str">
            <v>A00M302</v>
          </cell>
          <cell r="H191" t="str">
            <v>DIV</v>
          </cell>
          <cell r="I191">
            <v>2001</v>
          </cell>
          <cell r="J191" t="str">
            <v>P</v>
          </cell>
          <cell r="K191" t="str">
            <v>IN</v>
          </cell>
          <cell r="L191" t="str">
            <v>KN</v>
          </cell>
          <cell r="N191">
            <v>0.7</v>
          </cell>
          <cell r="O191">
            <v>4</v>
          </cell>
          <cell r="P191">
            <v>5.5</v>
          </cell>
          <cell r="Y191">
            <v>21.9</v>
          </cell>
          <cell r="Z191">
            <v>10.199999999999999</v>
          </cell>
          <cell r="AB191">
            <v>32.099999999999994</v>
          </cell>
          <cell r="AC191">
            <v>10.199999999999999</v>
          </cell>
          <cell r="AD191">
            <v>32.099999999999994</v>
          </cell>
          <cell r="AE191">
            <v>0</v>
          </cell>
        </row>
        <row r="192">
          <cell r="B192" t="str">
            <v>AD-KE-A00M303</v>
          </cell>
          <cell r="C192" t="str">
            <v>AD-A00M303</v>
          </cell>
          <cell r="D192" t="str">
            <v>AD-KE</v>
          </cell>
          <cell r="E192" t="str">
            <v>DIV-AD-KE</v>
          </cell>
          <cell r="F192" t="str">
            <v>DIV-KE</v>
          </cell>
          <cell r="G192" t="str">
            <v>A00M303</v>
          </cell>
          <cell r="H192" t="str">
            <v>DIV</v>
          </cell>
          <cell r="I192">
            <v>2001</v>
          </cell>
          <cell r="J192" t="str">
            <v>P</v>
          </cell>
          <cell r="K192" t="str">
            <v>AD</v>
          </cell>
          <cell r="L192" t="str">
            <v>KE</v>
          </cell>
          <cell r="U192">
            <v>20.5</v>
          </cell>
          <cell r="Z192">
            <v>20.5</v>
          </cell>
          <cell r="AB192">
            <v>20.5</v>
          </cell>
          <cell r="AC192">
            <v>0</v>
          </cell>
          <cell r="AD192">
            <v>0</v>
          </cell>
          <cell r="AE192">
            <v>20.5</v>
          </cell>
        </row>
        <row r="193">
          <cell r="B193" t="str">
            <v>AD-KN-A00M303</v>
          </cell>
          <cell r="C193" t="str">
            <v>AD-A00M303</v>
          </cell>
          <cell r="D193" t="str">
            <v>AD-KN</v>
          </cell>
          <cell r="E193" t="str">
            <v>DIV-AD-KN</v>
          </cell>
          <cell r="F193" t="str">
            <v>DIV-KN</v>
          </cell>
          <cell r="G193" t="str">
            <v>A00M303</v>
          </cell>
          <cell r="H193" t="str">
            <v>DIV</v>
          </cell>
          <cell r="I193">
            <v>2001</v>
          </cell>
          <cell r="J193" t="str">
            <v>P</v>
          </cell>
          <cell r="K193" t="str">
            <v>AD</v>
          </cell>
          <cell r="L193" t="str">
            <v>KN</v>
          </cell>
          <cell r="M193">
            <v>0.6</v>
          </cell>
          <cell r="R193">
            <v>3</v>
          </cell>
          <cell r="S193">
            <v>3</v>
          </cell>
          <cell r="T193">
            <v>131</v>
          </cell>
          <cell r="U193">
            <v>3</v>
          </cell>
          <cell r="Y193">
            <v>0.74</v>
          </cell>
          <cell r="Z193">
            <v>140.6</v>
          </cell>
          <cell r="AB193">
            <v>141.34</v>
          </cell>
          <cell r="AC193">
            <v>6.6</v>
          </cell>
          <cell r="AD193">
            <v>7.34</v>
          </cell>
          <cell r="AE193">
            <v>134</v>
          </cell>
        </row>
        <row r="194">
          <cell r="B194" t="str">
            <v>CO-KE-A00M303</v>
          </cell>
          <cell r="C194" t="str">
            <v>CO-A00M303</v>
          </cell>
          <cell r="D194" t="str">
            <v>CO-KE</v>
          </cell>
          <cell r="E194" t="str">
            <v>DIV-CO-KE</v>
          </cell>
          <cell r="F194" t="str">
            <v>DIV-KE</v>
          </cell>
          <cell r="G194" t="str">
            <v>A00M303</v>
          </cell>
          <cell r="H194" t="str">
            <v>DIV</v>
          </cell>
          <cell r="I194">
            <v>2001</v>
          </cell>
          <cell r="J194" t="str">
            <v>P</v>
          </cell>
          <cell r="K194" t="str">
            <v>CO</v>
          </cell>
          <cell r="L194" t="str">
            <v>KE</v>
          </cell>
          <cell r="Z194">
            <v>0</v>
          </cell>
          <cell r="AB194">
            <v>0</v>
          </cell>
          <cell r="AC194">
            <v>0</v>
          </cell>
          <cell r="AD194">
            <v>0</v>
          </cell>
          <cell r="AE194">
            <v>0</v>
          </cell>
        </row>
        <row r="195">
          <cell r="B195" t="str">
            <v>CO-KN-A00M303</v>
          </cell>
          <cell r="C195" t="str">
            <v>CO-A00M303</v>
          </cell>
          <cell r="D195" t="str">
            <v>CO-KN</v>
          </cell>
          <cell r="E195" t="str">
            <v>DIV-CO-KN</v>
          </cell>
          <cell r="F195" t="str">
            <v>DIV-KN</v>
          </cell>
          <cell r="G195" t="str">
            <v>A00M303</v>
          </cell>
          <cell r="H195" t="str">
            <v>DIV</v>
          </cell>
          <cell r="I195">
            <v>2001</v>
          </cell>
          <cell r="J195" t="str">
            <v>P</v>
          </cell>
          <cell r="K195" t="str">
            <v>CO</v>
          </cell>
          <cell r="L195" t="str">
            <v>KN</v>
          </cell>
          <cell r="Z195">
            <v>0</v>
          </cell>
          <cell r="AB195">
            <v>0</v>
          </cell>
          <cell r="AC195">
            <v>0</v>
          </cell>
          <cell r="AD195">
            <v>0</v>
          </cell>
          <cell r="AE195">
            <v>0</v>
          </cell>
        </row>
        <row r="196">
          <cell r="B196" t="str">
            <v>IN-KE-A00M303</v>
          </cell>
          <cell r="C196" t="str">
            <v>IN-A00M303</v>
          </cell>
          <cell r="D196" t="str">
            <v>IN-KE</v>
          </cell>
          <cell r="E196" t="str">
            <v>DIV-IN-KE</v>
          </cell>
          <cell r="F196" t="str">
            <v>DIV-KE</v>
          </cell>
          <cell r="G196" t="str">
            <v>A00M303</v>
          </cell>
          <cell r="H196" t="str">
            <v>DIV</v>
          </cell>
          <cell r="I196">
            <v>2001</v>
          </cell>
          <cell r="J196" t="str">
            <v>P</v>
          </cell>
          <cell r="K196" t="str">
            <v>IN</v>
          </cell>
          <cell r="L196" t="str">
            <v>KE</v>
          </cell>
          <cell r="Z196">
            <v>0</v>
          </cell>
          <cell r="AB196">
            <v>0</v>
          </cell>
          <cell r="AC196">
            <v>0</v>
          </cell>
          <cell r="AD196">
            <v>0</v>
          </cell>
          <cell r="AE196">
            <v>0</v>
          </cell>
        </row>
        <row r="197">
          <cell r="B197" t="str">
            <v>IN-KN-A00M303</v>
          </cell>
          <cell r="C197" t="str">
            <v>IN-A00M303</v>
          </cell>
          <cell r="D197" t="str">
            <v>IN-KN</v>
          </cell>
          <cell r="E197" t="str">
            <v>DIV-IN-KN</v>
          </cell>
          <cell r="F197" t="str">
            <v>DIV-KN</v>
          </cell>
          <cell r="G197" t="str">
            <v>A00M303</v>
          </cell>
          <cell r="H197" t="str">
            <v>DIV</v>
          </cell>
          <cell r="I197">
            <v>2001</v>
          </cell>
          <cell r="J197" t="str">
            <v>P</v>
          </cell>
          <cell r="K197" t="str">
            <v>IN</v>
          </cell>
          <cell r="L197" t="str">
            <v>KN</v>
          </cell>
          <cell r="N197">
            <v>0.4</v>
          </cell>
          <cell r="O197">
            <v>4.7</v>
          </cell>
          <cell r="P197">
            <v>2</v>
          </cell>
          <cell r="Q197">
            <v>2</v>
          </cell>
          <cell r="R197">
            <v>2</v>
          </cell>
          <cell r="S197">
            <v>2</v>
          </cell>
          <cell r="T197">
            <v>2</v>
          </cell>
          <cell r="U197">
            <v>2</v>
          </cell>
          <cell r="Y197">
            <v>7.38</v>
          </cell>
          <cell r="Z197">
            <v>17.100000000000001</v>
          </cell>
          <cell r="AB197">
            <v>24.48</v>
          </cell>
          <cell r="AC197">
            <v>13.100000000000001</v>
          </cell>
          <cell r="AD197">
            <v>20.48</v>
          </cell>
          <cell r="AE197">
            <v>4</v>
          </cell>
        </row>
        <row r="198">
          <cell r="B198" t="str">
            <v>AD-KE-A00M304</v>
          </cell>
          <cell r="C198" t="str">
            <v>AD-A00M304</v>
          </cell>
          <cell r="D198" t="str">
            <v>AD-KE</v>
          </cell>
          <cell r="E198" t="str">
            <v>DIV-AD-KE</v>
          </cell>
          <cell r="F198" t="str">
            <v>DIV-KE</v>
          </cell>
          <cell r="G198" t="str">
            <v>A00M304</v>
          </cell>
          <cell r="H198" t="str">
            <v>DIV</v>
          </cell>
          <cell r="I198">
            <v>2000</v>
          </cell>
          <cell r="J198" t="str">
            <v>P</v>
          </cell>
          <cell r="K198" t="str">
            <v>AD</v>
          </cell>
          <cell r="L198" t="str">
            <v>KE</v>
          </cell>
          <cell r="Z198">
            <v>0</v>
          </cell>
          <cell r="AB198">
            <v>0</v>
          </cell>
          <cell r="AC198">
            <v>0</v>
          </cell>
          <cell r="AD198">
            <v>0</v>
          </cell>
          <cell r="AE198">
            <v>0</v>
          </cell>
        </row>
        <row r="199">
          <cell r="B199" t="str">
            <v>AD-KN-A00M304</v>
          </cell>
          <cell r="C199" t="str">
            <v>AD-A00M304</v>
          </cell>
          <cell r="D199" t="str">
            <v>AD-KN</v>
          </cell>
          <cell r="E199" t="str">
            <v>DIV-AD-KN</v>
          </cell>
          <cell r="F199" t="str">
            <v>DIV-KN</v>
          </cell>
          <cell r="G199" t="str">
            <v>A00M304</v>
          </cell>
          <cell r="H199" t="str">
            <v>DIV</v>
          </cell>
          <cell r="I199">
            <v>2000</v>
          </cell>
          <cell r="J199" t="str">
            <v>P</v>
          </cell>
          <cell r="K199" t="str">
            <v>AD</v>
          </cell>
          <cell r="L199" t="str">
            <v>KN</v>
          </cell>
          <cell r="Z199">
            <v>0</v>
          </cell>
          <cell r="AB199">
            <v>0</v>
          </cell>
          <cell r="AC199">
            <v>0</v>
          </cell>
          <cell r="AD199">
            <v>0</v>
          </cell>
          <cell r="AE199">
            <v>0</v>
          </cell>
        </row>
        <row r="200">
          <cell r="B200" t="str">
            <v>CO-KE-A00M304</v>
          </cell>
          <cell r="C200" t="str">
            <v>CO-A00M304</v>
          </cell>
          <cell r="D200" t="str">
            <v>CO-KE</v>
          </cell>
          <cell r="E200" t="str">
            <v>DIV-CO-KE</v>
          </cell>
          <cell r="F200" t="str">
            <v>DIV-KE</v>
          </cell>
          <cell r="G200" t="str">
            <v>A00M304</v>
          </cell>
          <cell r="H200" t="str">
            <v>DIV</v>
          </cell>
          <cell r="I200">
            <v>2000</v>
          </cell>
          <cell r="J200" t="str">
            <v>P</v>
          </cell>
          <cell r="K200" t="str">
            <v>CO</v>
          </cell>
          <cell r="L200" t="str">
            <v>KE</v>
          </cell>
          <cell r="Z200">
            <v>0</v>
          </cell>
          <cell r="AB200">
            <v>0</v>
          </cell>
          <cell r="AC200">
            <v>0</v>
          </cell>
          <cell r="AD200">
            <v>0</v>
          </cell>
          <cell r="AE200">
            <v>0</v>
          </cell>
        </row>
        <row r="201">
          <cell r="B201" t="str">
            <v>CO-KN-A00M304</v>
          </cell>
          <cell r="C201" t="str">
            <v>CO-A00M304</v>
          </cell>
          <cell r="D201" t="str">
            <v>CO-KN</v>
          </cell>
          <cell r="E201" t="str">
            <v>DIV-CO-KN</v>
          </cell>
          <cell r="F201" t="str">
            <v>DIV-KN</v>
          </cell>
          <cell r="G201" t="str">
            <v>A00M304</v>
          </cell>
          <cell r="H201" t="str">
            <v>DIV</v>
          </cell>
          <cell r="I201">
            <v>2000</v>
          </cell>
          <cell r="J201" t="str">
            <v>P</v>
          </cell>
          <cell r="K201" t="str">
            <v>CO</v>
          </cell>
          <cell r="L201" t="str">
            <v>KN</v>
          </cell>
          <cell r="Z201">
            <v>0</v>
          </cell>
          <cell r="AB201">
            <v>0</v>
          </cell>
          <cell r="AC201">
            <v>0</v>
          </cell>
          <cell r="AD201">
            <v>0</v>
          </cell>
          <cell r="AE201">
            <v>0</v>
          </cell>
        </row>
        <row r="202">
          <cell r="B202" t="str">
            <v>IN-KE-A00M304</v>
          </cell>
          <cell r="C202" t="str">
            <v>IN-A00M304</v>
          </cell>
          <cell r="D202" t="str">
            <v>IN-KE</v>
          </cell>
          <cell r="E202" t="str">
            <v>DIV-IN-KE</v>
          </cell>
          <cell r="F202" t="str">
            <v>DIV-KE</v>
          </cell>
          <cell r="G202" t="str">
            <v>A00M304</v>
          </cell>
          <cell r="H202" t="str">
            <v>DIV</v>
          </cell>
          <cell r="I202">
            <v>2000</v>
          </cell>
          <cell r="J202" t="str">
            <v>P</v>
          </cell>
          <cell r="K202" t="str">
            <v>IN</v>
          </cell>
          <cell r="L202" t="str">
            <v>KE</v>
          </cell>
          <cell r="Z202">
            <v>0</v>
          </cell>
          <cell r="AB202">
            <v>0</v>
          </cell>
          <cell r="AC202">
            <v>0</v>
          </cell>
          <cell r="AD202">
            <v>0</v>
          </cell>
          <cell r="AE202">
            <v>0</v>
          </cell>
        </row>
        <row r="203">
          <cell r="B203" t="str">
            <v>IN-KN-A00M304</v>
          </cell>
          <cell r="C203" t="str">
            <v>IN-A00M304</v>
          </cell>
          <cell r="D203" t="str">
            <v>IN-KN</v>
          </cell>
          <cell r="E203" t="str">
            <v>DIV-IN-KN</v>
          </cell>
          <cell r="F203" t="str">
            <v>DIV-KN</v>
          </cell>
          <cell r="G203" t="str">
            <v>A00M304</v>
          </cell>
          <cell r="H203" t="str">
            <v>DIV</v>
          </cell>
          <cell r="I203">
            <v>2000</v>
          </cell>
          <cell r="J203" t="str">
            <v>P</v>
          </cell>
          <cell r="K203" t="str">
            <v>IN</v>
          </cell>
          <cell r="L203" t="str">
            <v>KN</v>
          </cell>
          <cell r="Z203">
            <v>0</v>
          </cell>
          <cell r="AB203">
            <v>0</v>
          </cell>
          <cell r="AC203">
            <v>0</v>
          </cell>
          <cell r="AD203">
            <v>0</v>
          </cell>
          <cell r="AE203">
            <v>0</v>
          </cell>
        </row>
        <row r="204">
          <cell r="B204" t="str">
            <v>AD-KE-A00M305</v>
          </cell>
          <cell r="C204" t="str">
            <v>AD-A00M305</v>
          </cell>
          <cell r="D204" t="str">
            <v>AD-KE</v>
          </cell>
          <cell r="E204" t="str">
            <v>DIV-AD-KE</v>
          </cell>
          <cell r="F204" t="str">
            <v>DIV-KE</v>
          </cell>
          <cell r="G204" t="str">
            <v>A00M305</v>
          </cell>
          <cell r="H204" t="str">
            <v>DIV</v>
          </cell>
          <cell r="I204">
            <v>2001</v>
          </cell>
          <cell r="J204" t="str">
            <v>P</v>
          </cell>
          <cell r="K204" t="str">
            <v>AD</v>
          </cell>
          <cell r="L204" t="str">
            <v>KE</v>
          </cell>
          <cell r="Z204">
            <v>0</v>
          </cell>
          <cell r="AB204">
            <v>0</v>
          </cell>
          <cell r="AC204">
            <v>0</v>
          </cell>
          <cell r="AD204">
            <v>0</v>
          </cell>
          <cell r="AE204">
            <v>0</v>
          </cell>
        </row>
        <row r="205">
          <cell r="B205" t="str">
            <v>AD-KN-A00M305</v>
          </cell>
          <cell r="C205" t="str">
            <v>AD-A00M305</v>
          </cell>
          <cell r="D205" t="str">
            <v>AD-KN</v>
          </cell>
          <cell r="E205" t="str">
            <v>DIV-AD-KN</v>
          </cell>
          <cell r="F205" t="str">
            <v>DIV-KN</v>
          </cell>
          <cell r="G205" t="str">
            <v>A00M305</v>
          </cell>
          <cell r="H205" t="str">
            <v>DIV</v>
          </cell>
          <cell r="I205">
            <v>2001</v>
          </cell>
          <cell r="J205" t="str">
            <v>P</v>
          </cell>
          <cell r="K205" t="str">
            <v>AD</v>
          </cell>
          <cell r="L205" t="str">
            <v>KN</v>
          </cell>
          <cell r="Z205">
            <v>0</v>
          </cell>
          <cell r="AB205">
            <v>0</v>
          </cell>
          <cell r="AC205">
            <v>0</v>
          </cell>
          <cell r="AD205">
            <v>0</v>
          </cell>
          <cell r="AE205">
            <v>0</v>
          </cell>
        </row>
        <row r="206">
          <cell r="B206" t="str">
            <v>CO-KE-A00M305</v>
          </cell>
          <cell r="C206" t="str">
            <v>CO-A00M305</v>
          </cell>
          <cell r="D206" t="str">
            <v>CO-KE</v>
          </cell>
          <cell r="E206" t="str">
            <v>DIV-CO-KE</v>
          </cell>
          <cell r="F206" t="str">
            <v>DIV-KE</v>
          </cell>
          <cell r="G206" t="str">
            <v>A00M305</v>
          </cell>
          <cell r="H206" t="str">
            <v>DIV</v>
          </cell>
          <cell r="I206">
            <v>2001</v>
          </cell>
          <cell r="J206" t="str">
            <v>P</v>
          </cell>
          <cell r="K206" t="str">
            <v>CO</v>
          </cell>
          <cell r="L206" t="str">
            <v>KE</v>
          </cell>
          <cell r="Z206">
            <v>0</v>
          </cell>
          <cell r="AB206">
            <v>0</v>
          </cell>
          <cell r="AC206">
            <v>0</v>
          </cell>
          <cell r="AD206">
            <v>0</v>
          </cell>
          <cell r="AE206">
            <v>0</v>
          </cell>
        </row>
        <row r="207">
          <cell r="B207" t="str">
            <v>CO-KN-A00M305</v>
          </cell>
          <cell r="C207" t="str">
            <v>CO-A00M305</v>
          </cell>
          <cell r="D207" t="str">
            <v>CO-KN</v>
          </cell>
          <cell r="E207" t="str">
            <v>DIV-CO-KN</v>
          </cell>
          <cell r="F207" t="str">
            <v>DIV-KN</v>
          </cell>
          <cell r="G207" t="str">
            <v>A00M305</v>
          </cell>
          <cell r="H207" t="str">
            <v>DIV</v>
          </cell>
          <cell r="I207">
            <v>2001</v>
          </cell>
          <cell r="J207" t="str">
            <v>P</v>
          </cell>
          <cell r="K207" t="str">
            <v>CO</v>
          </cell>
          <cell r="L207" t="str">
            <v>KN</v>
          </cell>
          <cell r="N207">
            <v>43.7</v>
          </cell>
          <cell r="O207">
            <v>6.2</v>
          </cell>
          <cell r="Y207">
            <v>59.89</v>
          </cell>
          <cell r="Z207">
            <v>49.900000000000006</v>
          </cell>
          <cell r="AB207">
            <v>109.79</v>
          </cell>
          <cell r="AC207">
            <v>49.900000000000006</v>
          </cell>
          <cell r="AD207">
            <v>109.79</v>
          </cell>
          <cell r="AE207">
            <v>0</v>
          </cell>
        </row>
        <row r="208">
          <cell r="B208" t="str">
            <v>IN-KE-A00M305</v>
          </cell>
          <cell r="C208" t="str">
            <v>IN-A00M305</v>
          </cell>
          <cell r="D208" t="str">
            <v>IN-KE</v>
          </cell>
          <cell r="E208" t="str">
            <v>DIV-IN-KE</v>
          </cell>
          <cell r="F208" t="str">
            <v>DIV-KE</v>
          </cell>
          <cell r="G208" t="str">
            <v>A00M305</v>
          </cell>
          <cell r="H208" t="str">
            <v>DIV</v>
          </cell>
          <cell r="I208">
            <v>2001</v>
          </cell>
          <cell r="J208" t="str">
            <v>P</v>
          </cell>
          <cell r="K208" t="str">
            <v>IN</v>
          </cell>
          <cell r="L208" t="str">
            <v>KE</v>
          </cell>
          <cell r="Z208">
            <v>0</v>
          </cell>
          <cell r="AB208">
            <v>0</v>
          </cell>
          <cell r="AC208">
            <v>0</v>
          </cell>
          <cell r="AD208">
            <v>0</v>
          </cell>
          <cell r="AE208">
            <v>0</v>
          </cell>
        </row>
        <row r="209">
          <cell r="B209" t="str">
            <v>IN-KN-A00M305</v>
          </cell>
          <cell r="C209" t="str">
            <v>IN-A00M305</v>
          </cell>
          <cell r="D209" t="str">
            <v>IN-KN</v>
          </cell>
          <cell r="E209" t="str">
            <v>DIV-IN-KN</v>
          </cell>
          <cell r="F209" t="str">
            <v>DIV-KN</v>
          </cell>
          <cell r="G209" t="str">
            <v>A00M305</v>
          </cell>
          <cell r="H209" t="str">
            <v>DIV</v>
          </cell>
          <cell r="I209">
            <v>2001</v>
          </cell>
          <cell r="J209" t="str">
            <v>P</v>
          </cell>
          <cell r="K209" t="str">
            <v>IN</v>
          </cell>
          <cell r="L209" t="str">
            <v>KN</v>
          </cell>
          <cell r="N209">
            <v>3.6</v>
          </cell>
          <cell r="O209">
            <v>4</v>
          </cell>
          <cell r="Y209">
            <v>23.04</v>
          </cell>
          <cell r="Z209">
            <v>7.6</v>
          </cell>
          <cell r="AB209">
            <v>30.64</v>
          </cell>
          <cell r="AC209">
            <v>7.6</v>
          </cell>
          <cell r="AD209">
            <v>30.64</v>
          </cell>
          <cell r="AE209">
            <v>0</v>
          </cell>
        </row>
        <row r="210">
          <cell r="B210" t="str">
            <v>AD-KE-A00M306</v>
          </cell>
          <cell r="C210" t="str">
            <v>AD-A00M306</v>
          </cell>
          <cell r="D210" t="str">
            <v>AD-KE</v>
          </cell>
          <cell r="E210" t="str">
            <v>DIV-AD-KE</v>
          </cell>
          <cell r="F210" t="str">
            <v>DIV-KE</v>
          </cell>
          <cell r="G210" t="str">
            <v>A00M306</v>
          </cell>
          <cell r="H210" t="str">
            <v>DIV</v>
          </cell>
          <cell r="I210">
            <v>2000</v>
          </cell>
          <cell r="J210" t="str">
            <v>P</v>
          </cell>
          <cell r="K210" t="str">
            <v>AD</v>
          </cell>
          <cell r="L210" t="str">
            <v>KE</v>
          </cell>
          <cell r="Z210">
            <v>0</v>
          </cell>
          <cell r="AB210">
            <v>0</v>
          </cell>
          <cell r="AC210">
            <v>0</v>
          </cell>
          <cell r="AD210">
            <v>0</v>
          </cell>
          <cell r="AE210">
            <v>0</v>
          </cell>
        </row>
        <row r="211">
          <cell r="B211" t="str">
            <v>AD-KN-A00M306</v>
          </cell>
          <cell r="C211" t="str">
            <v>AD-A00M306</v>
          </cell>
          <cell r="D211" t="str">
            <v>AD-KN</v>
          </cell>
          <cell r="E211" t="str">
            <v>DIV-AD-KN</v>
          </cell>
          <cell r="F211" t="str">
            <v>DIV-KN</v>
          </cell>
          <cell r="G211" t="str">
            <v>A00M306</v>
          </cell>
          <cell r="H211" t="str">
            <v>DIV</v>
          </cell>
          <cell r="I211">
            <v>2000</v>
          </cell>
          <cell r="J211" t="str">
            <v>P</v>
          </cell>
          <cell r="K211" t="str">
            <v>AD</v>
          </cell>
          <cell r="L211" t="str">
            <v>KN</v>
          </cell>
          <cell r="Z211">
            <v>0</v>
          </cell>
          <cell r="AB211">
            <v>0</v>
          </cell>
          <cell r="AC211">
            <v>0</v>
          </cell>
          <cell r="AD211">
            <v>0</v>
          </cell>
          <cell r="AE211">
            <v>0</v>
          </cell>
        </row>
        <row r="212">
          <cell r="B212" t="str">
            <v>CO-KE-A00M306</v>
          </cell>
          <cell r="C212" t="str">
            <v>CO-A00M306</v>
          </cell>
          <cell r="D212" t="str">
            <v>CO-KE</v>
          </cell>
          <cell r="E212" t="str">
            <v>DIV-CO-KE</v>
          </cell>
          <cell r="F212" t="str">
            <v>DIV-KE</v>
          </cell>
          <cell r="G212" t="str">
            <v>A00M306</v>
          </cell>
          <cell r="H212" t="str">
            <v>DIV</v>
          </cell>
          <cell r="I212">
            <v>2000</v>
          </cell>
          <cell r="J212" t="str">
            <v>P</v>
          </cell>
          <cell r="K212" t="str">
            <v>CO</v>
          </cell>
          <cell r="L212" t="str">
            <v>KE</v>
          </cell>
          <cell r="Z212">
            <v>0</v>
          </cell>
          <cell r="AB212">
            <v>0</v>
          </cell>
          <cell r="AC212">
            <v>0</v>
          </cell>
          <cell r="AD212">
            <v>0</v>
          </cell>
          <cell r="AE212">
            <v>0</v>
          </cell>
        </row>
        <row r="213">
          <cell r="B213" t="str">
            <v>CO-KN-A00M306</v>
          </cell>
          <cell r="C213" t="str">
            <v>CO-A00M306</v>
          </cell>
          <cell r="D213" t="str">
            <v>CO-KN</v>
          </cell>
          <cell r="E213" t="str">
            <v>DIV-CO-KN</v>
          </cell>
          <cell r="F213" t="str">
            <v>DIV-KN</v>
          </cell>
          <cell r="G213" t="str">
            <v>A00M306</v>
          </cell>
          <cell r="H213" t="str">
            <v>DIV</v>
          </cell>
          <cell r="I213">
            <v>2000</v>
          </cell>
          <cell r="J213" t="str">
            <v>P</v>
          </cell>
          <cell r="K213" t="str">
            <v>CO</v>
          </cell>
          <cell r="L213" t="str">
            <v>KN</v>
          </cell>
          <cell r="Z213">
            <v>0</v>
          </cell>
          <cell r="AB213">
            <v>0</v>
          </cell>
          <cell r="AC213">
            <v>0</v>
          </cell>
          <cell r="AD213">
            <v>0</v>
          </cell>
          <cell r="AE213">
            <v>0</v>
          </cell>
        </row>
        <row r="214">
          <cell r="B214" t="str">
            <v>IN-KE-A00M306</v>
          </cell>
          <cell r="C214" t="str">
            <v>IN-A00M306</v>
          </cell>
          <cell r="D214" t="str">
            <v>IN-KE</v>
          </cell>
          <cell r="E214" t="str">
            <v>DIV-IN-KE</v>
          </cell>
          <cell r="F214" t="str">
            <v>DIV-KE</v>
          </cell>
          <cell r="G214" t="str">
            <v>A00M306</v>
          </cell>
          <cell r="H214" t="str">
            <v>DIV</v>
          </cell>
          <cell r="I214">
            <v>2000</v>
          </cell>
          <cell r="J214" t="str">
            <v>P</v>
          </cell>
          <cell r="K214" t="str">
            <v>IN</v>
          </cell>
          <cell r="L214" t="str">
            <v>KE</v>
          </cell>
          <cell r="Z214">
            <v>0</v>
          </cell>
          <cell r="AB214">
            <v>0</v>
          </cell>
          <cell r="AC214">
            <v>0</v>
          </cell>
          <cell r="AD214">
            <v>0</v>
          </cell>
          <cell r="AE214">
            <v>0</v>
          </cell>
        </row>
        <row r="215">
          <cell r="B215" t="str">
            <v>IN-KN-A00M306</v>
          </cell>
          <cell r="C215" t="str">
            <v>IN-A00M306</v>
          </cell>
          <cell r="D215" t="str">
            <v>IN-KN</v>
          </cell>
          <cell r="E215" t="str">
            <v>DIV-IN-KN</v>
          </cell>
          <cell r="F215" t="str">
            <v>DIV-KN</v>
          </cell>
          <cell r="G215" t="str">
            <v>A00M306</v>
          </cell>
          <cell r="H215" t="str">
            <v>DIV</v>
          </cell>
          <cell r="I215">
            <v>2000</v>
          </cell>
          <cell r="J215" t="str">
            <v>P</v>
          </cell>
          <cell r="K215" t="str">
            <v>IN</v>
          </cell>
          <cell r="L215" t="str">
            <v>KN</v>
          </cell>
          <cell r="Z215">
            <v>0</v>
          </cell>
          <cell r="AB215">
            <v>0</v>
          </cell>
          <cell r="AC215">
            <v>0</v>
          </cell>
          <cell r="AD215">
            <v>0</v>
          </cell>
          <cell r="AE215">
            <v>0</v>
          </cell>
        </row>
        <row r="216">
          <cell r="B216" t="str">
            <v>AD-KE-A00M310</v>
          </cell>
          <cell r="C216" t="str">
            <v>AD-A00M310</v>
          </cell>
          <cell r="D216" t="str">
            <v>AD-KE</v>
          </cell>
          <cell r="E216" t="str">
            <v>DIV-AD-KE</v>
          </cell>
          <cell r="F216" t="str">
            <v>DIV-KE</v>
          </cell>
          <cell r="G216" t="str">
            <v>A00M310</v>
          </cell>
          <cell r="H216" t="str">
            <v>DIV</v>
          </cell>
          <cell r="I216">
            <v>2001</v>
          </cell>
          <cell r="J216" t="str">
            <v>P</v>
          </cell>
          <cell r="K216" t="str">
            <v>AD</v>
          </cell>
          <cell r="L216" t="str">
            <v>KE</v>
          </cell>
          <cell r="Z216">
            <v>0</v>
          </cell>
          <cell r="AB216">
            <v>0</v>
          </cell>
          <cell r="AC216">
            <v>0</v>
          </cell>
          <cell r="AD216">
            <v>0</v>
          </cell>
          <cell r="AE216">
            <v>0</v>
          </cell>
        </row>
        <row r="217">
          <cell r="B217" t="str">
            <v>AD-KN-A00M310</v>
          </cell>
          <cell r="C217" t="str">
            <v>AD-A00M310</v>
          </cell>
          <cell r="D217" t="str">
            <v>AD-KN</v>
          </cell>
          <cell r="E217" t="str">
            <v>DIV-AD-KN</v>
          </cell>
          <cell r="F217" t="str">
            <v>DIV-KN</v>
          </cell>
          <cell r="G217" t="str">
            <v>A00M310</v>
          </cell>
          <cell r="H217" t="str">
            <v>DIV</v>
          </cell>
          <cell r="I217">
            <v>2001</v>
          </cell>
          <cell r="J217" t="str">
            <v>P</v>
          </cell>
          <cell r="K217" t="str">
            <v>AD</v>
          </cell>
          <cell r="L217" t="str">
            <v>KN</v>
          </cell>
          <cell r="O217">
            <v>23</v>
          </cell>
          <cell r="Z217">
            <v>23</v>
          </cell>
          <cell r="AB217">
            <v>23</v>
          </cell>
          <cell r="AC217">
            <v>23</v>
          </cell>
          <cell r="AD217">
            <v>23</v>
          </cell>
          <cell r="AE217">
            <v>0</v>
          </cell>
        </row>
        <row r="218">
          <cell r="B218" t="str">
            <v>CO-KE-A00M310</v>
          </cell>
          <cell r="C218" t="str">
            <v>CO-A00M310</v>
          </cell>
          <cell r="D218" t="str">
            <v>CO-KE</v>
          </cell>
          <cell r="E218" t="str">
            <v>DIV-CO-KE</v>
          </cell>
          <cell r="F218" t="str">
            <v>DIV-KE</v>
          </cell>
          <cell r="G218" t="str">
            <v>A00M310</v>
          </cell>
          <cell r="H218" t="str">
            <v>DIV</v>
          </cell>
          <cell r="I218">
            <v>2001</v>
          </cell>
          <cell r="J218" t="str">
            <v>P</v>
          </cell>
          <cell r="K218" t="str">
            <v>CO</v>
          </cell>
          <cell r="L218" t="str">
            <v>KE</v>
          </cell>
          <cell r="Z218">
            <v>0</v>
          </cell>
          <cell r="AB218">
            <v>0</v>
          </cell>
          <cell r="AC218">
            <v>0</v>
          </cell>
          <cell r="AD218">
            <v>0</v>
          </cell>
          <cell r="AE218">
            <v>0</v>
          </cell>
        </row>
        <row r="219">
          <cell r="B219" t="str">
            <v>CO-KN-A00M310</v>
          </cell>
          <cell r="C219" t="str">
            <v>CO-A00M310</v>
          </cell>
          <cell r="D219" t="str">
            <v>CO-KN</v>
          </cell>
          <cell r="E219" t="str">
            <v>DIV-CO-KN</v>
          </cell>
          <cell r="F219" t="str">
            <v>DIV-KN</v>
          </cell>
          <cell r="G219" t="str">
            <v>A00M310</v>
          </cell>
          <cell r="H219" t="str">
            <v>DIV</v>
          </cell>
          <cell r="I219">
            <v>2001</v>
          </cell>
          <cell r="J219" t="str">
            <v>P</v>
          </cell>
          <cell r="K219" t="str">
            <v>CO</v>
          </cell>
          <cell r="L219" t="str">
            <v>KN</v>
          </cell>
          <cell r="M219">
            <v>12</v>
          </cell>
          <cell r="N219">
            <v>2.4</v>
          </cell>
          <cell r="O219">
            <v>5</v>
          </cell>
          <cell r="Y219">
            <v>50.89</v>
          </cell>
          <cell r="Z219">
            <v>19.399999999999999</v>
          </cell>
          <cell r="AB219">
            <v>70.289999999999992</v>
          </cell>
          <cell r="AC219">
            <v>19.399999999999999</v>
          </cell>
          <cell r="AD219">
            <v>70.289999999999992</v>
          </cell>
          <cell r="AE219">
            <v>0</v>
          </cell>
        </row>
        <row r="220">
          <cell r="B220" t="str">
            <v>IN-KE-A00M310</v>
          </cell>
          <cell r="C220" t="str">
            <v>IN-A00M310</v>
          </cell>
          <cell r="D220" t="str">
            <v>IN-KE</v>
          </cell>
          <cell r="E220" t="str">
            <v>DIV-IN-KE</v>
          </cell>
          <cell r="F220" t="str">
            <v>DIV-KE</v>
          </cell>
          <cell r="G220" t="str">
            <v>A00M310</v>
          </cell>
          <cell r="H220" t="str">
            <v>DIV</v>
          </cell>
          <cell r="I220">
            <v>2001</v>
          </cell>
          <cell r="J220" t="str">
            <v>P</v>
          </cell>
          <cell r="K220" t="str">
            <v>IN</v>
          </cell>
          <cell r="L220" t="str">
            <v>KE</v>
          </cell>
          <cell r="Z220">
            <v>0</v>
          </cell>
          <cell r="AB220">
            <v>0</v>
          </cell>
          <cell r="AC220">
            <v>0</v>
          </cell>
          <cell r="AD220">
            <v>0</v>
          </cell>
          <cell r="AE220">
            <v>0</v>
          </cell>
        </row>
        <row r="221">
          <cell r="B221" t="str">
            <v>IN-KN-A00M310</v>
          </cell>
          <cell r="C221" t="str">
            <v>IN-A00M310</v>
          </cell>
          <cell r="D221" t="str">
            <v>IN-KN</v>
          </cell>
          <cell r="E221" t="str">
            <v>DIV-IN-KN</v>
          </cell>
          <cell r="F221" t="str">
            <v>DIV-KN</v>
          </cell>
          <cell r="G221" t="str">
            <v>A00M310</v>
          </cell>
          <cell r="H221" t="str">
            <v>DIV</v>
          </cell>
          <cell r="I221">
            <v>2001</v>
          </cell>
          <cell r="J221" t="str">
            <v>P</v>
          </cell>
          <cell r="K221" t="str">
            <v>IN</v>
          </cell>
          <cell r="L221" t="str">
            <v>KN</v>
          </cell>
          <cell r="N221">
            <v>1.5</v>
          </cell>
          <cell r="O221">
            <v>7.5</v>
          </cell>
          <cell r="Y221">
            <v>27.7</v>
          </cell>
          <cell r="Z221">
            <v>9</v>
          </cell>
          <cell r="AB221">
            <v>36.700000000000003</v>
          </cell>
          <cell r="AC221">
            <v>9</v>
          </cell>
          <cell r="AD221">
            <v>36.700000000000003</v>
          </cell>
          <cell r="AE221">
            <v>0</v>
          </cell>
        </row>
        <row r="222">
          <cell r="B222" t="str">
            <v>AD-KE-A00M312</v>
          </cell>
          <cell r="C222" t="str">
            <v>AD-A00M312</v>
          </cell>
          <cell r="D222" t="str">
            <v>AD-KE</v>
          </cell>
          <cell r="E222" t="str">
            <v>DIV-AD-KE</v>
          </cell>
          <cell r="F222" t="str">
            <v>DIV-KE</v>
          </cell>
          <cell r="G222" t="str">
            <v>A00M312</v>
          </cell>
          <cell r="H222" t="str">
            <v>DIV</v>
          </cell>
          <cell r="I222">
            <v>2001</v>
          </cell>
          <cell r="J222" t="str">
            <v>P</v>
          </cell>
          <cell r="K222" t="str">
            <v>AD</v>
          </cell>
          <cell r="L222" t="str">
            <v>KE</v>
          </cell>
          <cell r="Z222">
            <v>0</v>
          </cell>
          <cell r="AB222">
            <v>0</v>
          </cell>
          <cell r="AC222">
            <v>0</v>
          </cell>
          <cell r="AD222">
            <v>0</v>
          </cell>
          <cell r="AE222">
            <v>0</v>
          </cell>
        </row>
        <row r="223">
          <cell r="B223" t="str">
            <v>AD-KN-A00M312</v>
          </cell>
          <cell r="C223" t="str">
            <v>AD-A00M312</v>
          </cell>
          <cell r="D223" t="str">
            <v>AD-KN</v>
          </cell>
          <cell r="E223" t="str">
            <v>DIV-AD-KN</v>
          </cell>
          <cell r="F223" t="str">
            <v>DIV-KN</v>
          </cell>
          <cell r="G223" t="str">
            <v>A00M312</v>
          </cell>
          <cell r="H223" t="str">
            <v>DIV</v>
          </cell>
          <cell r="I223">
            <v>2001</v>
          </cell>
          <cell r="J223" t="str">
            <v>P</v>
          </cell>
          <cell r="K223" t="str">
            <v>AD</v>
          </cell>
          <cell r="L223" t="str">
            <v>KN</v>
          </cell>
          <cell r="P223">
            <v>2</v>
          </cell>
          <cell r="S223">
            <v>29</v>
          </cell>
          <cell r="T223">
            <v>43.8</v>
          </cell>
          <cell r="U223">
            <v>77.2</v>
          </cell>
          <cell r="Z223">
            <v>152</v>
          </cell>
          <cell r="AB223">
            <v>152</v>
          </cell>
          <cell r="AC223">
            <v>31</v>
          </cell>
          <cell r="AD223">
            <v>31</v>
          </cell>
          <cell r="AE223">
            <v>121</v>
          </cell>
        </row>
        <row r="224">
          <cell r="B224" t="str">
            <v>CO-KE-A00M312</v>
          </cell>
          <cell r="C224" t="str">
            <v>CO-A00M312</v>
          </cell>
          <cell r="D224" t="str">
            <v>CO-KE</v>
          </cell>
          <cell r="E224" t="str">
            <v>DIV-CO-KE</v>
          </cell>
          <cell r="F224" t="str">
            <v>DIV-KE</v>
          </cell>
          <cell r="G224" t="str">
            <v>A00M312</v>
          </cell>
          <cell r="H224" t="str">
            <v>DIV</v>
          </cell>
          <cell r="I224">
            <v>2001</v>
          </cell>
          <cell r="J224" t="str">
            <v>P</v>
          </cell>
          <cell r="K224" t="str">
            <v>CO</v>
          </cell>
          <cell r="L224" t="str">
            <v>KE</v>
          </cell>
          <cell r="Z224">
            <v>0</v>
          </cell>
          <cell r="AB224">
            <v>0</v>
          </cell>
          <cell r="AC224">
            <v>0</v>
          </cell>
          <cell r="AD224">
            <v>0</v>
          </cell>
          <cell r="AE224">
            <v>0</v>
          </cell>
        </row>
        <row r="225">
          <cell r="B225" t="str">
            <v>CO-KN-A00M312</v>
          </cell>
          <cell r="C225" t="str">
            <v>CO-A00M312</v>
          </cell>
          <cell r="D225" t="str">
            <v>CO-KN</v>
          </cell>
          <cell r="E225" t="str">
            <v>DIV-CO-KN</v>
          </cell>
          <cell r="F225" t="str">
            <v>DIV-KN</v>
          </cell>
          <cell r="G225" t="str">
            <v>A00M312</v>
          </cell>
          <cell r="H225" t="str">
            <v>DIV</v>
          </cell>
          <cell r="I225">
            <v>2001</v>
          </cell>
          <cell r="J225" t="str">
            <v>P</v>
          </cell>
          <cell r="K225" t="str">
            <v>CO</v>
          </cell>
          <cell r="L225" t="str">
            <v>KN</v>
          </cell>
          <cell r="S225">
            <v>7</v>
          </cell>
          <cell r="T225">
            <v>13</v>
          </cell>
          <cell r="U225">
            <v>27</v>
          </cell>
          <cell r="Z225">
            <v>47</v>
          </cell>
          <cell r="AB225">
            <v>47</v>
          </cell>
          <cell r="AC225">
            <v>7</v>
          </cell>
          <cell r="AD225">
            <v>7</v>
          </cell>
          <cell r="AE225">
            <v>40</v>
          </cell>
        </row>
        <row r="226">
          <cell r="B226" t="str">
            <v>IN-KE-A00M312</v>
          </cell>
          <cell r="C226" t="str">
            <v>IN-A00M312</v>
          </cell>
          <cell r="D226" t="str">
            <v>IN-KE</v>
          </cell>
          <cell r="E226" t="str">
            <v>DIV-IN-KE</v>
          </cell>
          <cell r="F226" t="str">
            <v>DIV-KE</v>
          </cell>
          <cell r="G226" t="str">
            <v>A00M312</v>
          </cell>
          <cell r="H226" t="str">
            <v>DIV</v>
          </cell>
          <cell r="I226">
            <v>2001</v>
          </cell>
          <cell r="J226" t="str">
            <v>P</v>
          </cell>
          <cell r="K226" t="str">
            <v>IN</v>
          </cell>
          <cell r="L226" t="str">
            <v>KE</v>
          </cell>
          <cell r="Z226">
            <v>0</v>
          </cell>
          <cell r="AB226">
            <v>0</v>
          </cell>
          <cell r="AC226">
            <v>0</v>
          </cell>
          <cell r="AD226">
            <v>0</v>
          </cell>
          <cell r="AE226">
            <v>0</v>
          </cell>
        </row>
        <row r="227">
          <cell r="B227" t="str">
            <v>IN-KN-A00M312</v>
          </cell>
          <cell r="C227" t="str">
            <v>IN-A00M312</v>
          </cell>
          <cell r="D227" t="str">
            <v>IN-KN</v>
          </cell>
          <cell r="E227" t="str">
            <v>DIV-IN-KN</v>
          </cell>
          <cell r="F227" t="str">
            <v>DIV-KN</v>
          </cell>
          <cell r="G227" t="str">
            <v>A00M312</v>
          </cell>
          <cell r="H227" t="str">
            <v>DIV</v>
          </cell>
          <cell r="I227">
            <v>2001</v>
          </cell>
          <cell r="J227" t="str">
            <v>P</v>
          </cell>
          <cell r="K227" t="str">
            <v>IN</v>
          </cell>
          <cell r="L227" t="str">
            <v>KN</v>
          </cell>
          <cell r="O227">
            <v>3</v>
          </cell>
          <cell r="P227">
            <v>2</v>
          </cell>
          <cell r="Q227">
            <v>1.2</v>
          </cell>
          <cell r="R227">
            <v>1.5</v>
          </cell>
          <cell r="S227">
            <v>3.7</v>
          </cell>
          <cell r="T227">
            <v>2</v>
          </cell>
          <cell r="U227">
            <v>1.5</v>
          </cell>
          <cell r="Y227">
            <v>1.69</v>
          </cell>
          <cell r="Z227">
            <v>14.9</v>
          </cell>
          <cell r="AB227">
            <v>16.59</v>
          </cell>
          <cell r="AC227">
            <v>11.4</v>
          </cell>
          <cell r="AD227">
            <v>13.09</v>
          </cell>
          <cell r="AE227">
            <v>3.5</v>
          </cell>
        </row>
        <row r="228">
          <cell r="B228" t="str">
            <v>AD-KE-A00M313</v>
          </cell>
          <cell r="C228" t="str">
            <v>AD-A00M313</v>
          </cell>
          <cell r="D228" t="str">
            <v>AD-KE</v>
          </cell>
          <cell r="E228" t="str">
            <v>DIV-AD-KE</v>
          </cell>
          <cell r="F228" t="str">
            <v>DIV-KE</v>
          </cell>
          <cell r="G228" t="str">
            <v>A00M313</v>
          </cell>
          <cell r="H228" t="str">
            <v>DIV</v>
          </cell>
          <cell r="I228">
            <v>2001</v>
          </cell>
          <cell r="J228" t="str">
            <v>P</v>
          </cell>
          <cell r="K228" t="str">
            <v>AD</v>
          </cell>
          <cell r="L228" t="str">
            <v>KE</v>
          </cell>
          <cell r="Z228">
            <v>0</v>
          </cell>
          <cell r="AB228">
            <v>0</v>
          </cell>
          <cell r="AC228">
            <v>0</v>
          </cell>
          <cell r="AD228">
            <v>0</v>
          </cell>
          <cell r="AE228">
            <v>0</v>
          </cell>
        </row>
        <row r="229">
          <cell r="B229" t="str">
            <v>AD-KN-A00M313</v>
          </cell>
          <cell r="C229" t="str">
            <v>AD-A00M313</v>
          </cell>
          <cell r="D229" t="str">
            <v>AD-KN</v>
          </cell>
          <cell r="E229" t="str">
            <v>DIV-AD-KN</v>
          </cell>
          <cell r="F229" t="str">
            <v>DIV-KN</v>
          </cell>
          <cell r="G229" t="str">
            <v>A00M313</v>
          </cell>
          <cell r="H229" t="str">
            <v>DIV</v>
          </cell>
          <cell r="I229">
            <v>2001</v>
          </cell>
          <cell r="J229" t="str">
            <v>P</v>
          </cell>
          <cell r="K229" t="str">
            <v>AD</v>
          </cell>
          <cell r="L229" t="str">
            <v>KN</v>
          </cell>
          <cell r="M229">
            <v>4</v>
          </cell>
          <cell r="N229">
            <v>1.6</v>
          </cell>
          <cell r="O229">
            <v>1</v>
          </cell>
          <cell r="Y229">
            <v>50.36</v>
          </cell>
          <cell r="Z229">
            <v>6.6</v>
          </cell>
          <cell r="AB229">
            <v>56.96</v>
          </cell>
          <cell r="AC229">
            <v>6.6</v>
          </cell>
          <cell r="AD229">
            <v>56.96</v>
          </cell>
          <cell r="AE229">
            <v>0</v>
          </cell>
        </row>
        <row r="230">
          <cell r="B230" t="str">
            <v>CO-KE-A00M313</v>
          </cell>
          <cell r="C230" t="str">
            <v>CO-A00M313</v>
          </cell>
          <cell r="D230" t="str">
            <v>CO-KE</v>
          </cell>
          <cell r="E230" t="str">
            <v>DIV-CO-KE</v>
          </cell>
          <cell r="F230" t="str">
            <v>DIV-KE</v>
          </cell>
          <cell r="G230" t="str">
            <v>A00M313</v>
          </cell>
          <cell r="H230" t="str">
            <v>DIV</v>
          </cell>
          <cell r="I230">
            <v>2001</v>
          </cell>
          <cell r="J230" t="str">
            <v>P</v>
          </cell>
          <cell r="K230" t="str">
            <v>CO</v>
          </cell>
          <cell r="L230" t="str">
            <v>KE</v>
          </cell>
          <cell r="Z230">
            <v>0</v>
          </cell>
          <cell r="AB230">
            <v>0</v>
          </cell>
          <cell r="AC230">
            <v>0</v>
          </cell>
          <cell r="AD230">
            <v>0</v>
          </cell>
          <cell r="AE230">
            <v>0</v>
          </cell>
        </row>
        <row r="231">
          <cell r="B231" t="str">
            <v>CO-KN-A00M313</v>
          </cell>
          <cell r="C231" t="str">
            <v>CO-A00M313</v>
          </cell>
          <cell r="D231" t="str">
            <v>CO-KN</v>
          </cell>
          <cell r="E231" t="str">
            <v>DIV-CO-KN</v>
          </cell>
          <cell r="F231" t="str">
            <v>DIV-KN</v>
          </cell>
          <cell r="G231" t="str">
            <v>A00M313</v>
          </cell>
          <cell r="H231" t="str">
            <v>DIV</v>
          </cell>
          <cell r="I231">
            <v>2001</v>
          </cell>
          <cell r="J231" t="str">
            <v>P</v>
          </cell>
          <cell r="K231" t="str">
            <v>CO</v>
          </cell>
          <cell r="L231" t="str">
            <v>KN</v>
          </cell>
          <cell r="M231">
            <v>0.1</v>
          </cell>
          <cell r="N231">
            <v>0.6</v>
          </cell>
          <cell r="O231">
            <v>1</v>
          </cell>
          <cell r="Y231">
            <v>0.79</v>
          </cell>
          <cell r="Z231">
            <v>1.7</v>
          </cell>
          <cell r="AB231">
            <v>2.4900000000000002</v>
          </cell>
          <cell r="AC231">
            <v>1.7</v>
          </cell>
          <cell r="AD231">
            <v>2.4900000000000002</v>
          </cell>
          <cell r="AE231">
            <v>0</v>
          </cell>
        </row>
        <row r="232">
          <cell r="B232" t="str">
            <v>IN-KE-A00M313</v>
          </cell>
          <cell r="C232" t="str">
            <v>IN-A00M313</v>
          </cell>
          <cell r="D232" t="str">
            <v>IN-KE</v>
          </cell>
          <cell r="E232" t="str">
            <v>DIV-IN-KE</v>
          </cell>
          <cell r="F232" t="str">
            <v>DIV-KE</v>
          </cell>
          <cell r="G232" t="str">
            <v>A00M313</v>
          </cell>
          <cell r="H232" t="str">
            <v>DIV</v>
          </cell>
          <cell r="I232">
            <v>2001</v>
          </cell>
          <cell r="J232" t="str">
            <v>P</v>
          </cell>
          <cell r="K232" t="str">
            <v>IN</v>
          </cell>
          <cell r="L232" t="str">
            <v>KE</v>
          </cell>
          <cell r="Z232">
            <v>0</v>
          </cell>
          <cell r="AB232">
            <v>0</v>
          </cell>
          <cell r="AC232">
            <v>0</v>
          </cell>
          <cell r="AD232">
            <v>0</v>
          </cell>
          <cell r="AE232">
            <v>0</v>
          </cell>
        </row>
        <row r="233">
          <cell r="B233" t="str">
            <v>IN-KN-A00M313</v>
          </cell>
          <cell r="C233" t="str">
            <v>IN-A00M313</v>
          </cell>
          <cell r="D233" t="str">
            <v>IN-KN</v>
          </cell>
          <cell r="E233" t="str">
            <v>DIV-IN-KN</v>
          </cell>
          <cell r="F233" t="str">
            <v>DIV-KN</v>
          </cell>
          <cell r="G233" t="str">
            <v>A00M313</v>
          </cell>
          <cell r="H233" t="str">
            <v>DIV</v>
          </cell>
          <cell r="I233">
            <v>2001</v>
          </cell>
          <cell r="J233" t="str">
            <v>P</v>
          </cell>
          <cell r="K233" t="str">
            <v>IN</v>
          </cell>
          <cell r="L233" t="str">
            <v>KN</v>
          </cell>
          <cell r="N233">
            <v>1.9</v>
          </cell>
          <cell r="O233">
            <v>6</v>
          </cell>
          <cell r="Y233">
            <v>18.739999999999998</v>
          </cell>
          <cell r="Z233">
            <v>7.9</v>
          </cell>
          <cell r="AB233">
            <v>26.64</v>
          </cell>
          <cell r="AC233">
            <v>7.9</v>
          </cell>
          <cell r="AD233">
            <v>26.64</v>
          </cell>
          <cell r="AE233">
            <v>0</v>
          </cell>
        </row>
        <row r="234">
          <cell r="B234" t="str">
            <v>AD-KE-A00M315</v>
          </cell>
          <cell r="C234" t="str">
            <v>AD-A00M315</v>
          </cell>
          <cell r="D234" t="str">
            <v>AD-KE</v>
          </cell>
          <cell r="E234" t="str">
            <v>DIV-AD-KE</v>
          </cell>
          <cell r="F234" t="str">
            <v>DIV-KE</v>
          </cell>
          <cell r="G234" t="str">
            <v>A00M315</v>
          </cell>
          <cell r="H234" t="str">
            <v>DIV</v>
          </cell>
          <cell r="I234">
            <v>2000</v>
          </cell>
          <cell r="J234" t="str">
            <v>P</v>
          </cell>
          <cell r="K234" t="str">
            <v>AD</v>
          </cell>
          <cell r="L234" t="str">
            <v>KE</v>
          </cell>
          <cell r="Z234">
            <v>0</v>
          </cell>
          <cell r="AB234">
            <v>0</v>
          </cell>
          <cell r="AC234">
            <v>0</v>
          </cell>
          <cell r="AD234">
            <v>0</v>
          </cell>
          <cell r="AE234">
            <v>0</v>
          </cell>
        </row>
        <row r="235">
          <cell r="B235" t="str">
            <v>AD-KN-A00M315</v>
          </cell>
          <cell r="C235" t="str">
            <v>AD-A00M315</v>
          </cell>
          <cell r="D235" t="str">
            <v>AD-KN</v>
          </cell>
          <cell r="E235" t="str">
            <v>DIV-AD-KN</v>
          </cell>
          <cell r="F235" t="str">
            <v>DIV-KN</v>
          </cell>
          <cell r="G235" t="str">
            <v>A00M315</v>
          </cell>
          <cell r="H235" t="str">
            <v>DIV</v>
          </cell>
          <cell r="I235">
            <v>2000</v>
          </cell>
          <cell r="J235" t="str">
            <v>P</v>
          </cell>
          <cell r="K235" t="str">
            <v>AD</v>
          </cell>
          <cell r="L235" t="str">
            <v>KN</v>
          </cell>
          <cell r="Z235">
            <v>0</v>
          </cell>
          <cell r="AB235">
            <v>0</v>
          </cell>
          <cell r="AC235">
            <v>0</v>
          </cell>
          <cell r="AD235">
            <v>0</v>
          </cell>
          <cell r="AE235">
            <v>0</v>
          </cell>
        </row>
        <row r="236">
          <cell r="B236" t="str">
            <v>CO-KE-A00M315</v>
          </cell>
          <cell r="C236" t="str">
            <v>CO-A00M315</v>
          </cell>
          <cell r="D236" t="str">
            <v>CO-KE</v>
          </cell>
          <cell r="E236" t="str">
            <v>DIV-CO-KE</v>
          </cell>
          <cell r="F236" t="str">
            <v>DIV-KE</v>
          </cell>
          <cell r="G236" t="str">
            <v>A00M315</v>
          </cell>
          <cell r="H236" t="str">
            <v>DIV</v>
          </cell>
          <cell r="I236">
            <v>2000</v>
          </cell>
          <cell r="J236" t="str">
            <v>P</v>
          </cell>
          <cell r="K236" t="str">
            <v>CO</v>
          </cell>
          <cell r="L236" t="str">
            <v>KE</v>
          </cell>
          <cell r="Z236">
            <v>0</v>
          </cell>
          <cell r="AB236">
            <v>0</v>
          </cell>
          <cell r="AC236">
            <v>0</v>
          </cell>
          <cell r="AD236">
            <v>0</v>
          </cell>
          <cell r="AE236">
            <v>0</v>
          </cell>
        </row>
        <row r="237">
          <cell r="B237" t="str">
            <v>CO-KN-A00M315</v>
          </cell>
          <cell r="C237" t="str">
            <v>CO-A00M315</v>
          </cell>
          <cell r="D237" t="str">
            <v>CO-KN</v>
          </cell>
          <cell r="E237" t="str">
            <v>DIV-CO-KN</v>
          </cell>
          <cell r="F237" t="str">
            <v>DIV-KN</v>
          </cell>
          <cell r="G237" t="str">
            <v>A00M315</v>
          </cell>
          <cell r="H237" t="str">
            <v>DIV</v>
          </cell>
          <cell r="I237">
            <v>2000</v>
          </cell>
          <cell r="J237" t="str">
            <v>P</v>
          </cell>
          <cell r="K237" t="str">
            <v>CO</v>
          </cell>
          <cell r="L237" t="str">
            <v>KN</v>
          </cell>
          <cell r="Z237">
            <v>0</v>
          </cell>
          <cell r="AB237">
            <v>0</v>
          </cell>
          <cell r="AC237">
            <v>0</v>
          </cell>
          <cell r="AD237">
            <v>0</v>
          </cell>
          <cell r="AE237">
            <v>0</v>
          </cell>
        </row>
        <row r="238">
          <cell r="B238" t="str">
            <v>IN-KE-A00M315</v>
          </cell>
          <cell r="C238" t="str">
            <v>IN-A00M315</v>
          </cell>
          <cell r="D238" t="str">
            <v>IN-KE</v>
          </cell>
          <cell r="E238" t="str">
            <v>DIV-IN-KE</v>
          </cell>
          <cell r="F238" t="str">
            <v>DIV-KE</v>
          </cell>
          <cell r="G238" t="str">
            <v>A00M315</v>
          </cell>
          <cell r="H238" t="str">
            <v>DIV</v>
          </cell>
          <cell r="I238">
            <v>2000</v>
          </cell>
          <cell r="J238" t="str">
            <v>P</v>
          </cell>
          <cell r="K238" t="str">
            <v>IN</v>
          </cell>
          <cell r="L238" t="str">
            <v>KE</v>
          </cell>
          <cell r="Z238">
            <v>0</v>
          </cell>
          <cell r="AB238">
            <v>0</v>
          </cell>
          <cell r="AC238">
            <v>0</v>
          </cell>
          <cell r="AD238">
            <v>0</v>
          </cell>
          <cell r="AE238">
            <v>0</v>
          </cell>
        </row>
        <row r="239">
          <cell r="B239" t="str">
            <v>IN-KN-A00M315</v>
          </cell>
          <cell r="C239" t="str">
            <v>IN-A00M315</v>
          </cell>
          <cell r="D239" t="str">
            <v>IN-KN</v>
          </cell>
          <cell r="E239" t="str">
            <v>DIV-IN-KN</v>
          </cell>
          <cell r="F239" t="str">
            <v>DIV-KN</v>
          </cell>
          <cell r="G239" t="str">
            <v>A00M315</v>
          </cell>
          <cell r="H239" t="str">
            <v>DIV</v>
          </cell>
          <cell r="I239">
            <v>2000</v>
          </cell>
          <cell r="J239" t="str">
            <v>P</v>
          </cell>
          <cell r="K239" t="str">
            <v>IN</v>
          </cell>
          <cell r="L239" t="str">
            <v>KN</v>
          </cell>
          <cell r="Z239">
            <v>0</v>
          </cell>
          <cell r="AB239">
            <v>0</v>
          </cell>
          <cell r="AC239">
            <v>0</v>
          </cell>
          <cell r="AD239">
            <v>0</v>
          </cell>
          <cell r="AE239">
            <v>0</v>
          </cell>
        </row>
        <row r="240">
          <cell r="B240" t="str">
            <v>AD-KE-A00M318</v>
          </cell>
          <cell r="C240" t="str">
            <v>AD-A00M318</v>
          </cell>
          <cell r="D240" t="str">
            <v>AD-KE</v>
          </cell>
          <cell r="E240" t="str">
            <v>DIV-AD-KE</v>
          </cell>
          <cell r="F240" t="str">
            <v>DIV-KE</v>
          </cell>
          <cell r="G240" t="str">
            <v>A00M318</v>
          </cell>
          <cell r="H240" t="str">
            <v>DIV</v>
          </cell>
          <cell r="I240">
            <v>2001</v>
          </cell>
          <cell r="J240" t="str">
            <v>P</v>
          </cell>
          <cell r="K240" t="str">
            <v>AD</v>
          </cell>
          <cell r="L240" t="str">
            <v>KE</v>
          </cell>
          <cell r="Z240">
            <v>0</v>
          </cell>
          <cell r="AB240">
            <v>0</v>
          </cell>
          <cell r="AC240">
            <v>0</v>
          </cell>
          <cell r="AD240">
            <v>0</v>
          </cell>
          <cell r="AE240">
            <v>0</v>
          </cell>
        </row>
        <row r="241">
          <cell r="B241" t="str">
            <v>AD-KN-A00M318</v>
          </cell>
          <cell r="C241" t="str">
            <v>AD-A00M318</v>
          </cell>
          <cell r="D241" t="str">
            <v>AD-KN</v>
          </cell>
          <cell r="E241" t="str">
            <v>DIV-AD-KN</v>
          </cell>
          <cell r="F241" t="str">
            <v>DIV-KN</v>
          </cell>
          <cell r="G241" t="str">
            <v>A00M318</v>
          </cell>
          <cell r="H241" t="str">
            <v>DIV</v>
          </cell>
          <cell r="I241">
            <v>2001</v>
          </cell>
          <cell r="J241" t="str">
            <v>P</v>
          </cell>
          <cell r="K241" t="str">
            <v>AD</v>
          </cell>
          <cell r="L241" t="str">
            <v>KN</v>
          </cell>
          <cell r="N241">
            <v>3.4</v>
          </cell>
          <cell r="O241">
            <v>11.8</v>
          </cell>
          <cell r="P241">
            <v>2.5</v>
          </cell>
          <cell r="Y241">
            <v>32.840000000000003</v>
          </cell>
          <cell r="Z241">
            <v>17.700000000000003</v>
          </cell>
          <cell r="AB241">
            <v>50.540000000000006</v>
          </cell>
          <cell r="AC241">
            <v>17.700000000000003</v>
          </cell>
          <cell r="AD241">
            <v>50.540000000000006</v>
          </cell>
          <cell r="AE241">
            <v>0</v>
          </cell>
        </row>
        <row r="242">
          <cell r="B242" t="str">
            <v>CO-KE-A00M318</v>
          </cell>
          <cell r="C242" t="str">
            <v>CO-A00M318</v>
          </cell>
          <cell r="D242" t="str">
            <v>CO-KE</v>
          </cell>
          <cell r="E242" t="str">
            <v>DIV-CO-KE</v>
          </cell>
          <cell r="F242" t="str">
            <v>DIV-KE</v>
          </cell>
          <cell r="G242" t="str">
            <v>A00M318</v>
          </cell>
          <cell r="H242" t="str">
            <v>DIV</v>
          </cell>
          <cell r="I242">
            <v>2001</v>
          </cell>
          <cell r="J242" t="str">
            <v>P</v>
          </cell>
          <cell r="K242" t="str">
            <v>CO</v>
          </cell>
          <cell r="L242" t="str">
            <v>KE</v>
          </cell>
          <cell r="Z242">
            <v>0</v>
          </cell>
          <cell r="AB242">
            <v>0</v>
          </cell>
          <cell r="AC242">
            <v>0</v>
          </cell>
          <cell r="AD242">
            <v>0</v>
          </cell>
          <cell r="AE242">
            <v>0</v>
          </cell>
        </row>
        <row r="243">
          <cell r="B243" t="str">
            <v>CO-KN-A00M318</v>
          </cell>
          <cell r="C243" t="str">
            <v>CO-A00M318</v>
          </cell>
          <cell r="D243" t="str">
            <v>CO-KN</v>
          </cell>
          <cell r="E243" t="str">
            <v>DIV-CO-KN</v>
          </cell>
          <cell r="F243" t="str">
            <v>DIV-KN</v>
          </cell>
          <cell r="G243" t="str">
            <v>A00M318</v>
          </cell>
          <cell r="H243" t="str">
            <v>DIV</v>
          </cell>
          <cell r="I243">
            <v>2001</v>
          </cell>
          <cell r="J243" t="str">
            <v>P</v>
          </cell>
          <cell r="K243" t="str">
            <v>CO</v>
          </cell>
          <cell r="L243" t="str">
            <v>KN</v>
          </cell>
          <cell r="M243">
            <v>0.2</v>
          </cell>
          <cell r="N243">
            <v>3.6</v>
          </cell>
          <cell r="O243">
            <v>20.6</v>
          </cell>
          <cell r="P243">
            <v>25</v>
          </cell>
          <cell r="Y243">
            <v>19.43</v>
          </cell>
          <cell r="Z243">
            <v>49.400000000000006</v>
          </cell>
          <cell r="AB243">
            <v>68.830000000000013</v>
          </cell>
          <cell r="AC243">
            <v>49.400000000000006</v>
          </cell>
          <cell r="AD243">
            <v>68.830000000000013</v>
          </cell>
          <cell r="AE243">
            <v>0</v>
          </cell>
        </row>
        <row r="244">
          <cell r="B244" t="str">
            <v>IN-KE-A00M318</v>
          </cell>
          <cell r="C244" t="str">
            <v>IN-A00M318</v>
          </cell>
          <cell r="D244" t="str">
            <v>IN-KE</v>
          </cell>
          <cell r="E244" t="str">
            <v>DIV-IN-KE</v>
          </cell>
          <cell r="F244" t="str">
            <v>DIV-KE</v>
          </cell>
          <cell r="G244" t="str">
            <v>A00M318</v>
          </cell>
          <cell r="H244" t="str">
            <v>DIV</v>
          </cell>
          <cell r="I244">
            <v>2001</v>
          </cell>
          <cell r="J244" t="str">
            <v>P</v>
          </cell>
          <cell r="K244" t="str">
            <v>IN</v>
          </cell>
          <cell r="L244" t="str">
            <v>KE</v>
          </cell>
          <cell r="Z244">
            <v>0</v>
          </cell>
          <cell r="AB244">
            <v>0</v>
          </cell>
          <cell r="AC244">
            <v>0</v>
          </cell>
          <cell r="AD244">
            <v>0</v>
          </cell>
          <cell r="AE244">
            <v>0</v>
          </cell>
        </row>
        <row r="245">
          <cell r="B245" t="str">
            <v>IN-KN-A00M318</v>
          </cell>
          <cell r="C245" t="str">
            <v>IN-A00M318</v>
          </cell>
          <cell r="D245" t="str">
            <v>IN-KN</v>
          </cell>
          <cell r="E245" t="str">
            <v>DIV-IN-KN</v>
          </cell>
          <cell r="F245" t="str">
            <v>DIV-KN</v>
          </cell>
          <cell r="G245" t="str">
            <v>A00M318</v>
          </cell>
          <cell r="H245" t="str">
            <v>DIV</v>
          </cell>
          <cell r="I245">
            <v>2001</v>
          </cell>
          <cell r="J245" t="str">
            <v>P</v>
          </cell>
          <cell r="K245" t="str">
            <v>IN</v>
          </cell>
          <cell r="L245" t="str">
            <v>KN</v>
          </cell>
          <cell r="N245">
            <v>7.8</v>
          </cell>
          <cell r="O245">
            <v>9</v>
          </cell>
          <cell r="P245">
            <v>3.5</v>
          </cell>
          <cell r="Y245">
            <v>84.5</v>
          </cell>
          <cell r="Z245">
            <v>20.3</v>
          </cell>
          <cell r="AB245">
            <v>104.8</v>
          </cell>
          <cell r="AC245">
            <v>20.3</v>
          </cell>
          <cell r="AD245">
            <v>104.8</v>
          </cell>
          <cell r="AE245">
            <v>0</v>
          </cell>
        </row>
        <row r="246">
          <cell r="B246" t="str">
            <v>AD-KE-A00M319</v>
          </cell>
          <cell r="C246" t="str">
            <v>AD-A00M319</v>
          </cell>
          <cell r="D246" t="str">
            <v>AD-KE</v>
          </cell>
          <cell r="E246" t="str">
            <v>DIV-AD-KE</v>
          </cell>
          <cell r="F246" t="str">
            <v>DIV-KE</v>
          </cell>
          <cell r="G246" t="str">
            <v>A00M319</v>
          </cell>
          <cell r="H246" t="str">
            <v>DIV</v>
          </cell>
          <cell r="I246">
            <v>2001</v>
          </cell>
          <cell r="J246" t="str">
            <v>P</v>
          </cell>
          <cell r="K246" t="str">
            <v>AD</v>
          </cell>
          <cell r="L246" t="str">
            <v>KE</v>
          </cell>
          <cell r="Z246">
            <v>0</v>
          </cell>
          <cell r="AB246">
            <v>0</v>
          </cell>
          <cell r="AC246">
            <v>0</v>
          </cell>
          <cell r="AD246">
            <v>0</v>
          </cell>
          <cell r="AE246">
            <v>0</v>
          </cell>
        </row>
        <row r="247">
          <cell r="B247" t="str">
            <v>AD-KN-A00M319</v>
          </cell>
          <cell r="C247" t="str">
            <v>AD-A00M319</v>
          </cell>
          <cell r="D247" t="str">
            <v>AD-KN</v>
          </cell>
          <cell r="E247" t="str">
            <v>DIV-AD-KN</v>
          </cell>
          <cell r="F247" t="str">
            <v>DIV-KN</v>
          </cell>
          <cell r="G247" t="str">
            <v>A00M319</v>
          </cell>
          <cell r="H247" t="str">
            <v>DIV</v>
          </cell>
          <cell r="I247">
            <v>2001</v>
          </cell>
          <cell r="J247" t="str">
            <v>P</v>
          </cell>
          <cell r="K247" t="str">
            <v>AD</v>
          </cell>
          <cell r="L247" t="str">
            <v>KN</v>
          </cell>
          <cell r="Y247">
            <v>26.21</v>
          </cell>
          <cell r="Z247">
            <v>0</v>
          </cell>
          <cell r="AB247">
            <v>26.21</v>
          </cell>
          <cell r="AC247">
            <v>0</v>
          </cell>
          <cell r="AD247">
            <v>26.21</v>
          </cell>
          <cell r="AE247">
            <v>0</v>
          </cell>
        </row>
        <row r="248">
          <cell r="B248" t="str">
            <v>CO-KE-A00M319</v>
          </cell>
          <cell r="C248" t="str">
            <v>CO-A00M319</v>
          </cell>
          <cell r="D248" t="str">
            <v>CO-KE</v>
          </cell>
          <cell r="E248" t="str">
            <v>DIV-CO-KE</v>
          </cell>
          <cell r="F248" t="str">
            <v>DIV-KE</v>
          </cell>
          <cell r="G248" t="str">
            <v>A00M319</v>
          </cell>
          <cell r="H248" t="str">
            <v>DIV</v>
          </cell>
          <cell r="I248">
            <v>2001</v>
          </cell>
          <cell r="J248" t="str">
            <v>P</v>
          </cell>
          <cell r="K248" t="str">
            <v>CO</v>
          </cell>
          <cell r="L248" t="str">
            <v>KE</v>
          </cell>
          <cell r="Z248">
            <v>0</v>
          </cell>
          <cell r="AB248">
            <v>0</v>
          </cell>
          <cell r="AC248">
            <v>0</v>
          </cell>
          <cell r="AD248">
            <v>0</v>
          </cell>
          <cell r="AE248">
            <v>0</v>
          </cell>
        </row>
        <row r="249">
          <cell r="B249" t="str">
            <v>CO-KN-A00M319</v>
          </cell>
          <cell r="C249" t="str">
            <v>CO-A00M319</v>
          </cell>
          <cell r="D249" t="str">
            <v>CO-KN</v>
          </cell>
          <cell r="E249" t="str">
            <v>DIV-CO-KN</v>
          </cell>
          <cell r="F249" t="str">
            <v>DIV-KN</v>
          </cell>
          <cell r="G249" t="str">
            <v>A00M319</v>
          </cell>
          <cell r="H249" t="str">
            <v>DIV</v>
          </cell>
          <cell r="I249">
            <v>2001</v>
          </cell>
          <cell r="J249" t="str">
            <v>P</v>
          </cell>
          <cell r="K249" t="str">
            <v>CO</v>
          </cell>
          <cell r="L249" t="str">
            <v>KN</v>
          </cell>
          <cell r="O249">
            <v>3</v>
          </cell>
          <cell r="Z249">
            <v>3</v>
          </cell>
          <cell r="AB249">
            <v>3</v>
          </cell>
          <cell r="AC249">
            <v>3</v>
          </cell>
          <cell r="AD249">
            <v>3</v>
          </cell>
          <cell r="AE249">
            <v>0</v>
          </cell>
        </row>
        <row r="250">
          <cell r="B250" t="str">
            <v>IN-KE-A00M319</v>
          </cell>
          <cell r="C250" t="str">
            <v>IN-A00M319</v>
          </cell>
          <cell r="D250" t="str">
            <v>IN-KE</v>
          </cell>
          <cell r="E250" t="str">
            <v>DIV-IN-KE</v>
          </cell>
          <cell r="F250" t="str">
            <v>DIV-KE</v>
          </cell>
          <cell r="G250" t="str">
            <v>A00M319</v>
          </cell>
          <cell r="H250" t="str">
            <v>DIV</v>
          </cell>
          <cell r="I250">
            <v>2001</v>
          </cell>
          <cell r="J250" t="str">
            <v>P</v>
          </cell>
          <cell r="K250" t="str">
            <v>IN</v>
          </cell>
          <cell r="L250" t="str">
            <v>KE</v>
          </cell>
          <cell r="Z250">
            <v>0</v>
          </cell>
          <cell r="AB250">
            <v>0</v>
          </cell>
          <cell r="AC250">
            <v>0</v>
          </cell>
          <cell r="AD250">
            <v>0</v>
          </cell>
          <cell r="AE250">
            <v>0</v>
          </cell>
        </row>
        <row r="251">
          <cell r="B251" t="str">
            <v>IN-KN-A00M319</v>
          </cell>
          <cell r="C251" t="str">
            <v>IN-A00M319</v>
          </cell>
          <cell r="D251" t="str">
            <v>IN-KN</v>
          </cell>
          <cell r="E251" t="str">
            <v>DIV-IN-KN</v>
          </cell>
          <cell r="F251" t="str">
            <v>DIV-KN</v>
          </cell>
          <cell r="G251" t="str">
            <v>A00M319</v>
          </cell>
          <cell r="H251" t="str">
            <v>DIV</v>
          </cell>
          <cell r="I251">
            <v>2001</v>
          </cell>
          <cell r="J251" t="str">
            <v>P</v>
          </cell>
          <cell r="K251" t="str">
            <v>IN</v>
          </cell>
          <cell r="L251" t="str">
            <v>KN</v>
          </cell>
          <cell r="M251">
            <v>0.4</v>
          </cell>
          <cell r="N251">
            <v>1.3</v>
          </cell>
          <cell r="O251">
            <v>3</v>
          </cell>
          <cell r="Y251">
            <v>5.56</v>
          </cell>
          <cell r="Z251">
            <v>4.7</v>
          </cell>
          <cell r="AB251">
            <v>10.26</v>
          </cell>
          <cell r="AC251">
            <v>4.7</v>
          </cell>
          <cell r="AD251">
            <v>10.26</v>
          </cell>
          <cell r="AE251">
            <v>0</v>
          </cell>
        </row>
        <row r="252">
          <cell r="B252" t="str">
            <v>AD-KE-A00M321</v>
          </cell>
          <cell r="C252" t="str">
            <v>AD-A00M321</v>
          </cell>
          <cell r="D252" t="str">
            <v>AD-KE</v>
          </cell>
          <cell r="E252" t="str">
            <v>DIV-AD-KE</v>
          </cell>
          <cell r="F252" t="str">
            <v>DIV-KE</v>
          </cell>
          <cell r="G252" t="str">
            <v>A00M321</v>
          </cell>
          <cell r="H252" t="str">
            <v>DIV</v>
          </cell>
          <cell r="I252">
            <v>2000</v>
          </cell>
          <cell r="J252" t="str">
            <v>P</v>
          </cell>
          <cell r="K252" t="str">
            <v>AD</v>
          </cell>
          <cell r="L252" t="str">
            <v>KE</v>
          </cell>
          <cell r="Z252">
            <v>0</v>
          </cell>
          <cell r="AB252">
            <v>0</v>
          </cell>
          <cell r="AC252">
            <v>0</v>
          </cell>
          <cell r="AD252">
            <v>0</v>
          </cell>
          <cell r="AE252">
            <v>0</v>
          </cell>
        </row>
        <row r="253">
          <cell r="B253" t="str">
            <v>AD-KN-A00M321</v>
          </cell>
          <cell r="C253" t="str">
            <v>AD-A00M321</v>
          </cell>
          <cell r="D253" t="str">
            <v>AD-KN</v>
          </cell>
          <cell r="E253" t="str">
            <v>DIV-AD-KN</v>
          </cell>
          <cell r="F253" t="str">
            <v>DIV-KN</v>
          </cell>
          <cell r="G253" t="str">
            <v>A00M321</v>
          </cell>
          <cell r="H253" t="str">
            <v>DIV</v>
          </cell>
          <cell r="I253">
            <v>2000</v>
          </cell>
          <cell r="J253" t="str">
            <v>P</v>
          </cell>
          <cell r="K253" t="str">
            <v>AD</v>
          </cell>
          <cell r="L253" t="str">
            <v>KN</v>
          </cell>
          <cell r="Z253">
            <v>0</v>
          </cell>
          <cell r="AB253">
            <v>0</v>
          </cell>
          <cell r="AC253">
            <v>0</v>
          </cell>
          <cell r="AD253">
            <v>0</v>
          </cell>
          <cell r="AE253">
            <v>0</v>
          </cell>
        </row>
        <row r="254">
          <cell r="B254" t="str">
            <v>CO-KE-A00M321</v>
          </cell>
          <cell r="C254" t="str">
            <v>CO-A00M321</v>
          </cell>
          <cell r="D254" t="str">
            <v>CO-KE</v>
          </cell>
          <cell r="E254" t="str">
            <v>DIV-CO-KE</v>
          </cell>
          <cell r="F254" t="str">
            <v>DIV-KE</v>
          </cell>
          <cell r="G254" t="str">
            <v>A00M321</v>
          </cell>
          <cell r="H254" t="str">
            <v>DIV</v>
          </cell>
          <cell r="I254">
            <v>2000</v>
          </cell>
          <cell r="J254" t="str">
            <v>P</v>
          </cell>
          <cell r="K254" t="str">
            <v>CO</v>
          </cell>
          <cell r="L254" t="str">
            <v>KE</v>
          </cell>
          <cell r="Z254">
            <v>0</v>
          </cell>
          <cell r="AB254">
            <v>0</v>
          </cell>
          <cell r="AC254">
            <v>0</v>
          </cell>
          <cell r="AD254">
            <v>0</v>
          </cell>
          <cell r="AE254">
            <v>0</v>
          </cell>
        </row>
        <row r="255">
          <cell r="B255" t="str">
            <v>CO-KN-A00M321</v>
          </cell>
          <cell r="C255" t="str">
            <v>CO-A00M321</v>
          </cell>
          <cell r="D255" t="str">
            <v>CO-KN</v>
          </cell>
          <cell r="E255" t="str">
            <v>DIV-CO-KN</v>
          </cell>
          <cell r="F255" t="str">
            <v>DIV-KN</v>
          </cell>
          <cell r="G255" t="str">
            <v>A00M321</v>
          </cell>
          <cell r="H255" t="str">
            <v>DIV</v>
          </cell>
          <cell r="I255">
            <v>2000</v>
          </cell>
          <cell r="J255" t="str">
            <v>P</v>
          </cell>
          <cell r="K255" t="str">
            <v>CO</v>
          </cell>
          <cell r="L255" t="str">
            <v>KN</v>
          </cell>
          <cell r="Z255">
            <v>0</v>
          </cell>
          <cell r="AB255">
            <v>0</v>
          </cell>
          <cell r="AC255">
            <v>0</v>
          </cell>
          <cell r="AD255">
            <v>0</v>
          </cell>
          <cell r="AE255">
            <v>0</v>
          </cell>
        </row>
        <row r="256">
          <cell r="B256" t="str">
            <v>IN-KE-A00M321</v>
          </cell>
          <cell r="C256" t="str">
            <v>IN-A00M321</v>
          </cell>
          <cell r="D256" t="str">
            <v>IN-KE</v>
          </cell>
          <cell r="E256" t="str">
            <v>DIV-IN-KE</v>
          </cell>
          <cell r="F256" t="str">
            <v>DIV-KE</v>
          </cell>
          <cell r="G256" t="str">
            <v>A00M321</v>
          </cell>
          <cell r="H256" t="str">
            <v>DIV</v>
          </cell>
          <cell r="I256">
            <v>2000</v>
          </cell>
          <cell r="J256" t="str">
            <v>P</v>
          </cell>
          <cell r="K256" t="str">
            <v>IN</v>
          </cell>
          <cell r="L256" t="str">
            <v>KE</v>
          </cell>
          <cell r="Z256">
            <v>0</v>
          </cell>
          <cell r="AB256">
            <v>0</v>
          </cell>
          <cell r="AC256">
            <v>0</v>
          </cell>
          <cell r="AD256">
            <v>0</v>
          </cell>
          <cell r="AE256">
            <v>0</v>
          </cell>
        </row>
        <row r="257">
          <cell r="B257" t="str">
            <v>IN-KN-A00M321</v>
          </cell>
          <cell r="C257" t="str">
            <v>IN-A00M321</v>
          </cell>
          <cell r="D257" t="str">
            <v>IN-KN</v>
          </cell>
          <cell r="E257" t="str">
            <v>DIV-IN-KN</v>
          </cell>
          <cell r="F257" t="str">
            <v>DIV-KN</v>
          </cell>
          <cell r="G257" t="str">
            <v>A00M321</v>
          </cell>
          <cell r="H257" t="str">
            <v>DIV</v>
          </cell>
          <cell r="I257">
            <v>2000</v>
          </cell>
          <cell r="J257" t="str">
            <v>P</v>
          </cell>
          <cell r="K257" t="str">
            <v>IN</v>
          </cell>
          <cell r="L257" t="str">
            <v>KN</v>
          </cell>
          <cell r="Z257">
            <v>0</v>
          </cell>
          <cell r="AB257">
            <v>0</v>
          </cell>
          <cell r="AC257">
            <v>0</v>
          </cell>
          <cell r="AD257">
            <v>0</v>
          </cell>
          <cell r="AE257">
            <v>0</v>
          </cell>
        </row>
        <row r="258">
          <cell r="B258" t="str">
            <v>AD-KE-A00M322</v>
          </cell>
          <cell r="C258" t="str">
            <v>AD-A00M322</v>
          </cell>
          <cell r="D258" t="str">
            <v>AD-KE</v>
          </cell>
          <cell r="E258" t="str">
            <v>DIV-AD-KE</v>
          </cell>
          <cell r="F258" t="str">
            <v>DIV-KE</v>
          </cell>
          <cell r="G258" t="str">
            <v>A00M322</v>
          </cell>
          <cell r="H258" t="str">
            <v>DIV</v>
          </cell>
          <cell r="I258">
            <v>2001</v>
          </cell>
          <cell r="J258" t="str">
            <v>P</v>
          </cell>
          <cell r="K258" t="str">
            <v>AD</v>
          </cell>
          <cell r="L258" t="str">
            <v>KE</v>
          </cell>
          <cell r="O258">
            <v>92</v>
          </cell>
          <cell r="P258">
            <v>34</v>
          </cell>
          <cell r="Z258">
            <v>126</v>
          </cell>
          <cell r="AB258">
            <v>126</v>
          </cell>
          <cell r="AC258">
            <v>126</v>
          </cell>
          <cell r="AD258">
            <v>126</v>
          </cell>
          <cell r="AE258">
            <v>0</v>
          </cell>
        </row>
        <row r="259">
          <cell r="B259" t="str">
            <v>AD-KN-A00M322</v>
          </cell>
          <cell r="C259" t="str">
            <v>AD-A00M322</v>
          </cell>
          <cell r="D259" t="str">
            <v>AD-KN</v>
          </cell>
          <cell r="E259" t="str">
            <v>DIV-AD-KN</v>
          </cell>
          <cell r="F259" t="str">
            <v>DIV-KN</v>
          </cell>
          <cell r="G259" t="str">
            <v>A00M322</v>
          </cell>
          <cell r="H259" t="str">
            <v>DIV</v>
          </cell>
          <cell r="I259">
            <v>2001</v>
          </cell>
          <cell r="J259" t="str">
            <v>P</v>
          </cell>
          <cell r="K259" t="str">
            <v>AD</v>
          </cell>
          <cell r="L259" t="str">
            <v>KN</v>
          </cell>
          <cell r="M259">
            <v>0.5</v>
          </cell>
          <cell r="P259">
            <v>10</v>
          </cell>
          <cell r="Q259">
            <v>6</v>
          </cell>
          <cell r="Z259">
            <v>16.5</v>
          </cell>
          <cell r="AB259">
            <v>16.5</v>
          </cell>
          <cell r="AC259">
            <v>16.5</v>
          </cell>
          <cell r="AD259">
            <v>16.5</v>
          </cell>
          <cell r="AE259">
            <v>0</v>
          </cell>
        </row>
        <row r="260">
          <cell r="B260" t="str">
            <v>CO-KE-A00M322</v>
          </cell>
          <cell r="C260" t="str">
            <v>CO-A00M322</v>
          </cell>
          <cell r="D260" t="str">
            <v>CO-KE</v>
          </cell>
          <cell r="E260" t="str">
            <v>DIV-CO-KE</v>
          </cell>
          <cell r="F260" t="str">
            <v>DIV-KE</v>
          </cell>
          <cell r="G260" t="str">
            <v>A00M322</v>
          </cell>
          <cell r="H260" t="str">
            <v>DIV</v>
          </cell>
          <cell r="I260">
            <v>2001</v>
          </cell>
          <cell r="J260" t="str">
            <v>P</v>
          </cell>
          <cell r="K260" t="str">
            <v>CO</v>
          </cell>
          <cell r="L260" t="str">
            <v>KE</v>
          </cell>
          <cell r="Z260">
            <v>0</v>
          </cell>
          <cell r="AB260">
            <v>0</v>
          </cell>
          <cell r="AC260">
            <v>0</v>
          </cell>
          <cell r="AD260">
            <v>0</v>
          </cell>
          <cell r="AE260">
            <v>0</v>
          </cell>
        </row>
        <row r="261">
          <cell r="B261" t="str">
            <v>CO-KN-A00M322</v>
          </cell>
          <cell r="C261" t="str">
            <v>CO-A00M322</v>
          </cell>
          <cell r="D261" t="str">
            <v>CO-KN</v>
          </cell>
          <cell r="E261" t="str">
            <v>DIV-CO-KN</v>
          </cell>
          <cell r="F261" t="str">
            <v>DIV-KN</v>
          </cell>
          <cell r="G261" t="str">
            <v>A00M322</v>
          </cell>
          <cell r="H261" t="str">
            <v>DIV</v>
          </cell>
          <cell r="I261">
            <v>2001</v>
          </cell>
          <cell r="J261" t="str">
            <v>P</v>
          </cell>
          <cell r="K261" t="str">
            <v>CO</v>
          </cell>
          <cell r="L261" t="str">
            <v>KN</v>
          </cell>
          <cell r="P261">
            <v>12.6</v>
          </cell>
          <cell r="Q261">
            <v>8.4</v>
          </cell>
          <cell r="R261">
            <v>2.1</v>
          </cell>
          <cell r="Z261">
            <v>23.1</v>
          </cell>
          <cell r="AB261">
            <v>23.1</v>
          </cell>
          <cell r="AC261">
            <v>23.1</v>
          </cell>
          <cell r="AD261">
            <v>23.1</v>
          </cell>
          <cell r="AE261">
            <v>0</v>
          </cell>
        </row>
        <row r="262">
          <cell r="B262" t="str">
            <v>IN-KE-A00M322</v>
          </cell>
          <cell r="C262" t="str">
            <v>IN-A00M322</v>
          </cell>
          <cell r="D262" t="str">
            <v>IN-KE</v>
          </cell>
          <cell r="E262" t="str">
            <v>DIV-IN-KE</v>
          </cell>
          <cell r="F262" t="str">
            <v>DIV-KE</v>
          </cell>
          <cell r="G262" t="str">
            <v>A00M322</v>
          </cell>
          <cell r="H262" t="str">
            <v>DIV</v>
          </cell>
          <cell r="I262">
            <v>2001</v>
          </cell>
          <cell r="J262" t="str">
            <v>P</v>
          </cell>
          <cell r="K262" t="str">
            <v>IN</v>
          </cell>
          <cell r="L262" t="str">
            <v>KE</v>
          </cell>
          <cell r="Z262">
            <v>0</v>
          </cell>
          <cell r="AB262">
            <v>0</v>
          </cell>
          <cell r="AC262">
            <v>0</v>
          </cell>
          <cell r="AD262">
            <v>0</v>
          </cell>
          <cell r="AE262">
            <v>0</v>
          </cell>
        </row>
        <row r="263">
          <cell r="B263" t="str">
            <v>IN-KN-A00M322</v>
          </cell>
          <cell r="C263" t="str">
            <v>IN-A00M322</v>
          </cell>
          <cell r="D263" t="str">
            <v>IN-KN</v>
          </cell>
          <cell r="E263" t="str">
            <v>DIV-IN-KN</v>
          </cell>
          <cell r="F263" t="str">
            <v>DIV-KN</v>
          </cell>
          <cell r="G263" t="str">
            <v>A00M322</v>
          </cell>
          <cell r="H263" t="str">
            <v>DIV</v>
          </cell>
          <cell r="I263">
            <v>2001</v>
          </cell>
          <cell r="J263" t="str">
            <v>P</v>
          </cell>
          <cell r="K263" t="str">
            <v>IN</v>
          </cell>
          <cell r="L263" t="str">
            <v>KN</v>
          </cell>
          <cell r="N263">
            <v>0.2</v>
          </cell>
          <cell r="O263">
            <v>5</v>
          </cell>
          <cell r="P263">
            <v>4</v>
          </cell>
          <cell r="Q263">
            <v>3</v>
          </cell>
          <cell r="R263">
            <v>4.8</v>
          </cell>
          <cell r="Y263">
            <v>2.11</v>
          </cell>
          <cell r="Z263">
            <v>17</v>
          </cell>
          <cell r="AB263">
            <v>19.11</v>
          </cell>
          <cell r="AC263">
            <v>17</v>
          </cell>
          <cell r="AD263">
            <v>19.11</v>
          </cell>
          <cell r="AE263">
            <v>0</v>
          </cell>
        </row>
        <row r="264">
          <cell r="B264" t="str">
            <v>AD-KE-A00M330</v>
          </cell>
          <cell r="C264" t="str">
            <v>AD-A00M330</v>
          </cell>
          <cell r="D264" t="str">
            <v>AD-KE</v>
          </cell>
          <cell r="E264" t="str">
            <v>DIV-AD-KE</v>
          </cell>
          <cell r="F264" t="str">
            <v>DIV-KE</v>
          </cell>
          <cell r="G264" t="str">
            <v>A00M330</v>
          </cell>
          <cell r="H264" t="str">
            <v>DIV</v>
          </cell>
          <cell r="I264">
            <v>2000</v>
          </cell>
          <cell r="J264" t="str">
            <v>P</v>
          </cell>
          <cell r="K264" t="str">
            <v>AD</v>
          </cell>
          <cell r="L264" t="str">
            <v>KE</v>
          </cell>
          <cell r="Z264">
            <v>0</v>
          </cell>
          <cell r="AB264">
            <v>0</v>
          </cell>
          <cell r="AC264">
            <v>0</v>
          </cell>
          <cell r="AD264">
            <v>0</v>
          </cell>
          <cell r="AE264">
            <v>0</v>
          </cell>
        </row>
        <row r="265">
          <cell r="B265" t="str">
            <v>AD-KN-A00M330</v>
          </cell>
          <cell r="C265" t="str">
            <v>AD-A00M330</v>
          </cell>
          <cell r="D265" t="str">
            <v>AD-KN</v>
          </cell>
          <cell r="E265" t="str">
            <v>DIV-AD-KN</v>
          </cell>
          <cell r="F265" t="str">
            <v>DIV-KN</v>
          </cell>
          <cell r="G265" t="str">
            <v>A00M330</v>
          </cell>
          <cell r="H265" t="str">
            <v>DIV</v>
          </cell>
          <cell r="I265">
            <v>2000</v>
          </cell>
          <cell r="J265" t="str">
            <v>P</v>
          </cell>
          <cell r="K265" t="str">
            <v>AD</v>
          </cell>
          <cell r="L265" t="str">
            <v>KN</v>
          </cell>
          <cell r="Z265">
            <v>0</v>
          </cell>
          <cell r="AB265">
            <v>0</v>
          </cell>
          <cell r="AC265">
            <v>0</v>
          </cell>
          <cell r="AD265">
            <v>0</v>
          </cell>
          <cell r="AE265">
            <v>0</v>
          </cell>
        </row>
        <row r="266">
          <cell r="B266" t="str">
            <v>CO-KE-A00M330</v>
          </cell>
          <cell r="C266" t="str">
            <v>CO-A00M330</v>
          </cell>
          <cell r="D266" t="str">
            <v>CO-KE</v>
          </cell>
          <cell r="E266" t="str">
            <v>DIV-CO-KE</v>
          </cell>
          <cell r="F266" t="str">
            <v>DIV-KE</v>
          </cell>
          <cell r="G266" t="str">
            <v>A00M330</v>
          </cell>
          <cell r="H266" t="str">
            <v>DIV</v>
          </cell>
          <cell r="I266">
            <v>2000</v>
          </cell>
          <cell r="J266" t="str">
            <v>P</v>
          </cell>
          <cell r="K266" t="str">
            <v>CO</v>
          </cell>
          <cell r="L266" t="str">
            <v>KE</v>
          </cell>
          <cell r="Z266">
            <v>0</v>
          </cell>
          <cell r="AB266">
            <v>0</v>
          </cell>
          <cell r="AC266">
            <v>0</v>
          </cell>
          <cell r="AD266">
            <v>0</v>
          </cell>
          <cell r="AE266">
            <v>0</v>
          </cell>
        </row>
        <row r="267">
          <cell r="B267" t="str">
            <v>CO-KN-A00M330</v>
          </cell>
          <cell r="C267" t="str">
            <v>CO-A00M330</v>
          </cell>
          <cell r="D267" t="str">
            <v>CO-KN</v>
          </cell>
          <cell r="E267" t="str">
            <v>DIV-CO-KN</v>
          </cell>
          <cell r="F267" t="str">
            <v>DIV-KN</v>
          </cell>
          <cell r="G267" t="str">
            <v>A00M330</v>
          </cell>
          <cell r="H267" t="str">
            <v>DIV</v>
          </cell>
          <cell r="I267">
            <v>2000</v>
          </cell>
          <cell r="J267" t="str">
            <v>P</v>
          </cell>
          <cell r="K267" t="str">
            <v>CO</v>
          </cell>
          <cell r="L267" t="str">
            <v>KN</v>
          </cell>
          <cell r="Z267">
            <v>0</v>
          </cell>
          <cell r="AB267">
            <v>0</v>
          </cell>
          <cell r="AC267">
            <v>0</v>
          </cell>
          <cell r="AD267">
            <v>0</v>
          </cell>
          <cell r="AE267">
            <v>0</v>
          </cell>
        </row>
        <row r="268">
          <cell r="B268" t="str">
            <v>IN-KE-A00M330</v>
          </cell>
          <cell r="C268" t="str">
            <v>IN-A00M330</v>
          </cell>
          <cell r="D268" t="str">
            <v>IN-KE</v>
          </cell>
          <cell r="E268" t="str">
            <v>DIV-IN-KE</v>
          </cell>
          <cell r="F268" t="str">
            <v>DIV-KE</v>
          </cell>
          <cell r="G268" t="str">
            <v>A00M330</v>
          </cell>
          <cell r="H268" t="str">
            <v>DIV</v>
          </cell>
          <cell r="I268">
            <v>2000</v>
          </cell>
          <cell r="J268" t="str">
            <v>P</v>
          </cell>
          <cell r="K268" t="str">
            <v>IN</v>
          </cell>
          <cell r="L268" t="str">
            <v>KE</v>
          </cell>
          <cell r="Z268">
            <v>0</v>
          </cell>
          <cell r="AB268">
            <v>0</v>
          </cell>
          <cell r="AC268">
            <v>0</v>
          </cell>
          <cell r="AD268">
            <v>0</v>
          </cell>
          <cell r="AE268">
            <v>0</v>
          </cell>
        </row>
        <row r="269">
          <cell r="B269" t="str">
            <v>IN-KN-A00M330</v>
          </cell>
          <cell r="C269" t="str">
            <v>IN-A00M330</v>
          </cell>
          <cell r="D269" t="str">
            <v>IN-KN</v>
          </cell>
          <cell r="E269" t="str">
            <v>DIV-IN-KN</v>
          </cell>
          <cell r="F269" t="str">
            <v>DIV-KN</v>
          </cell>
          <cell r="G269" t="str">
            <v>A00M330</v>
          </cell>
          <cell r="H269" t="str">
            <v>DIV</v>
          </cell>
          <cell r="I269">
            <v>2000</v>
          </cell>
          <cell r="J269" t="str">
            <v>P</v>
          </cell>
          <cell r="K269" t="str">
            <v>IN</v>
          </cell>
          <cell r="L269" t="str">
            <v>KN</v>
          </cell>
          <cell r="Z269">
            <v>0</v>
          </cell>
          <cell r="AB269">
            <v>0</v>
          </cell>
          <cell r="AC269">
            <v>0</v>
          </cell>
          <cell r="AD269">
            <v>0</v>
          </cell>
          <cell r="AE269">
            <v>0</v>
          </cell>
        </row>
        <row r="270">
          <cell r="B270" t="str">
            <v>AD-KE-A00M331</v>
          </cell>
          <cell r="C270" t="str">
            <v>AD-A00M331</v>
          </cell>
          <cell r="D270" t="str">
            <v>AD-KE</v>
          </cell>
          <cell r="E270" t="str">
            <v>DIV-AD-KE</v>
          </cell>
          <cell r="F270" t="str">
            <v>DIV-KE</v>
          </cell>
          <cell r="G270" t="str">
            <v>A00M331</v>
          </cell>
          <cell r="H270" t="str">
            <v>DIV</v>
          </cell>
          <cell r="I270">
            <v>2000</v>
          </cell>
          <cell r="J270" t="str">
            <v>P</v>
          </cell>
          <cell r="K270" t="str">
            <v>AD</v>
          </cell>
          <cell r="L270" t="str">
            <v>KE</v>
          </cell>
          <cell r="Z270">
            <v>0</v>
          </cell>
          <cell r="AB270">
            <v>0</v>
          </cell>
          <cell r="AC270">
            <v>0</v>
          </cell>
          <cell r="AD270">
            <v>0</v>
          </cell>
          <cell r="AE270">
            <v>0</v>
          </cell>
        </row>
        <row r="271">
          <cell r="B271" t="str">
            <v>AD-KN-A00M331</v>
          </cell>
          <cell r="C271" t="str">
            <v>AD-A00M331</v>
          </cell>
          <cell r="D271" t="str">
            <v>AD-KN</v>
          </cell>
          <cell r="E271" t="str">
            <v>DIV-AD-KN</v>
          </cell>
          <cell r="F271" t="str">
            <v>DIV-KN</v>
          </cell>
          <cell r="G271" t="str">
            <v>A00M331</v>
          </cell>
          <cell r="H271" t="str">
            <v>DIV</v>
          </cell>
          <cell r="I271">
            <v>2000</v>
          </cell>
          <cell r="J271" t="str">
            <v>P</v>
          </cell>
          <cell r="K271" t="str">
            <v>AD</v>
          </cell>
          <cell r="L271" t="str">
            <v>KN</v>
          </cell>
          <cell r="Z271">
            <v>0</v>
          </cell>
          <cell r="AB271">
            <v>0</v>
          </cell>
          <cell r="AC271">
            <v>0</v>
          </cell>
          <cell r="AD271">
            <v>0</v>
          </cell>
          <cell r="AE271">
            <v>0</v>
          </cell>
        </row>
        <row r="272">
          <cell r="B272" t="str">
            <v>CO-KE-A00M331</v>
          </cell>
          <cell r="C272" t="str">
            <v>CO-A00M331</v>
          </cell>
          <cell r="D272" t="str">
            <v>CO-KE</v>
          </cell>
          <cell r="E272" t="str">
            <v>DIV-CO-KE</v>
          </cell>
          <cell r="F272" t="str">
            <v>DIV-KE</v>
          </cell>
          <cell r="G272" t="str">
            <v>A00M331</v>
          </cell>
          <cell r="H272" t="str">
            <v>DIV</v>
          </cell>
          <cell r="I272">
            <v>2000</v>
          </cell>
          <cell r="J272" t="str">
            <v>P</v>
          </cell>
          <cell r="K272" t="str">
            <v>CO</v>
          </cell>
          <cell r="L272" t="str">
            <v>KE</v>
          </cell>
          <cell r="Z272">
            <v>0</v>
          </cell>
          <cell r="AB272">
            <v>0</v>
          </cell>
          <cell r="AC272">
            <v>0</v>
          </cell>
          <cell r="AD272">
            <v>0</v>
          </cell>
          <cell r="AE272">
            <v>0</v>
          </cell>
        </row>
        <row r="273">
          <cell r="B273" t="str">
            <v>CO-KN-A00M331</v>
          </cell>
          <cell r="C273" t="str">
            <v>CO-A00M331</v>
          </cell>
          <cell r="D273" t="str">
            <v>CO-KN</v>
          </cell>
          <cell r="E273" t="str">
            <v>DIV-CO-KN</v>
          </cell>
          <cell r="F273" t="str">
            <v>DIV-KN</v>
          </cell>
          <cell r="G273" t="str">
            <v>A00M331</v>
          </cell>
          <cell r="H273" t="str">
            <v>DIV</v>
          </cell>
          <cell r="I273">
            <v>2000</v>
          </cell>
          <cell r="J273" t="str">
            <v>P</v>
          </cell>
          <cell r="K273" t="str">
            <v>CO</v>
          </cell>
          <cell r="L273" t="str">
            <v>KN</v>
          </cell>
          <cell r="Z273">
            <v>0</v>
          </cell>
          <cell r="AB273">
            <v>0</v>
          </cell>
          <cell r="AC273">
            <v>0</v>
          </cell>
          <cell r="AD273">
            <v>0</v>
          </cell>
          <cell r="AE273">
            <v>0</v>
          </cell>
        </row>
        <row r="274">
          <cell r="B274" t="str">
            <v>IN-KE-A00M331</v>
          </cell>
          <cell r="C274" t="str">
            <v>IN-A00M331</v>
          </cell>
          <cell r="D274" t="str">
            <v>IN-KE</v>
          </cell>
          <cell r="E274" t="str">
            <v>DIV-IN-KE</v>
          </cell>
          <cell r="F274" t="str">
            <v>DIV-KE</v>
          </cell>
          <cell r="G274" t="str">
            <v>A00M331</v>
          </cell>
          <cell r="H274" t="str">
            <v>DIV</v>
          </cell>
          <cell r="I274">
            <v>2000</v>
          </cell>
          <cell r="J274" t="str">
            <v>P</v>
          </cell>
          <cell r="K274" t="str">
            <v>IN</v>
          </cell>
          <cell r="L274" t="str">
            <v>KE</v>
          </cell>
          <cell r="Z274">
            <v>0</v>
          </cell>
          <cell r="AB274">
            <v>0</v>
          </cell>
          <cell r="AC274">
            <v>0</v>
          </cell>
          <cell r="AD274">
            <v>0</v>
          </cell>
          <cell r="AE274">
            <v>0</v>
          </cell>
        </row>
        <row r="275">
          <cell r="B275" t="str">
            <v>IN-KN-A00M331</v>
          </cell>
          <cell r="C275" t="str">
            <v>IN-A00M331</v>
          </cell>
          <cell r="D275" t="str">
            <v>IN-KN</v>
          </cell>
          <cell r="E275" t="str">
            <v>DIV-IN-KN</v>
          </cell>
          <cell r="F275" t="str">
            <v>DIV-KN</v>
          </cell>
          <cell r="G275" t="str">
            <v>A00M331</v>
          </cell>
          <cell r="H275" t="str">
            <v>DIV</v>
          </cell>
          <cell r="I275">
            <v>2000</v>
          </cell>
          <cell r="J275" t="str">
            <v>P</v>
          </cell>
          <cell r="K275" t="str">
            <v>IN</v>
          </cell>
          <cell r="L275" t="str">
            <v>KN</v>
          </cell>
          <cell r="Z275">
            <v>0</v>
          </cell>
          <cell r="AB275">
            <v>0</v>
          </cell>
          <cell r="AC275">
            <v>0</v>
          </cell>
          <cell r="AD275">
            <v>0</v>
          </cell>
          <cell r="AE275">
            <v>0</v>
          </cell>
        </row>
        <row r="276">
          <cell r="B276" t="str">
            <v>AD-KE-A01M101</v>
          </cell>
          <cell r="C276" t="str">
            <v>AD-A01M101</v>
          </cell>
          <cell r="D276" t="str">
            <v>AD-KE</v>
          </cell>
          <cell r="E276" t="str">
            <v>DIV-AD-KE</v>
          </cell>
          <cell r="F276" t="str">
            <v>DIV-KE</v>
          </cell>
          <cell r="G276" t="str">
            <v>A01M101</v>
          </cell>
          <cell r="H276" t="str">
            <v>DIV</v>
          </cell>
          <cell r="I276">
            <v>2001</v>
          </cell>
          <cell r="J276" t="str">
            <v>P</v>
          </cell>
          <cell r="K276" t="str">
            <v>AD</v>
          </cell>
          <cell r="L276" t="str">
            <v>KE</v>
          </cell>
          <cell r="Z276">
            <v>0</v>
          </cell>
          <cell r="AB276">
            <v>0</v>
          </cell>
          <cell r="AC276">
            <v>0</v>
          </cell>
          <cell r="AD276">
            <v>0</v>
          </cell>
          <cell r="AE276">
            <v>0</v>
          </cell>
        </row>
        <row r="277">
          <cell r="B277" t="str">
            <v>AD-KN-A01M101</v>
          </cell>
          <cell r="C277" t="str">
            <v>AD-A01M101</v>
          </cell>
          <cell r="D277" t="str">
            <v>AD-KN</v>
          </cell>
          <cell r="E277" t="str">
            <v>DIV-AD-KN</v>
          </cell>
          <cell r="F277" t="str">
            <v>DIV-KN</v>
          </cell>
          <cell r="G277" t="str">
            <v>A01M101</v>
          </cell>
          <cell r="H277" t="str">
            <v>DIV</v>
          </cell>
          <cell r="I277">
            <v>2001</v>
          </cell>
          <cell r="J277" t="str">
            <v>P</v>
          </cell>
          <cell r="K277" t="str">
            <v>AD</v>
          </cell>
          <cell r="L277" t="str">
            <v>KN</v>
          </cell>
          <cell r="Z277">
            <v>0</v>
          </cell>
          <cell r="AB277">
            <v>0</v>
          </cell>
          <cell r="AC277">
            <v>0</v>
          </cell>
          <cell r="AD277">
            <v>0</v>
          </cell>
          <cell r="AE277">
            <v>0</v>
          </cell>
        </row>
        <row r="278">
          <cell r="B278" t="str">
            <v>CO-KE-A01M101</v>
          </cell>
          <cell r="C278" t="str">
            <v>CO-A01M101</v>
          </cell>
          <cell r="D278" t="str">
            <v>CO-KE</v>
          </cell>
          <cell r="E278" t="str">
            <v>DIV-CO-KE</v>
          </cell>
          <cell r="F278" t="str">
            <v>DIV-KE</v>
          </cell>
          <cell r="G278" t="str">
            <v>A01M101</v>
          </cell>
          <cell r="H278" t="str">
            <v>DIV</v>
          </cell>
          <cell r="I278">
            <v>2001</v>
          </cell>
          <cell r="J278" t="str">
            <v>P</v>
          </cell>
          <cell r="K278" t="str">
            <v>CO</v>
          </cell>
          <cell r="L278" t="str">
            <v>KE</v>
          </cell>
          <cell r="Z278">
            <v>0</v>
          </cell>
          <cell r="AB278">
            <v>0</v>
          </cell>
          <cell r="AC278">
            <v>0</v>
          </cell>
          <cell r="AD278">
            <v>0</v>
          </cell>
          <cell r="AE278">
            <v>0</v>
          </cell>
        </row>
        <row r="279">
          <cell r="B279" t="str">
            <v>CO-KN-A01M101</v>
          </cell>
          <cell r="C279" t="str">
            <v>CO-A01M101</v>
          </cell>
          <cell r="D279" t="str">
            <v>CO-KN</v>
          </cell>
          <cell r="E279" t="str">
            <v>DIV-CO-KN</v>
          </cell>
          <cell r="F279" t="str">
            <v>DIV-KN</v>
          </cell>
          <cell r="G279" t="str">
            <v>A01M101</v>
          </cell>
          <cell r="H279" t="str">
            <v>DIV</v>
          </cell>
          <cell r="I279">
            <v>2001</v>
          </cell>
          <cell r="J279" t="str">
            <v>P</v>
          </cell>
          <cell r="K279" t="str">
            <v>CO</v>
          </cell>
          <cell r="L279" t="str">
            <v>KN</v>
          </cell>
          <cell r="Z279">
            <v>0</v>
          </cell>
          <cell r="AB279">
            <v>0</v>
          </cell>
          <cell r="AC279">
            <v>0</v>
          </cell>
          <cell r="AD279">
            <v>0</v>
          </cell>
          <cell r="AE279">
            <v>0</v>
          </cell>
        </row>
        <row r="280">
          <cell r="B280" t="str">
            <v>IN-KE-A01M101</v>
          </cell>
          <cell r="C280" t="str">
            <v>IN-A01M101</v>
          </cell>
          <cell r="D280" t="str">
            <v>IN-KE</v>
          </cell>
          <cell r="E280" t="str">
            <v>DIV-IN-KE</v>
          </cell>
          <cell r="F280" t="str">
            <v>DIV-KE</v>
          </cell>
          <cell r="G280" t="str">
            <v>A01M101</v>
          </cell>
          <cell r="H280" t="str">
            <v>DIV</v>
          </cell>
          <cell r="I280">
            <v>2001</v>
          </cell>
          <cell r="J280" t="str">
            <v>P</v>
          </cell>
          <cell r="K280" t="str">
            <v>IN</v>
          </cell>
          <cell r="L280" t="str">
            <v>KE</v>
          </cell>
          <cell r="Z280">
            <v>0</v>
          </cell>
          <cell r="AB280">
            <v>0</v>
          </cell>
          <cell r="AC280">
            <v>0</v>
          </cell>
          <cell r="AD280">
            <v>0</v>
          </cell>
          <cell r="AE280">
            <v>0</v>
          </cell>
        </row>
        <row r="281">
          <cell r="B281" t="str">
            <v>IN-KN-A01M101</v>
          </cell>
          <cell r="C281" t="str">
            <v>IN-A01M101</v>
          </cell>
          <cell r="D281" t="str">
            <v>IN-KN</v>
          </cell>
          <cell r="E281" t="str">
            <v>DIV-IN-KN</v>
          </cell>
          <cell r="F281" t="str">
            <v>DIV-KN</v>
          </cell>
          <cell r="G281" t="str">
            <v>A01M101</v>
          </cell>
          <cell r="H281" t="str">
            <v>DIV</v>
          </cell>
          <cell r="I281">
            <v>2001</v>
          </cell>
          <cell r="J281" t="str">
            <v>P</v>
          </cell>
          <cell r="K281" t="str">
            <v>IN</v>
          </cell>
          <cell r="L281" t="str">
            <v>KN</v>
          </cell>
          <cell r="P281">
            <v>22.8</v>
          </cell>
          <cell r="Q281">
            <v>22.6</v>
          </cell>
          <cell r="R281">
            <v>22.6</v>
          </cell>
          <cell r="S281">
            <v>5.4</v>
          </cell>
          <cell r="T281">
            <v>19.600000000000001</v>
          </cell>
          <cell r="Z281">
            <v>93</v>
          </cell>
          <cell r="AB281">
            <v>93</v>
          </cell>
          <cell r="AC281">
            <v>73.400000000000006</v>
          </cell>
          <cell r="AD281">
            <v>73.400000000000006</v>
          </cell>
          <cell r="AE281">
            <v>19.599999999999994</v>
          </cell>
        </row>
        <row r="282">
          <cell r="B282" t="str">
            <v>AD-KE-A01M103</v>
          </cell>
          <cell r="C282" t="str">
            <v>AD-A01M103</v>
          </cell>
          <cell r="D282" t="str">
            <v>AD-KE</v>
          </cell>
          <cell r="E282" t="str">
            <v>DIV-AD-KE</v>
          </cell>
          <cell r="F282" t="str">
            <v>DIV-KE</v>
          </cell>
          <cell r="G282" t="str">
            <v>A01M103</v>
          </cell>
          <cell r="H282" t="str">
            <v>DIV</v>
          </cell>
          <cell r="I282">
            <v>2001</v>
          </cell>
          <cell r="J282" t="str">
            <v>P</v>
          </cell>
          <cell r="K282" t="str">
            <v>AD</v>
          </cell>
          <cell r="L282" t="str">
            <v>KE</v>
          </cell>
          <cell r="Z282">
            <v>0</v>
          </cell>
          <cell r="AB282">
            <v>0</v>
          </cell>
          <cell r="AC282">
            <v>0</v>
          </cell>
          <cell r="AD282">
            <v>0</v>
          </cell>
          <cell r="AE282">
            <v>0</v>
          </cell>
        </row>
        <row r="283">
          <cell r="B283" t="str">
            <v>AD-KN-A01M103</v>
          </cell>
          <cell r="C283" t="str">
            <v>AD-A01M103</v>
          </cell>
          <cell r="D283" t="str">
            <v>AD-KN</v>
          </cell>
          <cell r="E283" t="str">
            <v>DIV-AD-KN</v>
          </cell>
          <cell r="F283" t="str">
            <v>DIV-KN</v>
          </cell>
          <cell r="G283" t="str">
            <v>A01M103</v>
          </cell>
          <cell r="H283" t="str">
            <v>DIV</v>
          </cell>
          <cell r="I283">
            <v>2001</v>
          </cell>
          <cell r="J283" t="str">
            <v>P</v>
          </cell>
          <cell r="K283" t="str">
            <v>AD</v>
          </cell>
          <cell r="L283" t="str">
            <v>KN</v>
          </cell>
          <cell r="Z283">
            <v>0</v>
          </cell>
          <cell r="AB283">
            <v>0</v>
          </cell>
          <cell r="AC283">
            <v>0</v>
          </cell>
          <cell r="AD283">
            <v>0</v>
          </cell>
          <cell r="AE283">
            <v>0</v>
          </cell>
        </row>
        <row r="284">
          <cell r="B284" t="str">
            <v>CO-KE-A01M103</v>
          </cell>
          <cell r="C284" t="str">
            <v>CO-A01M103</v>
          </cell>
          <cell r="D284" t="str">
            <v>CO-KE</v>
          </cell>
          <cell r="E284" t="str">
            <v>DIV-CO-KE</v>
          </cell>
          <cell r="F284" t="str">
            <v>DIV-KE</v>
          </cell>
          <cell r="G284" t="str">
            <v>A01M103</v>
          </cell>
          <cell r="H284" t="str">
            <v>DIV</v>
          </cell>
          <cell r="I284">
            <v>2001</v>
          </cell>
          <cell r="J284" t="str">
            <v>P</v>
          </cell>
          <cell r="K284" t="str">
            <v>CO</v>
          </cell>
          <cell r="L284" t="str">
            <v>KE</v>
          </cell>
          <cell r="Z284">
            <v>0</v>
          </cell>
          <cell r="AB284">
            <v>0</v>
          </cell>
          <cell r="AC284">
            <v>0</v>
          </cell>
          <cell r="AD284">
            <v>0</v>
          </cell>
          <cell r="AE284">
            <v>0</v>
          </cell>
        </row>
        <row r="285">
          <cell r="B285" t="str">
            <v>CO-KN-A01M103</v>
          </cell>
          <cell r="C285" t="str">
            <v>CO-A01M103</v>
          </cell>
          <cell r="D285" t="str">
            <v>CO-KN</v>
          </cell>
          <cell r="E285" t="str">
            <v>DIV-CO-KN</v>
          </cell>
          <cell r="F285" t="str">
            <v>DIV-KN</v>
          </cell>
          <cell r="G285" t="str">
            <v>A01M103</v>
          </cell>
          <cell r="H285" t="str">
            <v>DIV</v>
          </cell>
          <cell r="I285">
            <v>2001</v>
          </cell>
          <cell r="J285" t="str">
            <v>P</v>
          </cell>
          <cell r="K285" t="str">
            <v>CO</v>
          </cell>
          <cell r="L285" t="str">
            <v>KN</v>
          </cell>
          <cell r="Z285">
            <v>0</v>
          </cell>
          <cell r="AB285">
            <v>0</v>
          </cell>
          <cell r="AC285">
            <v>0</v>
          </cell>
          <cell r="AD285">
            <v>0</v>
          </cell>
          <cell r="AE285">
            <v>0</v>
          </cell>
        </row>
        <row r="286">
          <cell r="B286" t="str">
            <v>IN-KE-A01M103</v>
          </cell>
          <cell r="C286" t="str">
            <v>IN-A01M103</v>
          </cell>
          <cell r="D286" t="str">
            <v>IN-KE</v>
          </cell>
          <cell r="E286" t="str">
            <v>DIV-IN-KE</v>
          </cell>
          <cell r="F286" t="str">
            <v>DIV-KE</v>
          </cell>
          <cell r="G286" t="str">
            <v>A01M103</v>
          </cell>
          <cell r="H286" t="str">
            <v>DIV</v>
          </cell>
          <cell r="I286">
            <v>2001</v>
          </cell>
          <cell r="J286" t="str">
            <v>P</v>
          </cell>
          <cell r="K286" t="str">
            <v>IN</v>
          </cell>
          <cell r="L286" t="str">
            <v>KE</v>
          </cell>
          <cell r="Z286">
            <v>0</v>
          </cell>
          <cell r="AB286">
            <v>0</v>
          </cell>
          <cell r="AC286">
            <v>0</v>
          </cell>
          <cell r="AD286">
            <v>0</v>
          </cell>
          <cell r="AE286">
            <v>0</v>
          </cell>
        </row>
        <row r="287">
          <cell r="B287" t="str">
            <v>IN-KN-A01M103</v>
          </cell>
          <cell r="C287" t="str">
            <v>IN-A01M103</v>
          </cell>
          <cell r="D287" t="str">
            <v>IN-KN</v>
          </cell>
          <cell r="E287" t="str">
            <v>DIV-IN-KN</v>
          </cell>
          <cell r="F287" t="str">
            <v>DIV-KN</v>
          </cell>
          <cell r="G287" t="str">
            <v>A01M103</v>
          </cell>
          <cell r="H287" t="str">
            <v>DIV</v>
          </cell>
          <cell r="I287">
            <v>2001</v>
          </cell>
          <cell r="J287" t="str">
            <v>P</v>
          </cell>
          <cell r="K287" t="str">
            <v>IN</v>
          </cell>
          <cell r="L287" t="str">
            <v>KN</v>
          </cell>
          <cell r="R287">
            <v>113.3</v>
          </cell>
          <cell r="S287">
            <v>8.5</v>
          </cell>
          <cell r="T287">
            <v>27.2</v>
          </cell>
          <cell r="Z287">
            <v>149</v>
          </cell>
          <cell r="AB287">
            <v>149</v>
          </cell>
          <cell r="AC287">
            <v>121.8</v>
          </cell>
          <cell r="AD287">
            <v>121.8</v>
          </cell>
          <cell r="AE287">
            <v>27.200000000000003</v>
          </cell>
        </row>
        <row r="288">
          <cell r="B288" t="str">
            <v>AD-KE-A01M104</v>
          </cell>
          <cell r="C288" t="str">
            <v>AD-A01M104</v>
          </cell>
          <cell r="D288" t="str">
            <v>AD-KE</v>
          </cell>
          <cell r="E288" t="str">
            <v>DIV-AD-KE</v>
          </cell>
          <cell r="F288" t="str">
            <v>DIV-KE</v>
          </cell>
          <cell r="G288" t="str">
            <v>A01M104</v>
          </cell>
          <cell r="H288" t="str">
            <v>DIV</v>
          </cell>
          <cell r="I288">
            <v>2001</v>
          </cell>
          <cell r="J288" t="str">
            <v>P</v>
          </cell>
          <cell r="K288" t="str">
            <v>AD</v>
          </cell>
          <cell r="L288" t="str">
            <v>KE</v>
          </cell>
          <cell r="Z288">
            <v>0</v>
          </cell>
          <cell r="AB288">
            <v>0</v>
          </cell>
          <cell r="AC288">
            <v>0</v>
          </cell>
          <cell r="AD288">
            <v>0</v>
          </cell>
          <cell r="AE288">
            <v>0</v>
          </cell>
        </row>
        <row r="289">
          <cell r="B289" t="str">
            <v>AD-KN-A01M104</v>
          </cell>
          <cell r="C289" t="str">
            <v>AD-A01M104</v>
          </cell>
          <cell r="D289" t="str">
            <v>AD-KN</v>
          </cell>
          <cell r="E289" t="str">
            <v>DIV-AD-KN</v>
          </cell>
          <cell r="F289" t="str">
            <v>DIV-KN</v>
          </cell>
          <cell r="G289" t="str">
            <v>A01M104</v>
          </cell>
          <cell r="H289" t="str">
            <v>DIV</v>
          </cell>
          <cell r="I289">
            <v>2001</v>
          </cell>
          <cell r="J289" t="str">
            <v>P</v>
          </cell>
          <cell r="K289" t="str">
            <v>AD</v>
          </cell>
          <cell r="L289" t="str">
            <v>KN</v>
          </cell>
          <cell r="Z289">
            <v>0</v>
          </cell>
          <cell r="AB289">
            <v>0</v>
          </cell>
          <cell r="AC289">
            <v>0</v>
          </cell>
          <cell r="AD289">
            <v>0</v>
          </cell>
          <cell r="AE289">
            <v>0</v>
          </cell>
        </row>
        <row r="290">
          <cell r="B290" t="str">
            <v>CO-KE-A01M104</v>
          </cell>
          <cell r="C290" t="str">
            <v>CO-A01M104</v>
          </cell>
          <cell r="D290" t="str">
            <v>CO-KE</v>
          </cell>
          <cell r="E290" t="str">
            <v>DIV-CO-KE</v>
          </cell>
          <cell r="F290" t="str">
            <v>DIV-KE</v>
          </cell>
          <cell r="G290" t="str">
            <v>A01M104</v>
          </cell>
          <cell r="H290" t="str">
            <v>DIV</v>
          </cell>
          <cell r="I290">
            <v>2001</v>
          </cell>
          <cell r="J290" t="str">
            <v>P</v>
          </cell>
          <cell r="K290" t="str">
            <v>CO</v>
          </cell>
          <cell r="L290" t="str">
            <v>KE</v>
          </cell>
          <cell r="Z290">
            <v>0</v>
          </cell>
          <cell r="AB290">
            <v>0</v>
          </cell>
          <cell r="AC290">
            <v>0</v>
          </cell>
          <cell r="AD290">
            <v>0</v>
          </cell>
          <cell r="AE290">
            <v>0</v>
          </cell>
        </row>
        <row r="291">
          <cell r="B291" t="str">
            <v>CO-KN-A01M104</v>
          </cell>
          <cell r="C291" t="str">
            <v>CO-A01M104</v>
          </cell>
          <cell r="D291" t="str">
            <v>CO-KN</v>
          </cell>
          <cell r="E291" t="str">
            <v>DIV-CO-KN</v>
          </cell>
          <cell r="F291" t="str">
            <v>DIV-KN</v>
          </cell>
          <cell r="G291" t="str">
            <v>A01M104</v>
          </cell>
          <cell r="H291" t="str">
            <v>DIV</v>
          </cell>
          <cell r="I291">
            <v>2001</v>
          </cell>
          <cell r="J291" t="str">
            <v>P</v>
          </cell>
          <cell r="K291" t="str">
            <v>CO</v>
          </cell>
          <cell r="L291" t="str">
            <v>KN</v>
          </cell>
          <cell r="Z291">
            <v>0</v>
          </cell>
          <cell r="AB291">
            <v>0</v>
          </cell>
          <cell r="AC291">
            <v>0</v>
          </cell>
          <cell r="AD291">
            <v>0</v>
          </cell>
          <cell r="AE291">
            <v>0</v>
          </cell>
        </row>
        <row r="292">
          <cell r="B292" t="str">
            <v>IN-KE-A01M104</v>
          </cell>
          <cell r="C292" t="str">
            <v>IN-A01M104</v>
          </cell>
          <cell r="D292" t="str">
            <v>IN-KE</v>
          </cell>
          <cell r="E292" t="str">
            <v>DIV-IN-KE</v>
          </cell>
          <cell r="F292" t="str">
            <v>DIV-KE</v>
          </cell>
          <cell r="G292" t="str">
            <v>A01M104</v>
          </cell>
          <cell r="H292" t="str">
            <v>DIV</v>
          </cell>
          <cell r="I292">
            <v>2001</v>
          </cell>
          <cell r="J292" t="str">
            <v>P</v>
          </cell>
          <cell r="K292" t="str">
            <v>IN</v>
          </cell>
          <cell r="L292" t="str">
            <v>KE</v>
          </cell>
          <cell r="Z292">
            <v>0</v>
          </cell>
          <cell r="AB292">
            <v>0</v>
          </cell>
          <cell r="AC292">
            <v>0</v>
          </cell>
          <cell r="AD292">
            <v>0</v>
          </cell>
          <cell r="AE292">
            <v>0</v>
          </cell>
        </row>
        <row r="293">
          <cell r="B293" t="str">
            <v>IN-KN-A01M104</v>
          </cell>
          <cell r="C293" t="str">
            <v>IN-A01M104</v>
          </cell>
          <cell r="D293" t="str">
            <v>IN-KN</v>
          </cell>
          <cell r="E293" t="str">
            <v>DIV-IN-KN</v>
          </cell>
          <cell r="F293" t="str">
            <v>DIV-KN</v>
          </cell>
          <cell r="G293" t="str">
            <v>A01M104</v>
          </cell>
          <cell r="H293" t="str">
            <v>DIV</v>
          </cell>
          <cell r="I293">
            <v>2001</v>
          </cell>
          <cell r="J293" t="str">
            <v>P</v>
          </cell>
          <cell r="K293" t="str">
            <v>IN</v>
          </cell>
          <cell r="L293" t="str">
            <v>KN</v>
          </cell>
          <cell r="Q293">
            <v>21.5</v>
          </cell>
          <cell r="R293">
            <v>19.3</v>
          </cell>
          <cell r="S293">
            <v>19.399999999999999</v>
          </cell>
          <cell r="T293">
            <v>7.8</v>
          </cell>
          <cell r="Z293">
            <v>68</v>
          </cell>
          <cell r="AB293">
            <v>68</v>
          </cell>
          <cell r="AC293">
            <v>60.199999999999996</v>
          </cell>
          <cell r="AD293">
            <v>60.199999999999996</v>
          </cell>
          <cell r="AE293">
            <v>7.8000000000000043</v>
          </cell>
        </row>
        <row r="294">
          <cell r="B294" t="str">
            <v>AD-KE-A01M201</v>
          </cell>
          <cell r="C294" t="str">
            <v>AD-A01M201</v>
          </cell>
          <cell r="D294" t="str">
            <v>AD-KE</v>
          </cell>
          <cell r="E294" t="str">
            <v>EXT-AD-KE</v>
          </cell>
          <cell r="F294" t="str">
            <v>EXT-KE</v>
          </cell>
          <cell r="G294" t="str">
            <v>A01M201</v>
          </cell>
          <cell r="H294" t="str">
            <v>EXT</v>
          </cell>
          <cell r="I294">
            <v>2002</v>
          </cell>
          <cell r="J294" t="str">
            <v>P</v>
          </cell>
          <cell r="K294" t="str">
            <v>AD</v>
          </cell>
          <cell r="L294" t="str">
            <v>KE</v>
          </cell>
          <cell r="Z294">
            <v>0</v>
          </cell>
          <cell r="AB294">
            <v>0</v>
          </cell>
          <cell r="AC294">
            <v>0</v>
          </cell>
          <cell r="AD294">
            <v>0</v>
          </cell>
          <cell r="AE294">
            <v>0</v>
          </cell>
        </row>
        <row r="295">
          <cell r="B295" t="str">
            <v>AD-KN-A01M201</v>
          </cell>
          <cell r="C295" t="str">
            <v>AD-A01M201</v>
          </cell>
          <cell r="D295" t="str">
            <v>AD-KN</v>
          </cell>
          <cell r="E295" t="str">
            <v>EXT-AD-KN</v>
          </cell>
          <cell r="F295" t="str">
            <v>EXT-KN</v>
          </cell>
          <cell r="G295" t="str">
            <v>A01M201</v>
          </cell>
          <cell r="H295" t="str">
            <v>EXT</v>
          </cell>
          <cell r="I295">
            <v>2002</v>
          </cell>
          <cell r="J295" t="str">
            <v>P</v>
          </cell>
          <cell r="K295" t="str">
            <v>AD</v>
          </cell>
          <cell r="L295" t="str">
            <v>KN</v>
          </cell>
          <cell r="Z295">
            <v>0</v>
          </cell>
          <cell r="AB295">
            <v>0</v>
          </cell>
          <cell r="AC295">
            <v>0</v>
          </cell>
          <cell r="AD295">
            <v>0</v>
          </cell>
          <cell r="AE295">
            <v>0</v>
          </cell>
        </row>
        <row r="296">
          <cell r="B296" t="str">
            <v>CO-KE-A01M201</v>
          </cell>
          <cell r="C296" t="str">
            <v>CO-A01M201</v>
          </cell>
          <cell r="D296" t="str">
            <v>CO-KE</v>
          </cell>
          <cell r="E296" t="str">
            <v>EXT-CO-KE</v>
          </cell>
          <cell r="F296" t="str">
            <v>EXT-KE</v>
          </cell>
          <cell r="G296" t="str">
            <v>A01M201</v>
          </cell>
          <cell r="H296" t="str">
            <v>EXT</v>
          </cell>
          <cell r="I296">
            <v>2002</v>
          </cell>
          <cell r="J296" t="str">
            <v>P</v>
          </cell>
          <cell r="K296" t="str">
            <v>CO</v>
          </cell>
          <cell r="L296" t="str">
            <v>KE</v>
          </cell>
          <cell r="Z296">
            <v>0</v>
          </cell>
          <cell r="AB296">
            <v>0</v>
          </cell>
          <cell r="AC296">
            <v>0</v>
          </cell>
          <cell r="AD296">
            <v>0</v>
          </cell>
          <cell r="AE296">
            <v>0</v>
          </cell>
        </row>
        <row r="297">
          <cell r="B297" t="str">
            <v>CO-KN-A01M201</v>
          </cell>
          <cell r="C297" t="str">
            <v>CO-A01M201</v>
          </cell>
          <cell r="D297" t="str">
            <v>CO-KN</v>
          </cell>
          <cell r="E297" t="str">
            <v>EXT-CO-KN</v>
          </cell>
          <cell r="F297" t="str">
            <v>EXT-KN</v>
          </cell>
          <cell r="G297" t="str">
            <v>A01M201</v>
          </cell>
          <cell r="H297" t="str">
            <v>EXT</v>
          </cell>
          <cell r="I297">
            <v>2002</v>
          </cell>
          <cell r="J297" t="str">
            <v>P</v>
          </cell>
          <cell r="K297" t="str">
            <v>CO</v>
          </cell>
          <cell r="L297" t="str">
            <v>KN</v>
          </cell>
          <cell r="Z297">
            <v>0</v>
          </cell>
          <cell r="AB297">
            <v>0</v>
          </cell>
          <cell r="AC297">
            <v>0</v>
          </cell>
          <cell r="AD297">
            <v>0</v>
          </cell>
          <cell r="AE297">
            <v>0</v>
          </cell>
        </row>
        <row r="298">
          <cell r="B298" t="str">
            <v>IN-KE-A01M201</v>
          </cell>
          <cell r="C298" t="str">
            <v>IN-A01M201</v>
          </cell>
          <cell r="D298" t="str">
            <v>IN-KE</v>
          </cell>
          <cell r="E298" t="str">
            <v>EXT-IN-KE</v>
          </cell>
          <cell r="F298" t="str">
            <v>EXT-KE</v>
          </cell>
          <cell r="G298" t="str">
            <v>A01M201</v>
          </cell>
          <cell r="H298" t="str">
            <v>EXT</v>
          </cell>
          <cell r="I298">
            <v>2002</v>
          </cell>
          <cell r="J298" t="str">
            <v>P</v>
          </cell>
          <cell r="K298" t="str">
            <v>IN</v>
          </cell>
          <cell r="L298" t="str">
            <v>KE</v>
          </cell>
          <cell r="Z298">
            <v>0</v>
          </cell>
          <cell r="AB298">
            <v>0</v>
          </cell>
          <cell r="AC298">
            <v>0</v>
          </cell>
          <cell r="AD298">
            <v>0</v>
          </cell>
          <cell r="AE298">
            <v>0</v>
          </cell>
        </row>
        <row r="299">
          <cell r="B299" t="str">
            <v>IN-KN-A01M201</v>
          </cell>
          <cell r="C299" t="str">
            <v>IN-A01M201</v>
          </cell>
          <cell r="D299" t="str">
            <v>IN-KN</v>
          </cell>
          <cell r="E299" t="str">
            <v>EXT-IN-KN</v>
          </cell>
          <cell r="F299" t="str">
            <v>EXT-KN</v>
          </cell>
          <cell r="G299" t="str">
            <v>A01M201</v>
          </cell>
          <cell r="H299" t="str">
            <v>EXT</v>
          </cell>
          <cell r="I299">
            <v>2002</v>
          </cell>
          <cell r="J299" t="str">
            <v>P</v>
          </cell>
          <cell r="K299" t="str">
            <v>IN</v>
          </cell>
          <cell r="L299" t="str">
            <v>KN</v>
          </cell>
          <cell r="T299">
            <v>277</v>
          </cell>
          <cell r="U299">
            <v>194.9</v>
          </cell>
          <cell r="V299">
            <v>242.2</v>
          </cell>
          <cell r="W299">
            <v>301.39999999999998</v>
          </cell>
          <cell r="X299">
            <v>222.3</v>
          </cell>
          <cell r="Z299">
            <v>1237.8</v>
          </cell>
          <cell r="AA299">
            <v>320</v>
          </cell>
          <cell r="AB299">
            <v>1557.8</v>
          </cell>
          <cell r="AC299">
            <v>0</v>
          </cell>
          <cell r="AD299">
            <v>0</v>
          </cell>
          <cell r="AE299">
            <v>1237.8</v>
          </cell>
        </row>
        <row r="300">
          <cell r="B300" t="str">
            <v>AD-KE-A01M301</v>
          </cell>
          <cell r="C300" t="str">
            <v>AD-A01M301</v>
          </cell>
          <cell r="D300" t="str">
            <v>AD-KE</v>
          </cell>
          <cell r="E300" t="str">
            <v>DIV-AD-KE</v>
          </cell>
          <cell r="F300" t="str">
            <v>DIV-KE</v>
          </cell>
          <cell r="G300" t="str">
            <v>A01M301</v>
          </cell>
          <cell r="H300" t="str">
            <v>DIV</v>
          </cell>
          <cell r="I300">
            <v>2001</v>
          </cell>
          <cell r="J300" t="str">
            <v>P</v>
          </cell>
          <cell r="K300" t="str">
            <v>AD</v>
          </cell>
          <cell r="L300" t="str">
            <v>KE</v>
          </cell>
          <cell r="Z300">
            <v>0</v>
          </cell>
          <cell r="AB300">
            <v>0</v>
          </cell>
          <cell r="AC300">
            <v>0</v>
          </cell>
          <cell r="AD300">
            <v>0</v>
          </cell>
          <cell r="AE300">
            <v>0</v>
          </cell>
        </row>
        <row r="301">
          <cell r="B301" t="str">
            <v>AD-KN-A01M301</v>
          </cell>
          <cell r="C301" t="str">
            <v>AD-A01M301</v>
          </cell>
          <cell r="D301" t="str">
            <v>AD-KN</v>
          </cell>
          <cell r="E301" t="str">
            <v>DIV-AD-KN</v>
          </cell>
          <cell r="F301" t="str">
            <v>DIV-KN</v>
          </cell>
          <cell r="G301" t="str">
            <v>A01M301</v>
          </cell>
          <cell r="H301" t="str">
            <v>DIV</v>
          </cell>
          <cell r="I301">
            <v>2001</v>
          </cell>
          <cell r="J301" t="str">
            <v>P</v>
          </cell>
          <cell r="K301" t="str">
            <v>AD</v>
          </cell>
          <cell r="L301" t="str">
            <v>KN</v>
          </cell>
          <cell r="Z301">
            <v>0</v>
          </cell>
          <cell r="AB301">
            <v>0</v>
          </cell>
          <cell r="AC301">
            <v>0</v>
          </cell>
          <cell r="AD301">
            <v>0</v>
          </cell>
          <cell r="AE301">
            <v>0</v>
          </cell>
        </row>
        <row r="302">
          <cell r="B302" t="str">
            <v>CO-KE-A01M301</v>
          </cell>
          <cell r="C302" t="str">
            <v>CO-A01M301</v>
          </cell>
          <cell r="D302" t="str">
            <v>CO-KE</v>
          </cell>
          <cell r="E302" t="str">
            <v>DIV-CO-KE</v>
          </cell>
          <cell r="F302" t="str">
            <v>DIV-KE</v>
          </cell>
          <cell r="G302" t="str">
            <v>A01M301</v>
          </cell>
          <cell r="H302" t="str">
            <v>DIV</v>
          </cell>
          <cell r="I302">
            <v>2001</v>
          </cell>
          <cell r="J302" t="str">
            <v>P</v>
          </cell>
          <cell r="K302" t="str">
            <v>CO</v>
          </cell>
          <cell r="L302" t="str">
            <v>KE</v>
          </cell>
          <cell r="Z302">
            <v>0</v>
          </cell>
          <cell r="AB302">
            <v>0</v>
          </cell>
          <cell r="AC302">
            <v>0</v>
          </cell>
          <cell r="AD302">
            <v>0</v>
          </cell>
          <cell r="AE302">
            <v>0</v>
          </cell>
        </row>
        <row r="303">
          <cell r="B303" t="str">
            <v>CO-KN-A01M301</v>
          </cell>
          <cell r="C303" t="str">
            <v>CO-A01M301</v>
          </cell>
          <cell r="D303" t="str">
            <v>CO-KN</v>
          </cell>
          <cell r="E303" t="str">
            <v>DIV-CO-KN</v>
          </cell>
          <cell r="F303" t="str">
            <v>DIV-KN</v>
          </cell>
          <cell r="G303" t="str">
            <v>A01M301</v>
          </cell>
          <cell r="H303" t="str">
            <v>DIV</v>
          </cell>
          <cell r="I303">
            <v>2001</v>
          </cell>
          <cell r="J303" t="str">
            <v>P</v>
          </cell>
          <cell r="K303" t="str">
            <v>CO</v>
          </cell>
          <cell r="L303" t="str">
            <v>KN</v>
          </cell>
          <cell r="T303">
            <v>1</v>
          </cell>
          <cell r="U303">
            <v>16.2</v>
          </cell>
          <cell r="V303">
            <v>16.2</v>
          </cell>
          <cell r="W303">
            <v>33</v>
          </cell>
          <cell r="X303">
            <v>19.5</v>
          </cell>
          <cell r="Z303">
            <v>85.9</v>
          </cell>
          <cell r="AB303">
            <v>85.9</v>
          </cell>
          <cell r="AC303">
            <v>0</v>
          </cell>
          <cell r="AD303">
            <v>0</v>
          </cell>
          <cell r="AE303">
            <v>85.9</v>
          </cell>
        </row>
        <row r="304">
          <cell r="B304" t="str">
            <v>IN-KE-A01M301</v>
          </cell>
          <cell r="C304" t="str">
            <v>IN-A01M301</v>
          </cell>
          <cell r="D304" t="str">
            <v>IN-KE</v>
          </cell>
          <cell r="E304" t="str">
            <v>DIV-IN-KE</v>
          </cell>
          <cell r="F304" t="str">
            <v>DIV-KE</v>
          </cell>
          <cell r="G304" t="str">
            <v>A01M301</v>
          </cell>
          <cell r="H304" t="str">
            <v>DIV</v>
          </cell>
          <cell r="I304">
            <v>2001</v>
          </cell>
          <cell r="J304" t="str">
            <v>P</v>
          </cell>
          <cell r="K304" t="str">
            <v>IN</v>
          </cell>
          <cell r="L304" t="str">
            <v>KE</v>
          </cell>
          <cell r="Z304">
            <v>0</v>
          </cell>
          <cell r="AB304">
            <v>0</v>
          </cell>
          <cell r="AC304">
            <v>0</v>
          </cell>
          <cell r="AD304">
            <v>0</v>
          </cell>
          <cell r="AE304">
            <v>0</v>
          </cell>
        </row>
        <row r="305">
          <cell r="B305" t="str">
            <v>IN-KN-A01M301</v>
          </cell>
          <cell r="C305" t="str">
            <v>IN-A01M301</v>
          </cell>
          <cell r="D305" t="str">
            <v>IN-KN</v>
          </cell>
          <cell r="E305" t="str">
            <v>DIV-IN-KN</v>
          </cell>
          <cell r="F305" t="str">
            <v>DIV-KN</v>
          </cell>
          <cell r="G305" t="str">
            <v>A01M301</v>
          </cell>
          <cell r="H305" t="str">
            <v>DIV</v>
          </cell>
          <cell r="I305">
            <v>2001</v>
          </cell>
          <cell r="J305" t="str">
            <v>P</v>
          </cell>
          <cell r="K305" t="str">
            <v>IN</v>
          </cell>
          <cell r="L305" t="str">
            <v>KN</v>
          </cell>
          <cell r="P305">
            <v>1</v>
          </cell>
          <cell r="Q305">
            <v>8.5</v>
          </cell>
          <cell r="R305">
            <v>5.4</v>
          </cell>
          <cell r="S305">
            <v>1.3</v>
          </cell>
          <cell r="T305">
            <v>1</v>
          </cell>
          <cell r="U305">
            <v>1.5</v>
          </cell>
          <cell r="V305">
            <v>1.3</v>
          </cell>
          <cell r="W305">
            <v>3.3</v>
          </cell>
          <cell r="X305">
            <v>0.8</v>
          </cell>
          <cell r="Z305">
            <v>24.1</v>
          </cell>
          <cell r="AB305">
            <v>24.1</v>
          </cell>
          <cell r="AC305">
            <v>16.2</v>
          </cell>
          <cell r="AD305">
            <v>16.2</v>
          </cell>
          <cell r="AE305">
            <v>7.9000000000000021</v>
          </cell>
        </row>
        <row r="306">
          <cell r="B306" t="str">
            <v>AD-KE-A01M303</v>
          </cell>
          <cell r="C306" t="str">
            <v>AD-A01M303</v>
          </cell>
          <cell r="D306" t="str">
            <v>AD-KE</v>
          </cell>
          <cell r="E306" t="str">
            <v>DIV-AD-KE</v>
          </cell>
          <cell r="F306" t="str">
            <v>DIV-KE</v>
          </cell>
          <cell r="G306" t="str">
            <v>A01M303</v>
          </cell>
          <cell r="H306" t="str">
            <v>DIV</v>
          </cell>
          <cell r="I306">
            <v>2002</v>
          </cell>
          <cell r="J306" t="str">
            <v>P</v>
          </cell>
          <cell r="K306" t="str">
            <v>AD</v>
          </cell>
          <cell r="L306" t="str">
            <v>KE</v>
          </cell>
          <cell r="Z306">
            <v>0</v>
          </cell>
          <cell r="AB306">
            <v>0</v>
          </cell>
          <cell r="AC306">
            <v>0</v>
          </cell>
          <cell r="AD306">
            <v>0</v>
          </cell>
          <cell r="AE306">
            <v>0</v>
          </cell>
        </row>
        <row r="307">
          <cell r="B307" t="str">
            <v>AD-KN-A01M303</v>
          </cell>
          <cell r="C307" t="str">
            <v>AD-A01M303</v>
          </cell>
          <cell r="D307" t="str">
            <v>AD-KN</v>
          </cell>
          <cell r="E307" t="str">
            <v>DIV-AD-KN</v>
          </cell>
          <cell r="F307" t="str">
            <v>DIV-KN</v>
          </cell>
          <cell r="G307" t="str">
            <v>A01M303</v>
          </cell>
          <cell r="H307" t="str">
            <v>DIV</v>
          </cell>
          <cell r="I307">
            <v>2002</v>
          </cell>
          <cell r="J307" t="str">
            <v>P</v>
          </cell>
          <cell r="K307" t="str">
            <v>AD</v>
          </cell>
          <cell r="L307" t="str">
            <v>KN</v>
          </cell>
          <cell r="Z307">
            <v>0</v>
          </cell>
          <cell r="AB307">
            <v>0</v>
          </cell>
          <cell r="AC307">
            <v>0</v>
          </cell>
          <cell r="AD307">
            <v>0</v>
          </cell>
          <cell r="AE307">
            <v>0</v>
          </cell>
        </row>
        <row r="308">
          <cell r="B308" t="str">
            <v>CO-KE-A01M303</v>
          </cell>
          <cell r="C308" t="str">
            <v>CO-A01M303</v>
          </cell>
          <cell r="D308" t="str">
            <v>CO-KE</v>
          </cell>
          <cell r="E308" t="str">
            <v>DIV-CO-KE</v>
          </cell>
          <cell r="F308" t="str">
            <v>DIV-KE</v>
          </cell>
          <cell r="G308" t="str">
            <v>A01M303</v>
          </cell>
          <cell r="H308" t="str">
            <v>DIV</v>
          </cell>
          <cell r="I308">
            <v>2002</v>
          </cell>
          <cell r="J308" t="str">
            <v>P</v>
          </cell>
          <cell r="K308" t="str">
            <v>CO</v>
          </cell>
          <cell r="L308" t="str">
            <v>KE</v>
          </cell>
          <cell r="Z308">
            <v>0</v>
          </cell>
          <cell r="AB308">
            <v>0</v>
          </cell>
          <cell r="AC308">
            <v>0</v>
          </cell>
          <cell r="AD308">
            <v>0</v>
          </cell>
          <cell r="AE308">
            <v>0</v>
          </cell>
        </row>
        <row r="309">
          <cell r="B309" t="str">
            <v>CO-KN-A01M303</v>
          </cell>
          <cell r="C309" t="str">
            <v>CO-A01M303</v>
          </cell>
          <cell r="D309" t="str">
            <v>CO-KN</v>
          </cell>
          <cell r="E309" t="str">
            <v>DIV-CO-KN</v>
          </cell>
          <cell r="F309" t="str">
            <v>DIV-KN</v>
          </cell>
          <cell r="G309" t="str">
            <v>A01M303</v>
          </cell>
          <cell r="H309" t="str">
            <v>DIV</v>
          </cell>
          <cell r="I309">
            <v>2002</v>
          </cell>
          <cell r="J309" t="str">
            <v>P</v>
          </cell>
          <cell r="K309" t="str">
            <v>CO</v>
          </cell>
          <cell r="L309" t="str">
            <v>KN</v>
          </cell>
          <cell r="Z309">
            <v>0</v>
          </cell>
          <cell r="AB309">
            <v>0</v>
          </cell>
          <cell r="AC309">
            <v>0</v>
          </cell>
          <cell r="AD309">
            <v>0</v>
          </cell>
          <cell r="AE309">
            <v>0</v>
          </cell>
        </row>
        <row r="310">
          <cell r="B310" t="str">
            <v>IN-KE-A01M303</v>
          </cell>
          <cell r="C310" t="str">
            <v>IN-A01M303</v>
          </cell>
          <cell r="D310" t="str">
            <v>IN-KE</v>
          </cell>
          <cell r="E310" t="str">
            <v>DIV-IN-KE</v>
          </cell>
          <cell r="F310" t="str">
            <v>DIV-KE</v>
          </cell>
          <cell r="G310" t="str">
            <v>A01M303</v>
          </cell>
          <cell r="H310" t="str">
            <v>DIV</v>
          </cell>
          <cell r="I310">
            <v>2002</v>
          </cell>
          <cell r="J310" t="str">
            <v>P</v>
          </cell>
          <cell r="K310" t="str">
            <v>IN</v>
          </cell>
          <cell r="L310" t="str">
            <v>KE</v>
          </cell>
          <cell r="Z310">
            <v>0</v>
          </cell>
          <cell r="AB310">
            <v>0</v>
          </cell>
          <cell r="AC310">
            <v>0</v>
          </cell>
          <cell r="AD310">
            <v>0</v>
          </cell>
          <cell r="AE310">
            <v>0</v>
          </cell>
        </row>
        <row r="311">
          <cell r="B311" t="str">
            <v>IN-KN-A01M303</v>
          </cell>
          <cell r="C311" t="str">
            <v>IN-A01M303</v>
          </cell>
          <cell r="D311" t="str">
            <v>IN-KN</v>
          </cell>
          <cell r="E311" t="str">
            <v>DIV-IN-KN</v>
          </cell>
          <cell r="F311" t="str">
            <v>DIV-KN</v>
          </cell>
          <cell r="G311" t="str">
            <v>A01M303</v>
          </cell>
          <cell r="H311" t="str">
            <v>DIV</v>
          </cell>
          <cell r="I311">
            <v>2002</v>
          </cell>
          <cell r="J311" t="str">
            <v>P</v>
          </cell>
          <cell r="K311" t="str">
            <v>IN</v>
          </cell>
          <cell r="L311" t="str">
            <v>KN</v>
          </cell>
          <cell r="T311">
            <v>2</v>
          </cell>
          <cell r="U311">
            <v>1</v>
          </cell>
          <cell r="W311">
            <v>1</v>
          </cell>
          <cell r="Z311">
            <v>4</v>
          </cell>
          <cell r="AB311">
            <v>4</v>
          </cell>
          <cell r="AC311">
            <v>0</v>
          </cell>
          <cell r="AD311">
            <v>0</v>
          </cell>
          <cell r="AE311">
            <v>4</v>
          </cell>
        </row>
        <row r="312">
          <cell r="B312" t="str">
            <v>AD-KE-A01M304</v>
          </cell>
          <cell r="C312" t="str">
            <v>AD-A01M304</v>
          </cell>
          <cell r="D312" t="str">
            <v>AD-KE</v>
          </cell>
          <cell r="E312" t="str">
            <v>DIV-AD-KE</v>
          </cell>
          <cell r="F312" t="str">
            <v>DIV-KE</v>
          </cell>
          <cell r="G312" t="str">
            <v>A01M304</v>
          </cell>
          <cell r="H312" t="str">
            <v>DIV</v>
          </cell>
          <cell r="I312">
            <v>2001</v>
          </cell>
          <cell r="J312" t="str">
            <v>P</v>
          </cell>
          <cell r="K312" t="str">
            <v>AD</v>
          </cell>
          <cell r="L312" t="str">
            <v>KE</v>
          </cell>
          <cell r="Z312">
            <v>0</v>
          </cell>
          <cell r="AB312">
            <v>0</v>
          </cell>
          <cell r="AC312">
            <v>0</v>
          </cell>
          <cell r="AD312">
            <v>0</v>
          </cell>
          <cell r="AE312">
            <v>0</v>
          </cell>
        </row>
        <row r="313">
          <cell r="B313" t="str">
            <v>AD-KN-A01M304</v>
          </cell>
          <cell r="C313" t="str">
            <v>AD-A01M304</v>
          </cell>
          <cell r="D313" t="str">
            <v>AD-KN</v>
          </cell>
          <cell r="E313" t="str">
            <v>DIV-AD-KN</v>
          </cell>
          <cell r="F313" t="str">
            <v>DIV-KN</v>
          </cell>
          <cell r="G313" t="str">
            <v>A01M304</v>
          </cell>
          <cell r="H313" t="str">
            <v>DIV</v>
          </cell>
          <cell r="I313">
            <v>2001</v>
          </cell>
          <cell r="J313" t="str">
            <v>P</v>
          </cell>
          <cell r="K313" t="str">
            <v>AD</v>
          </cell>
          <cell r="L313" t="str">
            <v>KN</v>
          </cell>
          <cell r="V313">
            <v>17.8</v>
          </cell>
          <cell r="X313">
            <v>1.8</v>
          </cell>
          <cell r="Z313">
            <v>19.600000000000001</v>
          </cell>
          <cell r="AB313">
            <v>19.600000000000001</v>
          </cell>
          <cell r="AC313">
            <v>0</v>
          </cell>
          <cell r="AD313">
            <v>0</v>
          </cell>
          <cell r="AE313">
            <v>19.600000000000001</v>
          </cell>
        </row>
        <row r="314">
          <cell r="B314" t="str">
            <v>CO-KE-A01M304</v>
          </cell>
          <cell r="C314" t="str">
            <v>CO-A01M304</v>
          </cell>
          <cell r="D314" t="str">
            <v>CO-KE</v>
          </cell>
          <cell r="E314" t="str">
            <v>DIV-CO-KE</v>
          </cell>
          <cell r="F314" t="str">
            <v>DIV-KE</v>
          </cell>
          <cell r="G314" t="str">
            <v>A01M304</v>
          </cell>
          <cell r="H314" t="str">
            <v>DIV</v>
          </cell>
          <cell r="I314">
            <v>2001</v>
          </cell>
          <cell r="J314" t="str">
            <v>P</v>
          </cell>
          <cell r="K314" t="str">
            <v>CO</v>
          </cell>
          <cell r="L314" t="str">
            <v>KE</v>
          </cell>
          <cell r="Z314">
            <v>0</v>
          </cell>
          <cell r="AB314">
            <v>0</v>
          </cell>
          <cell r="AC314">
            <v>0</v>
          </cell>
          <cell r="AD314">
            <v>0</v>
          </cell>
          <cell r="AE314">
            <v>0</v>
          </cell>
        </row>
        <row r="315">
          <cell r="B315" t="str">
            <v>CO-KN-A01M304</v>
          </cell>
          <cell r="C315" t="str">
            <v>CO-A01M304</v>
          </cell>
          <cell r="D315" t="str">
            <v>CO-KN</v>
          </cell>
          <cell r="E315" t="str">
            <v>DIV-CO-KN</v>
          </cell>
          <cell r="F315" t="str">
            <v>DIV-KN</v>
          </cell>
          <cell r="G315" t="str">
            <v>A01M304</v>
          </cell>
          <cell r="H315" t="str">
            <v>DIV</v>
          </cell>
          <cell r="I315">
            <v>2001</v>
          </cell>
          <cell r="J315" t="str">
            <v>P</v>
          </cell>
          <cell r="K315" t="str">
            <v>CO</v>
          </cell>
          <cell r="L315" t="str">
            <v>KN</v>
          </cell>
          <cell r="W315">
            <v>17.399999999999999</v>
          </cell>
          <cell r="X315">
            <v>20.8</v>
          </cell>
          <cell r="Z315">
            <v>38.200000000000003</v>
          </cell>
          <cell r="AB315">
            <v>38.200000000000003</v>
          </cell>
          <cell r="AC315">
            <v>0</v>
          </cell>
          <cell r="AD315">
            <v>0</v>
          </cell>
          <cell r="AE315">
            <v>38.200000000000003</v>
          </cell>
        </row>
        <row r="316">
          <cell r="B316" t="str">
            <v>IN-KE-A01M304</v>
          </cell>
          <cell r="C316" t="str">
            <v>IN-A01M304</v>
          </cell>
          <cell r="D316" t="str">
            <v>IN-KE</v>
          </cell>
          <cell r="E316" t="str">
            <v>DIV-IN-KE</v>
          </cell>
          <cell r="F316" t="str">
            <v>DIV-KE</v>
          </cell>
          <cell r="G316" t="str">
            <v>A01M304</v>
          </cell>
          <cell r="H316" t="str">
            <v>DIV</v>
          </cell>
          <cell r="I316">
            <v>2001</v>
          </cell>
          <cell r="J316" t="str">
            <v>P</v>
          </cell>
          <cell r="K316" t="str">
            <v>IN</v>
          </cell>
          <cell r="L316" t="str">
            <v>KE</v>
          </cell>
          <cell r="Z316">
            <v>0</v>
          </cell>
          <cell r="AB316">
            <v>0</v>
          </cell>
          <cell r="AC316">
            <v>0</v>
          </cell>
          <cell r="AD316">
            <v>0</v>
          </cell>
          <cell r="AE316">
            <v>0</v>
          </cell>
        </row>
        <row r="317">
          <cell r="B317" t="str">
            <v>IN-KN-A01M304</v>
          </cell>
          <cell r="C317" t="str">
            <v>IN-A01M304</v>
          </cell>
          <cell r="D317" t="str">
            <v>IN-KN</v>
          </cell>
          <cell r="E317" t="str">
            <v>DIV-IN-KN</v>
          </cell>
          <cell r="F317" t="str">
            <v>DIV-KN</v>
          </cell>
          <cell r="G317" t="str">
            <v>A01M304</v>
          </cell>
          <cell r="H317" t="str">
            <v>DIV</v>
          </cell>
          <cell r="I317">
            <v>2001</v>
          </cell>
          <cell r="J317" t="str">
            <v>P</v>
          </cell>
          <cell r="K317" t="str">
            <v>IN</v>
          </cell>
          <cell r="L317" t="str">
            <v>KN</v>
          </cell>
          <cell r="T317">
            <v>2.2000000000000002</v>
          </cell>
          <cell r="U317">
            <v>2.5</v>
          </cell>
          <cell r="V317">
            <v>2.6</v>
          </cell>
          <cell r="W317">
            <v>2.5</v>
          </cell>
          <cell r="X317">
            <v>3.3</v>
          </cell>
          <cell r="Z317">
            <v>13.100000000000001</v>
          </cell>
          <cell r="AB317">
            <v>13.100000000000001</v>
          </cell>
          <cell r="AC317">
            <v>0</v>
          </cell>
          <cell r="AD317">
            <v>0</v>
          </cell>
          <cell r="AE317">
            <v>13.100000000000001</v>
          </cell>
        </row>
        <row r="318">
          <cell r="B318" t="str">
            <v>AD-KE-A01M305</v>
          </cell>
          <cell r="C318" t="str">
            <v>AD-A01M305</v>
          </cell>
          <cell r="D318" t="str">
            <v>AD-KE</v>
          </cell>
          <cell r="E318" t="str">
            <v>DIV-AD-KE</v>
          </cell>
          <cell r="F318" t="str">
            <v>DIV-KE</v>
          </cell>
          <cell r="G318" t="str">
            <v>A01M305</v>
          </cell>
          <cell r="H318" t="str">
            <v>DIV</v>
          </cell>
          <cell r="I318">
            <v>2001</v>
          </cell>
          <cell r="J318" t="str">
            <v>P</v>
          </cell>
          <cell r="K318" t="str">
            <v>AD</v>
          </cell>
          <cell r="L318" t="str">
            <v>KE</v>
          </cell>
          <cell r="Z318">
            <v>0</v>
          </cell>
          <cell r="AB318">
            <v>0</v>
          </cell>
          <cell r="AC318">
            <v>0</v>
          </cell>
          <cell r="AD318">
            <v>0</v>
          </cell>
          <cell r="AE318">
            <v>0</v>
          </cell>
        </row>
        <row r="319">
          <cell r="B319" t="str">
            <v>AD-KN-A01M305</v>
          </cell>
          <cell r="C319" t="str">
            <v>AD-A01M305</v>
          </cell>
          <cell r="D319" t="str">
            <v>AD-KN</v>
          </cell>
          <cell r="E319" t="str">
            <v>DIV-AD-KN</v>
          </cell>
          <cell r="F319" t="str">
            <v>DIV-KN</v>
          </cell>
          <cell r="G319" t="str">
            <v>A01M305</v>
          </cell>
          <cell r="H319" t="str">
            <v>DIV</v>
          </cell>
          <cell r="I319">
            <v>2001</v>
          </cell>
          <cell r="J319" t="str">
            <v>P</v>
          </cell>
          <cell r="K319" t="str">
            <v>AD</v>
          </cell>
          <cell r="L319" t="str">
            <v>KN</v>
          </cell>
          <cell r="V319">
            <v>31.2</v>
          </cell>
          <cell r="X319">
            <v>4.7</v>
          </cell>
          <cell r="Z319">
            <v>35.9</v>
          </cell>
          <cell r="AB319">
            <v>35.9</v>
          </cell>
          <cell r="AC319">
            <v>0</v>
          </cell>
          <cell r="AD319">
            <v>0</v>
          </cell>
          <cell r="AE319">
            <v>35.9</v>
          </cell>
        </row>
        <row r="320">
          <cell r="B320" t="str">
            <v>CO-KE-A01M305</v>
          </cell>
          <cell r="C320" t="str">
            <v>CO-A01M305</v>
          </cell>
          <cell r="D320" t="str">
            <v>CO-KE</v>
          </cell>
          <cell r="E320" t="str">
            <v>DIV-CO-KE</v>
          </cell>
          <cell r="F320" t="str">
            <v>DIV-KE</v>
          </cell>
          <cell r="G320" t="str">
            <v>A01M305</v>
          </cell>
          <cell r="H320" t="str">
            <v>DIV</v>
          </cell>
          <cell r="I320">
            <v>2001</v>
          </cell>
          <cell r="J320" t="str">
            <v>P</v>
          </cell>
          <cell r="K320" t="str">
            <v>CO</v>
          </cell>
          <cell r="L320" t="str">
            <v>KE</v>
          </cell>
          <cell r="Z320">
            <v>0</v>
          </cell>
          <cell r="AB320">
            <v>0</v>
          </cell>
          <cell r="AC320">
            <v>0</v>
          </cell>
          <cell r="AD320">
            <v>0</v>
          </cell>
          <cell r="AE320">
            <v>0</v>
          </cell>
        </row>
        <row r="321">
          <cell r="B321" t="str">
            <v>CO-KN-A01M305</v>
          </cell>
          <cell r="C321" t="str">
            <v>CO-A01M305</v>
          </cell>
          <cell r="D321" t="str">
            <v>CO-KN</v>
          </cell>
          <cell r="E321" t="str">
            <v>DIV-CO-KN</v>
          </cell>
          <cell r="F321" t="str">
            <v>DIV-KN</v>
          </cell>
          <cell r="G321" t="str">
            <v>A01M305</v>
          </cell>
          <cell r="H321" t="str">
            <v>DIV</v>
          </cell>
          <cell r="I321">
            <v>2001</v>
          </cell>
          <cell r="J321" t="str">
            <v>P</v>
          </cell>
          <cell r="K321" t="str">
            <v>CO</v>
          </cell>
          <cell r="L321" t="str">
            <v>KN</v>
          </cell>
          <cell r="W321">
            <v>36.799999999999997</v>
          </cell>
          <cell r="X321">
            <v>47.9</v>
          </cell>
          <cell r="Z321">
            <v>84.699999999999989</v>
          </cell>
          <cell r="AB321">
            <v>84.699999999999989</v>
          </cell>
          <cell r="AC321">
            <v>0</v>
          </cell>
          <cell r="AD321">
            <v>0</v>
          </cell>
          <cell r="AE321">
            <v>84.699999999999989</v>
          </cell>
        </row>
        <row r="322">
          <cell r="B322" t="str">
            <v>IN-KE-A01M305</v>
          </cell>
          <cell r="C322" t="str">
            <v>IN-A01M305</v>
          </cell>
          <cell r="D322" t="str">
            <v>IN-KE</v>
          </cell>
          <cell r="E322" t="str">
            <v>DIV-IN-KE</v>
          </cell>
          <cell r="F322" t="str">
            <v>DIV-KE</v>
          </cell>
          <cell r="G322" t="str">
            <v>A01M305</v>
          </cell>
          <cell r="H322" t="str">
            <v>DIV</v>
          </cell>
          <cell r="I322">
            <v>2001</v>
          </cell>
          <cell r="J322" t="str">
            <v>P</v>
          </cell>
          <cell r="K322" t="str">
            <v>IN</v>
          </cell>
          <cell r="L322" t="str">
            <v>KE</v>
          </cell>
          <cell r="Z322">
            <v>0</v>
          </cell>
          <cell r="AB322">
            <v>0</v>
          </cell>
          <cell r="AC322">
            <v>0</v>
          </cell>
          <cell r="AD322">
            <v>0</v>
          </cell>
          <cell r="AE322">
            <v>0</v>
          </cell>
        </row>
        <row r="323">
          <cell r="B323" t="str">
            <v>IN-KN-A01M305</v>
          </cell>
          <cell r="C323" t="str">
            <v>IN-A01M305</v>
          </cell>
          <cell r="D323" t="str">
            <v>IN-KN</v>
          </cell>
          <cell r="E323" t="str">
            <v>DIV-IN-KN</v>
          </cell>
          <cell r="F323" t="str">
            <v>DIV-KN</v>
          </cell>
          <cell r="G323" t="str">
            <v>A01M305</v>
          </cell>
          <cell r="H323" t="str">
            <v>DIV</v>
          </cell>
          <cell r="I323">
            <v>2001</v>
          </cell>
          <cell r="J323" t="str">
            <v>P</v>
          </cell>
          <cell r="K323" t="str">
            <v>IN</v>
          </cell>
          <cell r="L323" t="str">
            <v>KN</v>
          </cell>
          <cell r="T323">
            <v>4.4000000000000004</v>
          </cell>
          <cell r="U323">
            <v>5.6</v>
          </cell>
          <cell r="V323">
            <v>2.4</v>
          </cell>
          <cell r="W323">
            <v>2.6</v>
          </cell>
          <cell r="X323">
            <v>5.0999999999999996</v>
          </cell>
          <cell r="Z323">
            <v>20.100000000000001</v>
          </cell>
          <cell r="AB323">
            <v>20.100000000000001</v>
          </cell>
          <cell r="AC323">
            <v>0</v>
          </cell>
          <cell r="AD323">
            <v>0</v>
          </cell>
          <cell r="AE323">
            <v>20.100000000000001</v>
          </cell>
        </row>
        <row r="324">
          <cell r="B324" t="str">
            <v>AD-KE-A01M307</v>
          </cell>
          <cell r="C324" t="str">
            <v>AD-A01M307</v>
          </cell>
          <cell r="D324" t="str">
            <v>AD-KE</v>
          </cell>
          <cell r="E324" t="str">
            <v>DIV-AD-KE</v>
          </cell>
          <cell r="F324" t="str">
            <v>DIV-KE</v>
          </cell>
          <cell r="G324" t="str">
            <v>A01M307</v>
          </cell>
          <cell r="H324" t="str">
            <v>DIV</v>
          </cell>
          <cell r="I324">
            <v>2002</v>
          </cell>
          <cell r="J324" t="str">
            <v>P</v>
          </cell>
          <cell r="K324" t="str">
            <v>AD</v>
          </cell>
          <cell r="L324" t="str">
            <v>KE</v>
          </cell>
          <cell r="Z324">
            <v>0</v>
          </cell>
          <cell r="AB324">
            <v>0</v>
          </cell>
          <cell r="AC324">
            <v>0</v>
          </cell>
          <cell r="AD324">
            <v>0</v>
          </cell>
          <cell r="AE324">
            <v>0</v>
          </cell>
        </row>
        <row r="325">
          <cell r="B325" t="str">
            <v>AD-KN-A01M307</v>
          </cell>
          <cell r="C325" t="str">
            <v>AD-A01M307</v>
          </cell>
          <cell r="D325" t="str">
            <v>AD-KN</v>
          </cell>
          <cell r="E325" t="str">
            <v>DIV-AD-KN</v>
          </cell>
          <cell r="F325" t="str">
            <v>DIV-KN</v>
          </cell>
          <cell r="G325" t="str">
            <v>A01M307</v>
          </cell>
          <cell r="H325" t="str">
            <v>DIV</v>
          </cell>
          <cell r="I325">
            <v>2002</v>
          </cell>
          <cell r="J325" t="str">
            <v>P</v>
          </cell>
          <cell r="K325" t="str">
            <v>AD</v>
          </cell>
          <cell r="L325" t="str">
            <v>KN</v>
          </cell>
          <cell r="W325">
            <v>2.069</v>
          </cell>
          <cell r="X325">
            <v>70.924000000000007</v>
          </cell>
          <cell r="Z325">
            <v>72.993000000000009</v>
          </cell>
          <cell r="AA325">
            <v>0</v>
          </cell>
          <cell r="AB325">
            <v>72.993000000000009</v>
          </cell>
          <cell r="AC325">
            <v>0</v>
          </cell>
          <cell r="AD325">
            <v>0</v>
          </cell>
          <cell r="AE325">
            <v>72.993000000000009</v>
          </cell>
        </row>
        <row r="326">
          <cell r="B326" t="str">
            <v>CO-KE-A01M307</v>
          </cell>
          <cell r="C326" t="str">
            <v>CO-A01M307</v>
          </cell>
          <cell r="D326" t="str">
            <v>CO-KE</v>
          </cell>
          <cell r="E326" t="str">
            <v>DIV-CO-KE</v>
          </cell>
          <cell r="F326" t="str">
            <v>DIV-KE</v>
          </cell>
          <cell r="G326" t="str">
            <v>A01M307</v>
          </cell>
          <cell r="H326" t="str">
            <v>DIV</v>
          </cell>
          <cell r="I326">
            <v>2002</v>
          </cell>
          <cell r="J326" t="str">
            <v>P</v>
          </cell>
          <cell r="K326" t="str">
            <v>CO</v>
          </cell>
          <cell r="L326" t="str">
            <v>KE</v>
          </cell>
          <cell r="Z326">
            <v>0</v>
          </cell>
          <cell r="AB326">
            <v>0</v>
          </cell>
          <cell r="AC326">
            <v>0</v>
          </cell>
          <cell r="AD326">
            <v>0</v>
          </cell>
          <cell r="AE326">
            <v>0</v>
          </cell>
        </row>
        <row r="327">
          <cell r="B327" t="str">
            <v>CO-KN-A01M307</v>
          </cell>
          <cell r="C327" t="str">
            <v>CO-A01M307</v>
          </cell>
          <cell r="D327" t="str">
            <v>CO-KN</v>
          </cell>
          <cell r="E327" t="str">
            <v>DIV-CO-KN</v>
          </cell>
          <cell r="F327" t="str">
            <v>DIV-KN</v>
          </cell>
          <cell r="G327" t="str">
            <v>A01M307</v>
          </cell>
          <cell r="H327" t="str">
            <v>DIV</v>
          </cell>
          <cell r="I327">
            <v>2002</v>
          </cell>
          <cell r="J327" t="str">
            <v>P</v>
          </cell>
          <cell r="K327" t="str">
            <v>CO</v>
          </cell>
          <cell r="L327" t="str">
            <v>KN</v>
          </cell>
          <cell r="T327">
            <v>2.028</v>
          </cell>
          <cell r="X327">
            <v>0.41099999999999998</v>
          </cell>
          <cell r="Z327">
            <v>2.4390000000000001</v>
          </cell>
          <cell r="AA327">
            <v>32.738999999999997</v>
          </cell>
          <cell r="AB327">
            <v>35.177999999999997</v>
          </cell>
          <cell r="AC327">
            <v>0</v>
          </cell>
          <cell r="AD327">
            <v>0</v>
          </cell>
          <cell r="AE327">
            <v>2.4390000000000001</v>
          </cell>
        </row>
        <row r="328">
          <cell r="B328" t="str">
            <v>IN-KE-A01M307</v>
          </cell>
          <cell r="C328" t="str">
            <v>IN-A01M307</v>
          </cell>
          <cell r="D328" t="str">
            <v>IN-KE</v>
          </cell>
          <cell r="E328" t="str">
            <v>DIV-IN-KE</v>
          </cell>
          <cell r="F328" t="str">
            <v>DIV-KE</v>
          </cell>
          <cell r="G328" t="str">
            <v>A01M307</v>
          </cell>
          <cell r="H328" t="str">
            <v>DIV</v>
          </cell>
          <cell r="I328">
            <v>2002</v>
          </cell>
          <cell r="J328" t="str">
            <v>P</v>
          </cell>
          <cell r="K328" t="str">
            <v>IN</v>
          </cell>
          <cell r="L328" t="str">
            <v>KE</v>
          </cell>
          <cell r="Z328">
            <v>0</v>
          </cell>
          <cell r="AB328">
            <v>0</v>
          </cell>
          <cell r="AC328">
            <v>0</v>
          </cell>
          <cell r="AD328">
            <v>0</v>
          </cell>
          <cell r="AE328">
            <v>0</v>
          </cell>
        </row>
        <row r="329">
          <cell r="B329" t="str">
            <v>IN-KN-A01M307</v>
          </cell>
          <cell r="C329" t="str">
            <v>IN-A01M307</v>
          </cell>
          <cell r="D329" t="str">
            <v>IN-KN</v>
          </cell>
          <cell r="E329" t="str">
            <v>DIV-IN-KN</v>
          </cell>
          <cell r="F329" t="str">
            <v>DIV-KN</v>
          </cell>
          <cell r="G329" t="str">
            <v>A01M307</v>
          </cell>
          <cell r="H329" t="str">
            <v>DIV</v>
          </cell>
          <cell r="I329">
            <v>2002</v>
          </cell>
          <cell r="J329" t="str">
            <v>P</v>
          </cell>
          <cell r="K329" t="str">
            <v>IN</v>
          </cell>
          <cell r="L329" t="str">
            <v>KN</v>
          </cell>
          <cell r="S329">
            <v>1.94</v>
          </cell>
          <cell r="T329">
            <v>1.1379999999999999</v>
          </cell>
          <cell r="U329">
            <v>6.5069999999999997</v>
          </cell>
          <cell r="V329">
            <v>5.2640000000000002</v>
          </cell>
          <cell r="W329">
            <v>1.1379999999999999</v>
          </cell>
          <cell r="X329">
            <v>1.1379999999999999</v>
          </cell>
          <cell r="Z329">
            <v>17.125</v>
          </cell>
          <cell r="AA329">
            <v>7.806</v>
          </cell>
          <cell r="AB329">
            <v>24.931000000000001</v>
          </cell>
          <cell r="AC329">
            <v>1.94</v>
          </cell>
          <cell r="AD329">
            <v>1.94</v>
          </cell>
          <cell r="AE329">
            <v>15.185</v>
          </cell>
        </row>
        <row r="330">
          <cell r="B330" t="str">
            <v>AD-KE-A01M308</v>
          </cell>
          <cell r="C330" t="str">
            <v>AD-A01M308</v>
          </cell>
          <cell r="D330" t="str">
            <v>AD-KE</v>
          </cell>
          <cell r="E330" t="str">
            <v>DIV-AD-KE</v>
          </cell>
          <cell r="F330" t="str">
            <v>DIV-KE</v>
          </cell>
          <cell r="G330" t="str">
            <v>A01M308</v>
          </cell>
          <cell r="H330" t="str">
            <v>DIV</v>
          </cell>
          <cell r="I330">
            <v>2001</v>
          </cell>
          <cell r="J330" t="str">
            <v>P</v>
          </cell>
          <cell r="K330" t="str">
            <v>AD</v>
          </cell>
          <cell r="L330" t="str">
            <v>KE</v>
          </cell>
          <cell r="S330">
            <v>40.6</v>
          </cell>
          <cell r="T330">
            <v>4.0999999999999996</v>
          </cell>
          <cell r="V330">
            <v>4.5</v>
          </cell>
          <cell r="Z330">
            <v>49.2</v>
          </cell>
          <cell r="AB330">
            <v>49.2</v>
          </cell>
          <cell r="AC330">
            <v>40.6</v>
          </cell>
          <cell r="AD330">
            <v>40.6</v>
          </cell>
          <cell r="AE330">
            <v>8.6000000000000014</v>
          </cell>
        </row>
        <row r="331">
          <cell r="B331" t="str">
            <v>AD-KN-A01M308</v>
          </cell>
          <cell r="C331" t="str">
            <v>AD-A01M308</v>
          </cell>
          <cell r="D331" t="str">
            <v>AD-KN</v>
          </cell>
          <cell r="E331" t="str">
            <v>DIV-AD-KN</v>
          </cell>
          <cell r="F331" t="str">
            <v>DIV-KN</v>
          </cell>
          <cell r="G331" t="str">
            <v>A01M308</v>
          </cell>
          <cell r="H331" t="str">
            <v>DIV</v>
          </cell>
          <cell r="I331">
            <v>2001</v>
          </cell>
          <cell r="J331" t="str">
            <v>P</v>
          </cell>
          <cell r="K331" t="str">
            <v>AD</v>
          </cell>
          <cell r="L331" t="str">
            <v>KN</v>
          </cell>
          <cell r="Z331">
            <v>0</v>
          </cell>
          <cell r="AB331">
            <v>0</v>
          </cell>
          <cell r="AC331">
            <v>0</v>
          </cell>
          <cell r="AD331">
            <v>0</v>
          </cell>
          <cell r="AE331">
            <v>0</v>
          </cell>
        </row>
        <row r="332">
          <cell r="B332" t="str">
            <v>CO-KE-A01M308</v>
          </cell>
          <cell r="C332" t="str">
            <v>CO-A01M308</v>
          </cell>
          <cell r="D332" t="str">
            <v>CO-KE</v>
          </cell>
          <cell r="E332" t="str">
            <v>DIV-CO-KE</v>
          </cell>
          <cell r="F332" t="str">
            <v>DIV-KE</v>
          </cell>
          <cell r="G332" t="str">
            <v>A01M308</v>
          </cell>
          <cell r="H332" t="str">
            <v>DIV</v>
          </cell>
          <cell r="I332">
            <v>2001</v>
          </cell>
          <cell r="J332" t="str">
            <v>P</v>
          </cell>
          <cell r="K332" t="str">
            <v>CO</v>
          </cell>
          <cell r="L332" t="str">
            <v>KE</v>
          </cell>
          <cell r="Z332">
            <v>0</v>
          </cell>
          <cell r="AB332">
            <v>0</v>
          </cell>
          <cell r="AC332">
            <v>0</v>
          </cell>
          <cell r="AD332">
            <v>0</v>
          </cell>
          <cell r="AE332">
            <v>0</v>
          </cell>
        </row>
        <row r="333">
          <cell r="B333" t="str">
            <v>CO-KN-A01M308</v>
          </cell>
          <cell r="C333" t="str">
            <v>CO-A01M308</v>
          </cell>
          <cell r="D333" t="str">
            <v>CO-KN</v>
          </cell>
          <cell r="E333" t="str">
            <v>DIV-CO-KN</v>
          </cell>
          <cell r="F333" t="str">
            <v>DIV-KN</v>
          </cell>
          <cell r="G333" t="str">
            <v>A01M308</v>
          </cell>
          <cell r="H333" t="str">
            <v>DIV</v>
          </cell>
          <cell r="I333">
            <v>2001</v>
          </cell>
          <cell r="J333" t="str">
            <v>P</v>
          </cell>
          <cell r="K333" t="str">
            <v>CO</v>
          </cell>
          <cell r="L333" t="str">
            <v>KN</v>
          </cell>
          <cell r="T333">
            <v>6.8</v>
          </cell>
          <cell r="U333">
            <v>16.7</v>
          </cell>
          <cell r="V333">
            <v>5.3</v>
          </cell>
          <cell r="Z333">
            <v>28.8</v>
          </cell>
          <cell r="AB333">
            <v>28.8</v>
          </cell>
          <cell r="AC333">
            <v>0</v>
          </cell>
          <cell r="AD333">
            <v>0</v>
          </cell>
          <cell r="AE333">
            <v>28.8</v>
          </cell>
        </row>
        <row r="334">
          <cell r="B334" t="str">
            <v>IN-KE-A01M308</v>
          </cell>
          <cell r="C334" t="str">
            <v>IN-A01M308</v>
          </cell>
          <cell r="D334" t="str">
            <v>IN-KE</v>
          </cell>
          <cell r="E334" t="str">
            <v>DIV-IN-KE</v>
          </cell>
          <cell r="F334" t="str">
            <v>DIV-KE</v>
          </cell>
          <cell r="G334" t="str">
            <v>A01M308</v>
          </cell>
          <cell r="H334" t="str">
            <v>DIV</v>
          </cell>
          <cell r="I334">
            <v>2001</v>
          </cell>
          <cell r="J334" t="str">
            <v>P</v>
          </cell>
          <cell r="K334" t="str">
            <v>IN</v>
          </cell>
          <cell r="L334" t="str">
            <v>KE</v>
          </cell>
          <cell r="Z334">
            <v>0</v>
          </cell>
          <cell r="AB334">
            <v>0</v>
          </cell>
          <cell r="AC334">
            <v>0</v>
          </cell>
          <cell r="AD334">
            <v>0</v>
          </cell>
          <cell r="AE334">
            <v>0</v>
          </cell>
        </row>
        <row r="335">
          <cell r="B335" t="str">
            <v>IN-KN-A01M308</v>
          </cell>
          <cell r="C335" t="str">
            <v>IN-A01M308</v>
          </cell>
          <cell r="D335" t="str">
            <v>IN-KN</v>
          </cell>
          <cell r="E335" t="str">
            <v>DIV-IN-KN</v>
          </cell>
          <cell r="F335" t="str">
            <v>DIV-KN</v>
          </cell>
          <cell r="G335" t="str">
            <v>A01M308</v>
          </cell>
          <cell r="H335" t="str">
            <v>DIV</v>
          </cell>
          <cell r="I335">
            <v>2001</v>
          </cell>
          <cell r="J335" t="str">
            <v>P</v>
          </cell>
          <cell r="K335" t="str">
            <v>IN</v>
          </cell>
          <cell r="L335" t="str">
            <v>KN</v>
          </cell>
          <cell r="P335">
            <v>1.8</v>
          </cell>
          <cell r="Q335">
            <v>8.6999999999999993</v>
          </cell>
          <cell r="R335">
            <v>8.6999999999999993</v>
          </cell>
          <cell r="S335">
            <v>3.5</v>
          </cell>
          <cell r="T335">
            <v>1.8</v>
          </cell>
          <cell r="U335">
            <v>1.8</v>
          </cell>
          <cell r="V335">
            <v>4.5</v>
          </cell>
          <cell r="Z335">
            <v>30.8</v>
          </cell>
          <cell r="AB335">
            <v>30.8</v>
          </cell>
          <cell r="AC335">
            <v>22.7</v>
          </cell>
          <cell r="AD335">
            <v>22.7</v>
          </cell>
          <cell r="AE335">
            <v>8.1000000000000014</v>
          </cell>
        </row>
        <row r="336">
          <cell r="B336" t="str">
            <v>AD-KE-A01M310</v>
          </cell>
          <cell r="C336" t="str">
            <v>AD-A01M310</v>
          </cell>
          <cell r="D336" t="str">
            <v>AD-KE</v>
          </cell>
          <cell r="E336" t="str">
            <v>DIV-AD-KE</v>
          </cell>
          <cell r="F336" t="str">
            <v>DIV-KE</v>
          </cell>
          <cell r="G336" t="str">
            <v>A01M310</v>
          </cell>
          <cell r="H336" t="str">
            <v>DIV</v>
          </cell>
          <cell r="I336">
            <v>2001</v>
          </cell>
          <cell r="J336" t="str">
            <v>P</v>
          </cell>
          <cell r="K336" t="str">
            <v>AD</v>
          </cell>
          <cell r="L336" t="str">
            <v>KE</v>
          </cell>
          <cell r="Z336">
            <v>0</v>
          </cell>
          <cell r="AB336">
            <v>0</v>
          </cell>
          <cell r="AC336">
            <v>0</v>
          </cell>
          <cell r="AD336">
            <v>0</v>
          </cell>
          <cell r="AE336">
            <v>0</v>
          </cell>
        </row>
        <row r="337">
          <cell r="B337" t="str">
            <v>AD-KN-A01M310</v>
          </cell>
          <cell r="C337" t="str">
            <v>AD-A01M310</v>
          </cell>
          <cell r="D337" t="str">
            <v>AD-KN</v>
          </cell>
          <cell r="E337" t="str">
            <v>DIV-AD-KN</v>
          </cell>
          <cell r="F337" t="str">
            <v>DIV-KN</v>
          </cell>
          <cell r="G337" t="str">
            <v>A01M310</v>
          </cell>
          <cell r="H337" t="str">
            <v>DIV</v>
          </cell>
          <cell r="I337">
            <v>2001</v>
          </cell>
          <cell r="J337" t="str">
            <v>P</v>
          </cell>
          <cell r="K337" t="str">
            <v>AD</v>
          </cell>
          <cell r="L337" t="str">
            <v>KN</v>
          </cell>
          <cell r="Z337">
            <v>0</v>
          </cell>
          <cell r="AB337">
            <v>0</v>
          </cell>
          <cell r="AC337">
            <v>0</v>
          </cell>
          <cell r="AD337">
            <v>0</v>
          </cell>
          <cell r="AE337">
            <v>0</v>
          </cell>
        </row>
        <row r="338">
          <cell r="B338" t="str">
            <v>CO-KE-A01M310</v>
          </cell>
          <cell r="C338" t="str">
            <v>CO-A01M310</v>
          </cell>
          <cell r="D338" t="str">
            <v>CO-KE</v>
          </cell>
          <cell r="E338" t="str">
            <v>DIV-CO-KE</v>
          </cell>
          <cell r="F338" t="str">
            <v>DIV-KE</v>
          </cell>
          <cell r="G338" t="str">
            <v>A01M310</v>
          </cell>
          <cell r="H338" t="str">
            <v>DIV</v>
          </cell>
          <cell r="I338">
            <v>2001</v>
          </cell>
          <cell r="J338" t="str">
            <v>P</v>
          </cell>
          <cell r="K338" t="str">
            <v>CO</v>
          </cell>
          <cell r="L338" t="str">
            <v>KE</v>
          </cell>
          <cell r="Z338">
            <v>0</v>
          </cell>
          <cell r="AB338">
            <v>0</v>
          </cell>
          <cell r="AC338">
            <v>0</v>
          </cell>
          <cell r="AD338">
            <v>0</v>
          </cell>
          <cell r="AE338">
            <v>0</v>
          </cell>
        </row>
        <row r="339">
          <cell r="B339" t="str">
            <v>CO-KN-A01M310</v>
          </cell>
          <cell r="C339" t="str">
            <v>CO-A01M310</v>
          </cell>
          <cell r="D339" t="str">
            <v>CO-KN</v>
          </cell>
          <cell r="E339" t="str">
            <v>DIV-CO-KN</v>
          </cell>
          <cell r="F339" t="str">
            <v>DIV-KN</v>
          </cell>
          <cell r="G339" t="str">
            <v>A01M310</v>
          </cell>
          <cell r="H339" t="str">
            <v>DIV</v>
          </cell>
          <cell r="I339">
            <v>2001</v>
          </cell>
          <cell r="J339" t="str">
            <v>P</v>
          </cell>
          <cell r="K339" t="str">
            <v>CO</v>
          </cell>
          <cell r="L339" t="str">
            <v>KN</v>
          </cell>
          <cell r="R339">
            <v>28.57</v>
          </cell>
          <cell r="Z339">
            <v>28.57</v>
          </cell>
          <cell r="AB339">
            <v>28.57</v>
          </cell>
          <cell r="AC339">
            <v>28.57</v>
          </cell>
          <cell r="AD339">
            <v>28.57</v>
          </cell>
          <cell r="AE339">
            <v>0</v>
          </cell>
        </row>
        <row r="340">
          <cell r="B340" t="str">
            <v>IN-KE-A01M310</v>
          </cell>
          <cell r="C340" t="str">
            <v>IN-A01M310</v>
          </cell>
          <cell r="D340" t="str">
            <v>IN-KE</v>
          </cell>
          <cell r="E340" t="str">
            <v>DIV-IN-KE</v>
          </cell>
          <cell r="F340" t="str">
            <v>DIV-KE</v>
          </cell>
          <cell r="G340" t="str">
            <v>A01M310</v>
          </cell>
          <cell r="H340" t="str">
            <v>DIV</v>
          </cell>
          <cell r="I340">
            <v>2001</v>
          </cell>
          <cell r="J340" t="str">
            <v>P</v>
          </cell>
          <cell r="K340" t="str">
            <v>IN</v>
          </cell>
          <cell r="L340" t="str">
            <v>KE</v>
          </cell>
          <cell r="Z340">
            <v>0</v>
          </cell>
          <cell r="AB340">
            <v>0</v>
          </cell>
          <cell r="AC340">
            <v>0</v>
          </cell>
          <cell r="AD340">
            <v>0</v>
          </cell>
          <cell r="AE340">
            <v>0</v>
          </cell>
        </row>
        <row r="341">
          <cell r="B341" t="str">
            <v>IN-KN-A01M310</v>
          </cell>
          <cell r="C341" t="str">
            <v>IN-A01M310</v>
          </cell>
          <cell r="D341" t="str">
            <v>IN-KN</v>
          </cell>
          <cell r="E341" t="str">
            <v>DIV-IN-KN</v>
          </cell>
          <cell r="F341" t="str">
            <v>DIV-KN</v>
          </cell>
          <cell r="G341" t="str">
            <v>A01M310</v>
          </cell>
          <cell r="H341" t="str">
            <v>DIV</v>
          </cell>
          <cell r="I341">
            <v>2001</v>
          </cell>
          <cell r="J341" t="str">
            <v>P</v>
          </cell>
          <cell r="K341" t="str">
            <v>IN</v>
          </cell>
          <cell r="L341" t="str">
            <v>KN</v>
          </cell>
          <cell r="Q341">
            <v>2.2999999999999998</v>
          </cell>
          <cell r="R341">
            <v>1.8</v>
          </cell>
          <cell r="Z341">
            <v>4.0999999999999996</v>
          </cell>
          <cell r="AB341">
            <v>4.0999999999999996</v>
          </cell>
          <cell r="AC341">
            <v>4.0999999999999996</v>
          </cell>
          <cell r="AD341">
            <v>4.0999999999999996</v>
          </cell>
          <cell r="AE341">
            <v>0</v>
          </cell>
        </row>
        <row r="342">
          <cell r="B342" t="str">
            <v>AD-KE-A01M312</v>
          </cell>
          <cell r="C342" t="str">
            <v>AD-A01M312</v>
          </cell>
          <cell r="D342" t="str">
            <v>AD-KE</v>
          </cell>
          <cell r="E342" t="str">
            <v>DIV-AD-KE</v>
          </cell>
          <cell r="F342" t="str">
            <v>DIV-KE</v>
          </cell>
          <cell r="G342" t="str">
            <v>A01M312</v>
          </cell>
          <cell r="H342" t="str">
            <v>DIV</v>
          </cell>
          <cell r="I342">
            <v>2001</v>
          </cell>
          <cell r="J342" t="str">
            <v>P</v>
          </cell>
          <cell r="K342" t="str">
            <v>AD</v>
          </cell>
          <cell r="L342" t="str">
            <v>KE</v>
          </cell>
          <cell r="Z342">
            <v>0</v>
          </cell>
          <cell r="AB342">
            <v>0</v>
          </cell>
          <cell r="AC342">
            <v>0</v>
          </cell>
          <cell r="AD342">
            <v>0</v>
          </cell>
          <cell r="AE342">
            <v>0</v>
          </cell>
        </row>
        <row r="343">
          <cell r="B343" t="str">
            <v>AD-KN-A01M312</v>
          </cell>
          <cell r="C343" t="str">
            <v>AD-A01M312</v>
          </cell>
          <cell r="D343" t="str">
            <v>AD-KN</v>
          </cell>
          <cell r="E343" t="str">
            <v>DIV-AD-KN</v>
          </cell>
          <cell r="F343" t="str">
            <v>DIV-KN</v>
          </cell>
          <cell r="G343" t="str">
            <v>A01M312</v>
          </cell>
          <cell r="H343" t="str">
            <v>DIV</v>
          </cell>
          <cell r="I343">
            <v>2001</v>
          </cell>
          <cell r="J343" t="str">
            <v>P</v>
          </cell>
          <cell r="K343" t="str">
            <v>AD</v>
          </cell>
          <cell r="L343" t="str">
            <v>KN</v>
          </cell>
          <cell r="R343">
            <v>0.1</v>
          </cell>
          <cell r="U343">
            <v>33.4</v>
          </cell>
          <cell r="Z343">
            <v>33.5</v>
          </cell>
          <cell r="AB343">
            <v>33.5</v>
          </cell>
          <cell r="AC343">
            <v>0.1</v>
          </cell>
          <cell r="AD343">
            <v>0.1</v>
          </cell>
          <cell r="AE343">
            <v>33.4</v>
          </cell>
        </row>
        <row r="344">
          <cell r="B344" t="str">
            <v>CO-KE-A01M312</v>
          </cell>
          <cell r="C344" t="str">
            <v>CO-A01M312</v>
          </cell>
          <cell r="D344" t="str">
            <v>CO-KE</v>
          </cell>
          <cell r="E344" t="str">
            <v>DIV-CO-KE</v>
          </cell>
          <cell r="F344" t="str">
            <v>DIV-KE</v>
          </cell>
          <cell r="G344" t="str">
            <v>A01M312</v>
          </cell>
          <cell r="H344" t="str">
            <v>DIV</v>
          </cell>
          <cell r="I344">
            <v>2001</v>
          </cell>
          <cell r="J344" t="str">
            <v>P</v>
          </cell>
          <cell r="K344" t="str">
            <v>CO</v>
          </cell>
          <cell r="L344" t="str">
            <v>KE</v>
          </cell>
          <cell r="Z344">
            <v>0</v>
          </cell>
          <cell r="AB344">
            <v>0</v>
          </cell>
          <cell r="AC344">
            <v>0</v>
          </cell>
          <cell r="AD344">
            <v>0</v>
          </cell>
          <cell r="AE344">
            <v>0</v>
          </cell>
        </row>
        <row r="345">
          <cell r="B345" t="str">
            <v>CO-KN-A01M312</v>
          </cell>
          <cell r="C345" t="str">
            <v>CO-A01M312</v>
          </cell>
          <cell r="D345" t="str">
            <v>CO-KN</v>
          </cell>
          <cell r="E345" t="str">
            <v>DIV-CO-KN</v>
          </cell>
          <cell r="F345" t="str">
            <v>DIV-KN</v>
          </cell>
          <cell r="G345" t="str">
            <v>A01M312</v>
          </cell>
          <cell r="H345" t="str">
            <v>DIV</v>
          </cell>
          <cell r="I345">
            <v>2001</v>
          </cell>
          <cell r="J345" t="str">
            <v>P</v>
          </cell>
          <cell r="K345" t="str">
            <v>CO</v>
          </cell>
          <cell r="L345" t="str">
            <v>KN</v>
          </cell>
          <cell r="T345">
            <v>19.5</v>
          </cell>
          <cell r="U345">
            <v>28.4</v>
          </cell>
          <cell r="Z345">
            <v>47.9</v>
          </cell>
          <cell r="AB345">
            <v>47.9</v>
          </cell>
          <cell r="AC345">
            <v>0</v>
          </cell>
          <cell r="AD345">
            <v>0</v>
          </cell>
          <cell r="AE345">
            <v>47.9</v>
          </cell>
        </row>
        <row r="346">
          <cell r="B346" t="str">
            <v>IN-KE-A01M312</v>
          </cell>
          <cell r="C346" t="str">
            <v>IN-A01M312</v>
          </cell>
          <cell r="D346" t="str">
            <v>IN-KE</v>
          </cell>
          <cell r="E346" t="str">
            <v>DIV-IN-KE</v>
          </cell>
          <cell r="F346" t="str">
            <v>DIV-KE</v>
          </cell>
          <cell r="G346" t="str">
            <v>A01M312</v>
          </cell>
          <cell r="H346" t="str">
            <v>DIV</v>
          </cell>
          <cell r="I346">
            <v>2001</v>
          </cell>
          <cell r="J346" t="str">
            <v>P</v>
          </cell>
          <cell r="K346" t="str">
            <v>IN</v>
          </cell>
          <cell r="L346" t="str">
            <v>KE</v>
          </cell>
          <cell r="Z346">
            <v>0</v>
          </cell>
          <cell r="AB346">
            <v>0</v>
          </cell>
          <cell r="AC346">
            <v>0</v>
          </cell>
          <cell r="AD346">
            <v>0</v>
          </cell>
          <cell r="AE346">
            <v>0</v>
          </cell>
        </row>
        <row r="347">
          <cell r="B347" t="str">
            <v>IN-KN-A01M312</v>
          </cell>
          <cell r="C347" t="str">
            <v>IN-A01M312</v>
          </cell>
          <cell r="D347" t="str">
            <v>IN-KN</v>
          </cell>
          <cell r="E347" t="str">
            <v>DIV-IN-KN</v>
          </cell>
          <cell r="F347" t="str">
            <v>DIV-KN</v>
          </cell>
          <cell r="G347" t="str">
            <v>A01M312</v>
          </cell>
          <cell r="H347" t="str">
            <v>DIV</v>
          </cell>
          <cell r="I347">
            <v>2001</v>
          </cell>
          <cell r="J347" t="str">
            <v>P</v>
          </cell>
          <cell r="K347" t="str">
            <v>IN</v>
          </cell>
          <cell r="L347" t="str">
            <v>KN</v>
          </cell>
          <cell r="Q347">
            <v>0.5</v>
          </cell>
          <cell r="R347">
            <v>3.3</v>
          </cell>
          <cell r="S347">
            <v>7.6</v>
          </cell>
          <cell r="T347">
            <v>3.2</v>
          </cell>
          <cell r="U347">
            <v>4.5</v>
          </cell>
          <cell r="Z347">
            <v>19.099999999999998</v>
          </cell>
          <cell r="AB347">
            <v>19.099999999999998</v>
          </cell>
          <cell r="AC347">
            <v>11.399999999999999</v>
          </cell>
          <cell r="AD347">
            <v>11.399999999999999</v>
          </cell>
          <cell r="AE347">
            <v>7.6999999999999993</v>
          </cell>
        </row>
        <row r="348">
          <cell r="B348" t="str">
            <v>AD-KE-A01M317</v>
          </cell>
          <cell r="C348" t="str">
            <v>AD-A01M317</v>
          </cell>
          <cell r="D348" t="str">
            <v>AD-KE</v>
          </cell>
          <cell r="E348" t="str">
            <v>DIV-AD-KE</v>
          </cell>
          <cell r="F348" t="str">
            <v>DIV-KE</v>
          </cell>
          <cell r="G348" t="str">
            <v>A01M317</v>
          </cell>
          <cell r="H348" t="str">
            <v>DIV</v>
          </cell>
          <cell r="I348">
            <v>2001</v>
          </cell>
          <cell r="J348" t="str">
            <v>P</v>
          </cell>
          <cell r="K348" t="str">
            <v>AD</v>
          </cell>
          <cell r="L348" t="str">
            <v>KE</v>
          </cell>
          <cell r="Z348">
            <v>0</v>
          </cell>
          <cell r="AB348">
            <v>0</v>
          </cell>
          <cell r="AC348">
            <v>0</v>
          </cell>
          <cell r="AD348">
            <v>0</v>
          </cell>
          <cell r="AE348">
            <v>0</v>
          </cell>
        </row>
        <row r="349">
          <cell r="B349" t="str">
            <v>AD-KN-A01M317</v>
          </cell>
          <cell r="C349" t="str">
            <v>AD-A01M317</v>
          </cell>
          <cell r="D349" t="str">
            <v>AD-KN</v>
          </cell>
          <cell r="E349" t="str">
            <v>DIV-AD-KN</v>
          </cell>
          <cell r="F349" t="str">
            <v>DIV-KN</v>
          </cell>
          <cell r="G349" t="str">
            <v>A01M317</v>
          </cell>
          <cell r="H349" t="str">
            <v>DIV</v>
          </cell>
          <cell r="I349">
            <v>2001</v>
          </cell>
          <cell r="J349" t="str">
            <v>P</v>
          </cell>
          <cell r="K349" t="str">
            <v>AD</v>
          </cell>
          <cell r="L349" t="str">
            <v>KN</v>
          </cell>
          <cell r="U349">
            <v>11.8</v>
          </cell>
          <cell r="V349">
            <v>11.8</v>
          </cell>
          <cell r="X349">
            <v>2.4</v>
          </cell>
          <cell r="Z349">
            <v>26</v>
          </cell>
          <cell r="AB349">
            <v>26</v>
          </cell>
          <cell r="AC349">
            <v>0</v>
          </cell>
          <cell r="AD349">
            <v>0</v>
          </cell>
          <cell r="AE349">
            <v>26</v>
          </cell>
        </row>
        <row r="350">
          <cell r="B350" t="str">
            <v>CO-KE-A01M317</v>
          </cell>
          <cell r="C350" t="str">
            <v>CO-A01M317</v>
          </cell>
          <cell r="D350" t="str">
            <v>CO-KE</v>
          </cell>
          <cell r="E350" t="str">
            <v>DIV-CO-KE</v>
          </cell>
          <cell r="F350" t="str">
            <v>DIV-KE</v>
          </cell>
          <cell r="G350" t="str">
            <v>A01M317</v>
          </cell>
          <cell r="H350" t="str">
            <v>DIV</v>
          </cell>
          <cell r="I350">
            <v>2001</v>
          </cell>
          <cell r="J350" t="str">
            <v>P</v>
          </cell>
          <cell r="K350" t="str">
            <v>CO</v>
          </cell>
          <cell r="L350" t="str">
            <v>KE</v>
          </cell>
          <cell r="Z350">
            <v>0</v>
          </cell>
          <cell r="AB350">
            <v>0</v>
          </cell>
          <cell r="AC350">
            <v>0</v>
          </cell>
          <cell r="AD350">
            <v>0</v>
          </cell>
          <cell r="AE350">
            <v>0</v>
          </cell>
        </row>
        <row r="351">
          <cell r="B351" t="str">
            <v>CO-KN-A01M317</v>
          </cell>
          <cell r="C351" t="str">
            <v>CO-A01M317</v>
          </cell>
          <cell r="D351" t="str">
            <v>CO-KN</v>
          </cell>
          <cell r="E351" t="str">
            <v>DIV-CO-KN</v>
          </cell>
          <cell r="F351" t="str">
            <v>DIV-KN</v>
          </cell>
          <cell r="G351" t="str">
            <v>A01M317</v>
          </cell>
          <cell r="H351" t="str">
            <v>DIV</v>
          </cell>
          <cell r="I351">
            <v>2001</v>
          </cell>
          <cell r="J351" t="str">
            <v>P</v>
          </cell>
          <cell r="K351" t="str">
            <v>CO</v>
          </cell>
          <cell r="L351" t="str">
            <v>KN</v>
          </cell>
          <cell r="U351">
            <v>12.3</v>
          </cell>
          <cell r="V351">
            <v>62</v>
          </cell>
          <cell r="W351">
            <v>19.8</v>
          </cell>
          <cell r="X351">
            <v>9.4</v>
          </cell>
          <cell r="Z351">
            <v>103.5</v>
          </cell>
          <cell r="AB351">
            <v>103.5</v>
          </cell>
          <cell r="AC351">
            <v>0</v>
          </cell>
          <cell r="AD351">
            <v>0</v>
          </cell>
          <cell r="AE351">
            <v>103.5</v>
          </cell>
        </row>
        <row r="352">
          <cell r="B352" t="str">
            <v>IN-KE-A01M317</v>
          </cell>
          <cell r="C352" t="str">
            <v>IN-A01M317</v>
          </cell>
          <cell r="D352" t="str">
            <v>IN-KE</v>
          </cell>
          <cell r="E352" t="str">
            <v>DIV-IN-KE</v>
          </cell>
          <cell r="F352" t="str">
            <v>DIV-KE</v>
          </cell>
          <cell r="G352" t="str">
            <v>A01M317</v>
          </cell>
          <cell r="H352" t="str">
            <v>DIV</v>
          </cell>
          <cell r="I352">
            <v>2001</v>
          </cell>
          <cell r="J352" t="str">
            <v>P</v>
          </cell>
          <cell r="K352" t="str">
            <v>IN</v>
          </cell>
          <cell r="L352" t="str">
            <v>KE</v>
          </cell>
          <cell r="Z352">
            <v>0</v>
          </cell>
          <cell r="AB352">
            <v>0</v>
          </cell>
          <cell r="AC352">
            <v>0</v>
          </cell>
          <cell r="AD352">
            <v>0</v>
          </cell>
          <cell r="AE352">
            <v>0</v>
          </cell>
        </row>
        <row r="353">
          <cell r="B353" t="str">
            <v>IN-KN-A01M317</v>
          </cell>
          <cell r="C353" t="str">
            <v>IN-A01M317</v>
          </cell>
          <cell r="D353" t="str">
            <v>IN-KN</v>
          </cell>
          <cell r="E353" t="str">
            <v>DIV-IN-KN</v>
          </cell>
          <cell r="F353" t="str">
            <v>DIV-KN</v>
          </cell>
          <cell r="G353" t="str">
            <v>A01M317</v>
          </cell>
          <cell r="H353" t="str">
            <v>DIV</v>
          </cell>
          <cell r="I353">
            <v>2001</v>
          </cell>
          <cell r="J353" t="str">
            <v>P</v>
          </cell>
          <cell r="K353" t="str">
            <v>IN</v>
          </cell>
          <cell r="L353" t="str">
            <v>KN</v>
          </cell>
          <cell r="S353">
            <v>6</v>
          </cell>
          <cell r="T353">
            <v>7.4</v>
          </cell>
          <cell r="U353">
            <v>3.1</v>
          </cell>
          <cell r="V353">
            <v>2.6</v>
          </cell>
          <cell r="W353">
            <v>2.1</v>
          </cell>
          <cell r="X353">
            <v>4.5</v>
          </cell>
          <cell r="Z353">
            <v>25.700000000000003</v>
          </cell>
          <cell r="AB353">
            <v>25.700000000000003</v>
          </cell>
          <cell r="AC353">
            <v>6</v>
          </cell>
          <cell r="AD353">
            <v>6</v>
          </cell>
          <cell r="AE353">
            <v>19.700000000000003</v>
          </cell>
        </row>
        <row r="354">
          <cell r="B354" t="str">
            <v>AD-KE-A01M321</v>
          </cell>
          <cell r="C354" t="str">
            <v>AD-A01M321</v>
          </cell>
          <cell r="D354" t="str">
            <v>AD-KE</v>
          </cell>
          <cell r="E354" t="str">
            <v>DIV-AD-KE</v>
          </cell>
          <cell r="F354" t="str">
            <v>DIV-KE</v>
          </cell>
          <cell r="G354" t="str">
            <v>A01M321</v>
          </cell>
          <cell r="H354" t="str">
            <v>DIV</v>
          </cell>
          <cell r="I354">
            <v>2001</v>
          </cell>
          <cell r="J354" t="str">
            <v>P</v>
          </cell>
          <cell r="K354" t="str">
            <v>AD</v>
          </cell>
          <cell r="L354" t="str">
            <v>KE</v>
          </cell>
          <cell r="Z354">
            <v>0</v>
          </cell>
          <cell r="AB354">
            <v>0</v>
          </cell>
          <cell r="AC354">
            <v>0</v>
          </cell>
          <cell r="AD354">
            <v>0</v>
          </cell>
          <cell r="AE354">
            <v>0</v>
          </cell>
        </row>
        <row r="355">
          <cell r="B355" t="str">
            <v>AD-KN-A01M321</v>
          </cell>
          <cell r="C355" t="str">
            <v>AD-A01M321</v>
          </cell>
          <cell r="D355" t="str">
            <v>AD-KN</v>
          </cell>
          <cell r="E355" t="str">
            <v>DIV-AD-KN</v>
          </cell>
          <cell r="F355" t="str">
            <v>DIV-KN</v>
          </cell>
          <cell r="G355" t="str">
            <v>A01M321</v>
          </cell>
          <cell r="H355" t="str">
            <v>DIV</v>
          </cell>
          <cell r="I355">
            <v>2001</v>
          </cell>
          <cell r="J355" t="str">
            <v>P</v>
          </cell>
          <cell r="K355" t="str">
            <v>AD</v>
          </cell>
          <cell r="L355" t="str">
            <v>KN</v>
          </cell>
          <cell r="Q355">
            <v>33.564</v>
          </cell>
          <cell r="R355">
            <v>54.695999999999998</v>
          </cell>
          <cell r="S355">
            <v>50.09</v>
          </cell>
          <cell r="T355">
            <v>56.75</v>
          </cell>
          <cell r="U355">
            <v>36.82</v>
          </cell>
          <cell r="V355">
            <v>12</v>
          </cell>
          <cell r="W355">
            <v>35.603000000000002</v>
          </cell>
          <cell r="Z355">
            <v>279.52299999999997</v>
          </cell>
          <cell r="AB355">
            <v>279.52299999999997</v>
          </cell>
          <cell r="AC355">
            <v>138.35</v>
          </cell>
          <cell r="AD355">
            <v>138.35</v>
          </cell>
          <cell r="AE355">
            <v>141.17299999999997</v>
          </cell>
        </row>
        <row r="356">
          <cell r="B356" t="str">
            <v>CO-KE-A01M321</v>
          </cell>
          <cell r="C356" t="str">
            <v>CO-A01M321</v>
          </cell>
          <cell r="D356" t="str">
            <v>CO-KE</v>
          </cell>
          <cell r="E356" t="str">
            <v>DIV-CO-KE</v>
          </cell>
          <cell r="F356" t="str">
            <v>DIV-KE</v>
          </cell>
          <cell r="G356" t="str">
            <v>A01M321</v>
          </cell>
          <cell r="H356" t="str">
            <v>DIV</v>
          </cell>
          <cell r="I356">
            <v>2001</v>
          </cell>
          <cell r="J356" t="str">
            <v>P</v>
          </cell>
          <cell r="K356" t="str">
            <v>CO</v>
          </cell>
          <cell r="L356" t="str">
            <v>KE</v>
          </cell>
          <cell r="Z356">
            <v>0</v>
          </cell>
          <cell r="AB356">
            <v>0</v>
          </cell>
          <cell r="AC356">
            <v>0</v>
          </cell>
          <cell r="AD356">
            <v>0</v>
          </cell>
          <cell r="AE356">
            <v>0</v>
          </cell>
        </row>
        <row r="357">
          <cell r="B357" t="str">
            <v>CO-KN-A01M321</v>
          </cell>
          <cell r="C357" t="str">
            <v>CO-A01M321</v>
          </cell>
          <cell r="D357" t="str">
            <v>CO-KN</v>
          </cell>
          <cell r="E357" t="str">
            <v>DIV-CO-KN</v>
          </cell>
          <cell r="F357" t="str">
            <v>DIV-KN</v>
          </cell>
          <cell r="G357" t="str">
            <v>A01M321</v>
          </cell>
          <cell r="H357" t="str">
            <v>DIV</v>
          </cell>
          <cell r="I357">
            <v>2001</v>
          </cell>
          <cell r="J357" t="str">
            <v>P</v>
          </cell>
          <cell r="K357" t="str">
            <v>CO</v>
          </cell>
          <cell r="L357" t="str">
            <v>KN</v>
          </cell>
          <cell r="R357">
            <v>22.48</v>
          </cell>
          <cell r="S357">
            <v>32.479999999999997</v>
          </cell>
          <cell r="T357">
            <v>32.479999999999997</v>
          </cell>
          <cell r="U357">
            <v>32.479999999999997</v>
          </cell>
          <cell r="V357">
            <v>22.48</v>
          </cell>
          <cell r="W357">
            <v>10</v>
          </cell>
          <cell r="X357">
            <v>26.24</v>
          </cell>
          <cell r="Z357">
            <v>178.64</v>
          </cell>
          <cell r="AB357">
            <v>178.64</v>
          </cell>
          <cell r="AC357">
            <v>54.959999999999994</v>
          </cell>
          <cell r="AD357">
            <v>54.959999999999994</v>
          </cell>
          <cell r="AE357">
            <v>123.67999999999999</v>
          </cell>
        </row>
        <row r="358">
          <cell r="B358" t="str">
            <v>IN-KE-A01M321</v>
          </cell>
          <cell r="C358" t="str">
            <v>IN-A01M321</v>
          </cell>
          <cell r="D358" t="str">
            <v>IN-KE</v>
          </cell>
          <cell r="E358" t="str">
            <v>DIV-IN-KE</v>
          </cell>
          <cell r="F358" t="str">
            <v>DIV-KE</v>
          </cell>
          <cell r="G358" t="str">
            <v>A01M321</v>
          </cell>
          <cell r="H358" t="str">
            <v>DIV</v>
          </cell>
          <cell r="I358">
            <v>2001</v>
          </cell>
          <cell r="J358" t="str">
            <v>P</v>
          </cell>
          <cell r="K358" t="str">
            <v>IN</v>
          </cell>
          <cell r="L358" t="str">
            <v>KE</v>
          </cell>
          <cell r="Z358">
            <v>0</v>
          </cell>
          <cell r="AB358">
            <v>0</v>
          </cell>
          <cell r="AC358">
            <v>0</v>
          </cell>
          <cell r="AD358">
            <v>0</v>
          </cell>
          <cell r="AE358">
            <v>0</v>
          </cell>
        </row>
        <row r="359">
          <cell r="B359" t="str">
            <v>IN-KN-A01M321</v>
          </cell>
          <cell r="C359" t="str">
            <v>IN-A01M321</v>
          </cell>
          <cell r="D359" t="str">
            <v>IN-KN</v>
          </cell>
          <cell r="E359" t="str">
            <v>DIV-IN-KN</v>
          </cell>
          <cell r="F359" t="str">
            <v>DIV-KN</v>
          </cell>
          <cell r="G359" t="str">
            <v>A01M321</v>
          </cell>
          <cell r="H359" t="str">
            <v>DIV</v>
          </cell>
          <cell r="I359">
            <v>2001</v>
          </cell>
          <cell r="J359" t="str">
            <v>P</v>
          </cell>
          <cell r="K359" t="str">
            <v>IN</v>
          </cell>
          <cell r="L359" t="str">
            <v>KN</v>
          </cell>
          <cell r="Q359">
            <v>2.4</v>
          </cell>
          <cell r="R359">
            <v>3.9380000000000002</v>
          </cell>
          <cell r="S359">
            <v>3.15</v>
          </cell>
          <cell r="T359">
            <v>3.0830000000000002</v>
          </cell>
          <cell r="U359">
            <v>2.95</v>
          </cell>
          <cell r="V359">
            <v>2.8730000000000002</v>
          </cell>
          <cell r="W359">
            <v>2.95</v>
          </cell>
          <cell r="X359">
            <v>5.1040000000000001</v>
          </cell>
          <cell r="Z359">
            <v>26.448</v>
          </cell>
          <cell r="AB359">
            <v>26.448</v>
          </cell>
          <cell r="AC359">
            <v>9.4879999999999995</v>
          </cell>
          <cell r="AD359">
            <v>9.4879999999999995</v>
          </cell>
          <cell r="AE359">
            <v>16.96</v>
          </cell>
        </row>
        <row r="360">
          <cell r="B360" t="str">
            <v>AD-KE-A01M322</v>
          </cell>
          <cell r="C360" t="str">
            <v>AD-A01M322</v>
          </cell>
          <cell r="D360" t="str">
            <v>AD-KE</v>
          </cell>
          <cell r="E360" t="str">
            <v>DIV-AD-KE</v>
          </cell>
          <cell r="F360" t="str">
            <v>DIV-KE</v>
          </cell>
          <cell r="G360" t="str">
            <v>A01M322</v>
          </cell>
          <cell r="H360" t="str">
            <v>DIV</v>
          </cell>
          <cell r="I360">
            <v>2001</v>
          </cell>
          <cell r="J360" t="str">
            <v>P</v>
          </cell>
          <cell r="K360" t="str">
            <v>AD</v>
          </cell>
          <cell r="L360" t="str">
            <v>KE</v>
          </cell>
          <cell r="Z360">
            <v>0</v>
          </cell>
          <cell r="AB360">
            <v>0</v>
          </cell>
          <cell r="AC360">
            <v>0</v>
          </cell>
          <cell r="AD360">
            <v>0</v>
          </cell>
          <cell r="AE360">
            <v>0</v>
          </cell>
        </row>
        <row r="361">
          <cell r="B361" t="str">
            <v>AD-KN-A01M322</v>
          </cell>
          <cell r="C361" t="str">
            <v>AD-A01M322</v>
          </cell>
          <cell r="D361" t="str">
            <v>AD-KN</v>
          </cell>
          <cell r="E361" t="str">
            <v>DIV-AD-KN</v>
          </cell>
          <cell r="F361" t="str">
            <v>DIV-KN</v>
          </cell>
          <cell r="G361" t="str">
            <v>A01M322</v>
          </cell>
          <cell r="H361" t="str">
            <v>DIV</v>
          </cell>
          <cell r="I361">
            <v>2001</v>
          </cell>
          <cell r="J361" t="str">
            <v>P</v>
          </cell>
          <cell r="K361" t="str">
            <v>AD</v>
          </cell>
          <cell r="L361" t="str">
            <v>KN</v>
          </cell>
          <cell r="Q361">
            <v>23.7</v>
          </cell>
          <cell r="R361">
            <v>39.6</v>
          </cell>
          <cell r="S361">
            <v>15.8</v>
          </cell>
          <cell r="T361">
            <v>10.3</v>
          </cell>
          <cell r="W361">
            <v>8.9</v>
          </cell>
          <cell r="Z361">
            <v>98.3</v>
          </cell>
          <cell r="AB361">
            <v>98.3</v>
          </cell>
          <cell r="AC361">
            <v>79.099999999999994</v>
          </cell>
          <cell r="AD361">
            <v>79.099999999999994</v>
          </cell>
          <cell r="AE361">
            <v>19.200000000000003</v>
          </cell>
        </row>
        <row r="362">
          <cell r="B362" t="str">
            <v>CO-KE-A01M322</v>
          </cell>
          <cell r="C362" t="str">
            <v>CO-A01M322</v>
          </cell>
          <cell r="D362" t="str">
            <v>CO-KE</v>
          </cell>
          <cell r="E362" t="str">
            <v>DIV-CO-KE</v>
          </cell>
          <cell r="F362" t="str">
            <v>DIV-KE</v>
          </cell>
          <cell r="G362" t="str">
            <v>A01M322</v>
          </cell>
          <cell r="H362" t="str">
            <v>DIV</v>
          </cell>
          <cell r="I362">
            <v>2001</v>
          </cell>
          <cell r="J362" t="str">
            <v>P</v>
          </cell>
          <cell r="K362" t="str">
            <v>CO</v>
          </cell>
          <cell r="L362" t="str">
            <v>KE</v>
          </cell>
          <cell r="Z362">
            <v>0</v>
          </cell>
          <cell r="AB362">
            <v>0</v>
          </cell>
          <cell r="AC362">
            <v>0</v>
          </cell>
          <cell r="AD362">
            <v>0</v>
          </cell>
          <cell r="AE362">
            <v>0</v>
          </cell>
        </row>
        <row r="363">
          <cell r="B363" t="str">
            <v>CO-KN-A01M322</v>
          </cell>
          <cell r="C363" t="str">
            <v>CO-A01M322</v>
          </cell>
          <cell r="D363" t="str">
            <v>CO-KN</v>
          </cell>
          <cell r="E363" t="str">
            <v>DIV-CO-KN</v>
          </cell>
          <cell r="F363" t="str">
            <v>DIV-KN</v>
          </cell>
          <cell r="G363" t="str">
            <v>A01M322</v>
          </cell>
          <cell r="H363" t="str">
            <v>DIV</v>
          </cell>
          <cell r="I363">
            <v>2001</v>
          </cell>
          <cell r="J363" t="str">
            <v>P</v>
          </cell>
          <cell r="K363" t="str">
            <v>CO</v>
          </cell>
          <cell r="L363" t="str">
            <v>KN</v>
          </cell>
          <cell r="Q363">
            <v>15.3</v>
          </cell>
          <cell r="R363">
            <v>32.6</v>
          </cell>
          <cell r="S363">
            <v>3.4</v>
          </cell>
          <cell r="T363">
            <v>3.4</v>
          </cell>
          <cell r="U363">
            <v>3.4</v>
          </cell>
          <cell r="V363">
            <v>3.4</v>
          </cell>
          <cell r="W363">
            <v>6.2</v>
          </cell>
          <cell r="Z363">
            <v>67.7</v>
          </cell>
          <cell r="AB363">
            <v>67.7</v>
          </cell>
          <cell r="AC363">
            <v>51.300000000000004</v>
          </cell>
          <cell r="AD363">
            <v>51.300000000000004</v>
          </cell>
          <cell r="AE363">
            <v>16.399999999999999</v>
          </cell>
        </row>
        <row r="364">
          <cell r="B364" t="str">
            <v>IN-KE-A01M322</v>
          </cell>
          <cell r="C364" t="str">
            <v>IN-A01M322</v>
          </cell>
          <cell r="D364" t="str">
            <v>IN-KE</v>
          </cell>
          <cell r="E364" t="str">
            <v>DIV-IN-KE</v>
          </cell>
          <cell r="F364" t="str">
            <v>DIV-KE</v>
          </cell>
          <cell r="G364" t="str">
            <v>A01M322</v>
          </cell>
          <cell r="H364" t="str">
            <v>DIV</v>
          </cell>
          <cell r="I364">
            <v>2001</v>
          </cell>
          <cell r="J364" t="str">
            <v>P</v>
          </cell>
          <cell r="K364" t="str">
            <v>IN</v>
          </cell>
          <cell r="L364" t="str">
            <v>KE</v>
          </cell>
          <cell r="Z364">
            <v>0</v>
          </cell>
          <cell r="AB364">
            <v>0</v>
          </cell>
          <cell r="AC364">
            <v>0</v>
          </cell>
          <cell r="AD364">
            <v>0</v>
          </cell>
          <cell r="AE364">
            <v>0</v>
          </cell>
        </row>
        <row r="365">
          <cell r="B365" t="str">
            <v>IN-KN-A01M322</v>
          </cell>
          <cell r="C365" t="str">
            <v>IN-A01M322</v>
          </cell>
          <cell r="D365" t="str">
            <v>IN-KN</v>
          </cell>
          <cell r="E365" t="str">
            <v>DIV-IN-KN</v>
          </cell>
          <cell r="F365" t="str">
            <v>DIV-KN</v>
          </cell>
          <cell r="G365" t="str">
            <v>A01M322</v>
          </cell>
          <cell r="H365" t="str">
            <v>DIV</v>
          </cell>
          <cell r="I365">
            <v>2001</v>
          </cell>
          <cell r="J365" t="str">
            <v>P</v>
          </cell>
          <cell r="K365" t="str">
            <v>IN</v>
          </cell>
          <cell r="L365" t="str">
            <v>KN</v>
          </cell>
          <cell r="Q365">
            <v>2.2000000000000002</v>
          </cell>
          <cell r="R365">
            <v>2.2000000000000002</v>
          </cell>
          <cell r="S365">
            <v>2.2000000000000002</v>
          </cell>
          <cell r="T365">
            <v>1</v>
          </cell>
          <cell r="U365">
            <v>1</v>
          </cell>
          <cell r="V365">
            <v>1</v>
          </cell>
          <cell r="W365">
            <v>2</v>
          </cell>
          <cell r="Z365">
            <v>11.600000000000001</v>
          </cell>
          <cell r="AB365">
            <v>11.600000000000001</v>
          </cell>
          <cell r="AC365">
            <v>6.6000000000000005</v>
          </cell>
          <cell r="AD365">
            <v>6.6000000000000005</v>
          </cell>
          <cell r="AE365">
            <v>5.0000000000000009</v>
          </cell>
        </row>
        <row r="366">
          <cell r="B366" t="str">
            <v>AD-KE-A01M323</v>
          </cell>
          <cell r="C366" t="str">
            <v>AD-A01M323</v>
          </cell>
          <cell r="D366" t="str">
            <v>AD-KE</v>
          </cell>
          <cell r="E366" t="str">
            <v>DIV-AD-KE</v>
          </cell>
          <cell r="F366" t="str">
            <v>DIV-KE</v>
          </cell>
          <cell r="G366" t="str">
            <v>A01M323</v>
          </cell>
          <cell r="H366" t="str">
            <v>DIV</v>
          </cell>
          <cell r="I366">
            <v>2001</v>
          </cell>
          <cell r="J366" t="str">
            <v>P</v>
          </cell>
          <cell r="K366" t="str">
            <v>AD</v>
          </cell>
          <cell r="L366" t="str">
            <v>KE</v>
          </cell>
          <cell r="Z366">
            <v>0</v>
          </cell>
          <cell r="AB366">
            <v>0</v>
          </cell>
          <cell r="AC366">
            <v>0</v>
          </cell>
          <cell r="AD366">
            <v>0</v>
          </cell>
          <cell r="AE366">
            <v>0</v>
          </cell>
        </row>
        <row r="367">
          <cell r="B367" t="str">
            <v>AD-KN-A01M323</v>
          </cell>
          <cell r="C367" t="str">
            <v>AD-A01M323</v>
          </cell>
          <cell r="D367" t="str">
            <v>AD-KN</v>
          </cell>
          <cell r="E367" t="str">
            <v>DIV-AD-KN</v>
          </cell>
          <cell r="F367" t="str">
            <v>DIV-KN</v>
          </cell>
          <cell r="G367" t="str">
            <v>A01M323</v>
          </cell>
          <cell r="H367" t="str">
            <v>DIV</v>
          </cell>
          <cell r="I367">
            <v>2001</v>
          </cell>
          <cell r="J367" t="str">
            <v>P</v>
          </cell>
          <cell r="K367" t="str">
            <v>AD</v>
          </cell>
          <cell r="L367" t="str">
            <v>KN</v>
          </cell>
          <cell r="Z367">
            <v>0</v>
          </cell>
          <cell r="AB367">
            <v>0</v>
          </cell>
          <cell r="AC367">
            <v>0</v>
          </cell>
          <cell r="AD367">
            <v>0</v>
          </cell>
          <cell r="AE367">
            <v>0</v>
          </cell>
        </row>
        <row r="368">
          <cell r="B368" t="str">
            <v>CO-KE-A01M323</v>
          </cell>
          <cell r="C368" t="str">
            <v>CO-A01M323</v>
          </cell>
          <cell r="D368" t="str">
            <v>CO-KE</v>
          </cell>
          <cell r="E368" t="str">
            <v>DIV-CO-KE</v>
          </cell>
          <cell r="F368" t="str">
            <v>DIV-KE</v>
          </cell>
          <cell r="G368" t="str">
            <v>A01M323</v>
          </cell>
          <cell r="H368" t="str">
            <v>DIV</v>
          </cell>
          <cell r="I368">
            <v>2001</v>
          </cell>
          <cell r="J368" t="str">
            <v>P</v>
          </cell>
          <cell r="K368" t="str">
            <v>CO</v>
          </cell>
          <cell r="L368" t="str">
            <v>KE</v>
          </cell>
          <cell r="Z368">
            <v>0</v>
          </cell>
          <cell r="AB368">
            <v>0</v>
          </cell>
          <cell r="AC368">
            <v>0</v>
          </cell>
          <cell r="AD368">
            <v>0</v>
          </cell>
          <cell r="AE368">
            <v>0</v>
          </cell>
        </row>
        <row r="369">
          <cell r="B369" t="str">
            <v>CO-KN-A01M323</v>
          </cell>
          <cell r="C369" t="str">
            <v>CO-A01M323</v>
          </cell>
          <cell r="D369" t="str">
            <v>CO-KN</v>
          </cell>
          <cell r="E369" t="str">
            <v>DIV-CO-KN</v>
          </cell>
          <cell r="F369" t="str">
            <v>DIV-KN</v>
          </cell>
          <cell r="G369" t="str">
            <v>A01M323</v>
          </cell>
          <cell r="H369" t="str">
            <v>DIV</v>
          </cell>
          <cell r="I369">
            <v>2001</v>
          </cell>
          <cell r="J369" t="str">
            <v>P</v>
          </cell>
          <cell r="K369" t="str">
            <v>CO</v>
          </cell>
          <cell r="L369" t="str">
            <v>KN</v>
          </cell>
          <cell r="R369">
            <v>83.1</v>
          </cell>
          <cell r="V369">
            <v>19.25</v>
          </cell>
          <cell r="W369">
            <v>24.68</v>
          </cell>
          <cell r="Z369">
            <v>127.03</v>
          </cell>
          <cell r="AB369">
            <v>127.03</v>
          </cell>
          <cell r="AC369">
            <v>83.1</v>
          </cell>
          <cell r="AD369">
            <v>83.1</v>
          </cell>
          <cell r="AE369">
            <v>43.930000000000007</v>
          </cell>
        </row>
        <row r="370">
          <cell r="B370" t="str">
            <v>IN-KE-A01M323</v>
          </cell>
          <cell r="C370" t="str">
            <v>IN-A01M323</v>
          </cell>
          <cell r="D370" t="str">
            <v>IN-KE</v>
          </cell>
          <cell r="E370" t="str">
            <v>DIV-IN-KE</v>
          </cell>
          <cell r="F370" t="str">
            <v>DIV-KE</v>
          </cell>
          <cell r="G370" t="str">
            <v>A01M323</v>
          </cell>
          <cell r="H370" t="str">
            <v>DIV</v>
          </cell>
          <cell r="I370">
            <v>2001</v>
          </cell>
          <cell r="J370" t="str">
            <v>P</v>
          </cell>
          <cell r="K370" t="str">
            <v>IN</v>
          </cell>
          <cell r="L370" t="str">
            <v>KE</v>
          </cell>
          <cell r="Z370">
            <v>0</v>
          </cell>
          <cell r="AB370">
            <v>0</v>
          </cell>
          <cell r="AC370">
            <v>0</v>
          </cell>
          <cell r="AD370">
            <v>0</v>
          </cell>
          <cell r="AE370">
            <v>0</v>
          </cell>
        </row>
        <row r="371">
          <cell r="B371" t="str">
            <v>IN-KN-A01M323</v>
          </cell>
          <cell r="C371" t="str">
            <v>IN-A01M323</v>
          </cell>
          <cell r="D371" t="str">
            <v>IN-KN</v>
          </cell>
          <cell r="E371" t="str">
            <v>DIV-IN-KN</v>
          </cell>
          <cell r="F371" t="str">
            <v>DIV-KN</v>
          </cell>
          <cell r="G371" t="str">
            <v>A01M323</v>
          </cell>
          <cell r="H371" t="str">
            <v>DIV</v>
          </cell>
          <cell r="I371">
            <v>2001</v>
          </cell>
          <cell r="J371" t="str">
            <v>P</v>
          </cell>
          <cell r="K371" t="str">
            <v>IN</v>
          </cell>
          <cell r="L371" t="str">
            <v>KN</v>
          </cell>
          <cell r="R371">
            <v>17.2</v>
          </cell>
          <cell r="V371">
            <v>3.34</v>
          </cell>
          <cell r="W371">
            <v>3.4</v>
          </cell>
          <cell r="Z371">
            <v>23.939999999999998</v>
          </cell>
          <cell r="AB371">
            <v>23.939999999999998</v>
          </cell>
          <cell r="AC371">
            <v>17.2</v>
          </cell>
          <cell r="AD371">
            <v>17.2</v>
          </cell>
          <cell r="AE371">
            <v>6.7399999999999984</v>
          </cell>
        </row>
        <row r="372">
          <cell r="B372" t="str">
            <v>AD-KE-A01MDIVI</v>
          </cell>
          <cell r="C372" t="str">
            <v>AD-A01MDIVI</v>
          </cell>
          <cell r="D372" t="str">
            <v>AD-KE</v>
          </cell>
          <cell r="E372" t="str">
            <v>DIV-AD-KE</v>
          </cell>
          <cell r="F372" t="str">
            <v>DIV-KE</v>
          </cell>
          <cell r="G372" t="str">
            <v>A01MDIVI</v>
          </cell>
          <cell r="H372" t="str">
            <v>DIV</v>
          </cell>
          <cell r="I372">
            <v>2001</v>
          </cell>
          <cell r="J372" t="str">
            <v>P</v>
          </cell>
          <cell r="K372" t="str">
            <v>AD</v>
          </cell>
          <cell r="L372" t="str">
            <v>KE</v>
          </cell>
          <cell r="Z372">
            <v>0</v>
          </cell>
          <cell r="AB372">
            <v>0</v>
          </cell>
          <cell r="AC372">
            <v>0</v>
          </cell>
          <cell r="AD372">
            <v>0</v>
          </cell>
          <cell r="AE372">
            <v>0</v>
          </cell>
        </row>
        <row r="373">
          <cell r="B373" t="str">
            <v>AD-KN-A01MDIVI</v>
          </cell>
          <cell r="C373" t="str">
            <v>AD-A01MDIVI</v>
          </cell>
          <cell r="D373" t="str">
            <v>AD-KN</v>
          </cell>
          <cell r="E373" t="str">
            <v>DIV-AD-KN</v>
          </cell>
          <cell r="F373" t="str">
            <v>DIV-KN</v>
          </cell>
          <cell r="G373" t="str">
            <v>A01MDIVI</v>
          </cell>
          <cell r="H373" t="str">
            <v>DIV</v>
          </cell>
          <cell r="I373">
            <v>2001</v>
          </cell>
          <cell r="J373" t="str">
            <v>P</v>
          </cell>
          <cell r="K373" t="str">
            <v>AD</v>
          </cell>
          <cell r="L373" t="str">
            <v>KN</v>
          </cell>
          <cell r="Z373">
            <v>0</v>
          </cell>
          <cell r="AB373">
            <v>0</v>
          </cell>
          <cell r="AC373">
            <v>0</v>
          </cell>
          <cell r="AD373">
            <v>0</v>
          </cell>
          <cell r="AE373">
            <v>0</v>
          </cell>
        </row>
        <row r="374">
          <cell r="B374" t="str">
            <v>CO-KE-A01MDIVI</v>
          </cell>
          <cell r="C374" t="str">
            <v>CO-A01MDIVI</v>
          </cell>
          <cell r="D374" t="str">
            <v>CO-KE</v>
          </cell>
          <cell r="E374" t="str">
            <v>DIV-CO-KE</v>
          </cell>
          <cell r="F374" t="str">
            <v>DIV-KE</v>
          </cell>
          <cell r="G374" t="str">
            <v>A01MDIVI</v>
          </cell>
          <cell r="H374" t="str">
            <v>DIV</v>
          </cell>
          <cell r="I374">
            <v>2001</v>
          </cell>
          <cell r="J374" t="str">
            <v>P</v>
          </cell>
          <cell r="K374" t="str">
            <v>CO</v>
          </cell>
          <cell r="L374" t="str">
            <v>KE</v>
          </cell>
          <cell r="Z374">
            <v>0</v>
          </cell>
          <cell r="AB374">
            <v>0</v>
          </cell>
          <cell r="AC374">
            <v>0</v>
          </cell>
          <cell r="AD374">
            <v>0</v>
          </cell>
          <cell r="AE374">
            <v>0</v>
          </cell>
        </row>
        <row r="375">
          <cell r="B375" t="str">
            <v>CO-KN-A01MDIVI</v>
          </cell>
          <cell r="C375" t="str">
            <v>CO-A01MDIVI</v>
          </cell>
          <cell r="D375" t="str">
            <v>CO-KN</v>
          </cell>
          <cell r="E375" t="str">
            <v>DIV-CO-KN</v>
          </cell>
          <cell r="F375" t="str">
            <v>DIV-KN</v>
          </cell>
          <cell r="G375" t="str">
            <v>A01MDIVI</v>
          </cell>
          <cell r="H375" t="str">
            <v>DIV</v>
          </cell>
          <cell r="I375">
            <v>2001</v>
          </cell>
          <cell r="J375" t="str">
            <v>P</v>
          </cell>
          <cell r="K375" t="str">
            <v>CO</v>
          </cell>
          <cell r="L375" t="str">
            <v>KN</v>
          </cell>
          <cell r="U375">
            <v>260</v>
          </cell>
          <cell r="V375">
            <v>325</v>
          </cell>
          <cell r="W375">
            <v>325</v>
          </cell>
          <cell r="X375">
            <v>390</v>
          </cell>
          <cell r="Z375">
            <v>1300</v>
          </cell>
          <cell r="AB375">
            <v>1300</v>
          </cell>
          <cell r="AC375">
            <v>0</v>
          </cell>
          <cell r="AD375">
            <v>0</v>
          </cell>
          <cell r="AE375">
            <v>1300</v>
          </cell>
        </row>
        <row r="376">
          <cell r="B376" t="str">
            <v>IN-KE-A01MDIVI</v>
          </cell>
          <cell r="C376" t="str">
            <v>IN-A01MDIVI</v>
          </cell>
          <cell r="D376" t="str">
            <v>IN-KE</v>
          </cell>
          <cell r="E376" t="str">
            <v>DIV-IN-KE</v>
          </cell>
          <cell r="F376" t="str">
            <v>DIV-KE</v>
          </cell>
          <cell r="G376" t="str">
            <v>A01MDIVI</v>
          </cell>
          <cell r="H376" t="str">
            <v>DIV</v>
          </cell>
          <cell r="I376">
            <v>2001</v>
          </cell>
          <cell r="J376" t="str">
            <v>P</v>
          </cell>
          <cell r="K376" t="str">
            <v>IN</v>
          </cell>
          <cell r="L376" t="str">
            <v>KE</v>
          </cell>
          <cell r="Z376">
            <v>0</v>
          </cell>
          <cell r="AB376">
            <v>0</v>
          </cell>
          <cell r="AC376">
            <v>0</v>
          </cell>
          <cell r="AD376">
            <v>0</v>
          </cell>
          <cell r="AE376">
            <v>0</v>
          </cell>
        </row>
        <row r="377">
          <cell r="B377" t="str">
            <v>IN-KN-A01MDIVI</v>
          </cell>
          <cell r="C377" t="str">
            <v>IN-A01MDIVI</v>
          </cell>
          <cell r="D377" t="str">
            <v>IN-KN</v>
          </cell>
          <cell r="E377" t="str">
            <v>DIV-IN-KN</v>
          </cell>
          <cell r="F377" t="str">
            <v>DIV-KN</v>
          </cell>
          <cell r="G377" t="str">
            <v>A01MDIVI</v>
          </cell>
          <cell r="H377" t="str">
            <v>DIV</v>
          </cell>
          <cell r="I377">
            <v>2001</v>
          </cell>
          <cell r="J377" t="str">
            <v>P</v>
          </cell>
          <cell r="K377" t="str">
            <v>IN</v>
          </cell>
          <cell r="L377" t="str">
            <v>KN</v>
          </cell>
          <cell r="Z377">
            <v>0</v>
          </cell>
          <cell r="AB377">
            <v>0</v>
          </cell>
          <cell r="AC377">
            <v>0</v>
          </cell>
          <cell r="AD377">
            <v>0</v>
          </cell>
          <cell r="AE377">
            <v>0</v>
          </cell>
        </row>
        <row r="378">
          <cell r="B378" t="str">
            <v>AD-KE-A01MEXT</v>
          </cell>
          <cell r="C378" t="str">
            <v>AD-A01MEXT</v>
          </cell>
          <cell r="D378" t="str">
            <v>AD-KE</v>
          </cell>
          <cell r="E378" t="str">
            <v>EXT-AD-KE</v>
          </cell>
          <cell r="F378" t="str">
            <v>EXT-KE</v>
          </cell>
          <cell r="G378" t="str">
            <v>A01MEXT</v>
          </cell>
          <cell r="H378" t="str">
            <v>EXT</v>
          </cell>
          <cell r="I378">
            <v>2001</v>
          </cell>
          <cell r="J378" t="str">
            <v>P</v>
          </cell>
          <cell r="K378" t="str">
            <v>AD</v>
          </cell>
          <cell r="L378" t="str">
            <v>KE</v>
          </cell>
          <cell r="Z378">
            <v>0</v>
          </cell>
          <cell r="AB378">
            <v>0</v>
          </cell>
          <cell r="AC378">
            <v>0</v>
          </cell>
          <cell r="AD378">
            <v>0</v>
          </cell>
          <cell r="AE378">
            <v>0</v>
          </cell>
        </row>
        <row r="379">
          <cell r="B379" t="str">
            <v>AD-KN-A01MEXT</v>
          </cell>
          <cell r="C379" t="str">
            <v>AD-A01MEXT</v>
          </cell>
          <cell r="D379" t="str">
            <v>AD-KN</v>
          </cell>
          <cell r="E379" t="str">
            <v>EXT-AD-KN</v>
          </cell>
          <cell r="F379" t="str">
            <v>EXT-KN</v>
          </cell>
          <cell r="G379" t="str">
            <v>A01MEXT</v>
          </cell>
          <cell r="H379" t="str">
            <v>EXT</v>
          </cell>
          <cell r="I379">
            <v>2001</v>
          </cell>
          <cell r="J379" t="str">
            <v>P</v>
          </cell>
          <cell r="K379" t="str">
            <v>AD</v>
          </cell>
          <cell r="L379" t="str">
            <v>KN</v>
          </cell>
          <cell r="Z379">
            <v>0</v>
          </cell>
          <cell r="AB379">
            <v>0</v>
          </cell>
          <cell r="AC379">
            <v>0</v>
          </cell>
          <cell r="AD379">
            <v>0</v>
          </cell>
          <cell r="AE379">
            <v>0</v>
          </cell>
        </row>
        <row r="380">
          <cell r="B380" t="str">
            <v>CO-KE-A01MEXT</v>
          </cell>
          <cell r="C380" t="str">
            <v>CO-A01MEXT</v>
          </cell>
          <cell r="D380" t="str">
            <v>CO-KE</v>
          </cell>
          <cell r="E380" t="str">
            <v>EXT-CO-KE</v>
          </cell>
          <cell r="F380" t="str">
            <v>EXT-KE</v>
          </cell>
          <cell r="G380" t="str">
            <v>A01MEXT</v>
          </cell>
          <cell r="H380" t="str">
            <v>EXT</v>
          </cell>
          <cell r="I380">
            <v>2001</v>
          </cell>
          <cell r="J380" t="str">
            <v>P</v>
          </cell>
          <cell r="K380" t="str">
            <v>CO</v>
          </cell>
          <cell r="L380" t="str">
            <v>KE</v>
          </cell>
          <cell r="Z380">
            <v>0</v>
          </cell>
          <cell r="AB380">
            <v>0</v>
          </cell>
          <cell r="AC380">
            <v>0</v>
          </cell>
          <cell r="AD380">
            <v>0</v>
          </cell>
          <cell r="AE380">
            <v>0</v>
          </cell>
        </row>
        <row r="381">
          <cell r="B381" t="str">
            <v>CO-KN-A01MEXT</v>
          </cell>
          <cell r="C381" t="str">
            <v>CO-A01MEXT</v>
          </cell>
          <cell r="D381" t="str">
            <v>CO-KN</v>
          </cell>
          <cell r="E381" t="str">
            <v>EXT-CO-KN</v>
          </cell>
          <cell r="F381" t="str">
            <v>EXT-KN</v>
          </cell>
          <cell r="G381" t="str">
            <v>A01MEXT</v>
          </cell>
          <cell r="H381" t="str">
            <v>EXT</v>
          </cell>
          <cell r="I381">
            <v>2001</v>
          </cell>
          <cell r="J381" t="str">
            <v>P</v>
          </cell>
          <cell r="K381" t="str">
            <v>CO</v>
          </cell>
          <cell r="L381" t="str">
            <v>KN</v>
          </cell>
          <cell r="U381">
            <v>1172.4000000000001</v>
          </cell>
          <cell r="V381">
            <v>1465.5</v>
          </cell>
          <cell r="W381">
            <v>1465.5</v>
          </cell>
          <cell r="X381">
            <v>1758.6000000000001</v>
          </cell>
          <cell r="Z381">
            <v>5862</v>
          </cell>
          <cell r="AB381">
            <v>5862</v>
          </cell>
          <cell r="AC381">
            <v>0</v>
          </cell>
          <cell r="AD381">
            <v>0</v>
          </cell>
          <cell r="AE381">
            <v>5862</v>
          </cell>
        </row>
        <row r="382">
          <cell r="B382" t="str">
            <v>IN-KE-A01MEXT</v>
          </cell>
          <cell r="C382" t="str">
            <v>IN-A01MEXT</v>
          </cell>
          <cell r="D382" t="str">
            <v>IN-KE</v>
          </cell>
          <cell r="E382" t="str">
            <v>EXT-IN-KE</v>
          </cell>
          <cell r="F382" t="str">
            <v>EXT-KE</v>
          </cell>
          <cell r="G382" t="str">
            <v>A01MEXT</v>
          </cell>
          <cell r="H382" t="str">
            <v>EXT</v>
          </cell>
          <cell r="I382">
            <v>2001</v>
          </cell>
          <cell r="J382" t="str">
            <v>P</v>
          </cell>
          <cell r="K382" t="str">
            <v>IN</v>
          </cell>
          <cell r="L382" t="str">
            <v>KE</v>
          </cell>
          <cell r="Z382">
            <v>0</v>
          </cell>
          <cell r="AB382">
            <v>0</v>
          </cell>
          <cell r="AC382">
            <v>0</v>
          </cell>
          <cell r="AD382">
            <v>0</v>
          </cell>
          <cell r="AE382">
            <v>0</v>
          </cell>
        </row>
        <row r="383">
          <cell r="B383" t="str">
            <v>IN-KN-A01MEXT</v>
          </cell>
          <cell r="C383" t="str">
            <v>IN-A01MEXT</v>
          </cell>
          <cell r="D383" t="str">
            <v>IN-KN</v>
          </cell>
          <cell r="E383" t="str">
            <v>EXT-IN-KN</v>
          </cell>
          <cell r="F383" t="str">
            <v>EXT-KN</v>
          </cell>
          <cell r="G383" t="str">
            <v>A01MEXT</v>
          </cell>
          <cell r="H383" t="str">
            <v>EXT</v>
          </cell>
          <cell r="I383">
            <v>2001</v>
          </cell>
          <cell r="J383" t="str">
            <v>P</v>
          </cell>
          <cell r="K383" t="str">
            <v>IN</v>
          </cell>
          <cell r="L383" t="str">
            <v>KN</v>
          </cell>
          <cell r="Z383">
            <v>0</v>
          </cell>
          <cell r="AB383">
            <v>0</v>
          </cell>
          <cell r="AC383">
            <v>0</v>
          </cell>
          <cell r="AD383">
            <v>0</v>
          </cell>
          <cell r="AE383">
            <v>0</v>
          </cell>
        </row>
        <row r="384">
          <cell r="B384" t="str">
            <v>AD-KE-A00M417</v>
          </cell>
          <cell r="C384" t="str">
            <v>AD-A00M417</v>
          </cell>
          <cell r="D384" t="str">
            <v>AD-KE</v>
          </cell>
          <cell r="E384" t="str">
            <v>PRI-AD-KE</v>
          </cell>
          <cell r="F384" t="str">
            <v>PRI-KE</v>
          </cell>
          <cell r="G384" t="str">
            <v>A00M417</v>
          </cell>
          <cell r="H384" t="str">
            <v>PRI</v>
          </cell>
          <cell r="I384">
            <v>2001</v>
          </cell>
          <cell r="J384" t="str">
            <v>P</v>
          </cell>
          <cell r="K384" t="str">
            <v>AD</v>
          </cell>
          <cell r="L384" t="str">
            <v>KE</v>
          </cell>
          <cell r="N384">
            <v>1</v>
          </cell>
          <cell r="O384">
            <v>189</v>
          </cell>
          <cell r="P384">
            <v>2297</v>
          </cell>
          <cell r="Z384">
            <v>2487</v>
          </cell>
          <cell r="AB384">
            <v>2487</v>
          </cell>
          <cell r="AC384">
            <v>2487</v>
          </cell>
          <cell r="AD384">
            <v>2487</v>
          </cell>
          <cell r="AE384">
            <v>0</v>
          </cell>
        </row>
        <row r="385">
          <cell r="B385" t="str">
            <v>AD-KN-A00M417</v>
          </cell>
          <cell r="C385" t="str">
            <v>AD-A00M417</v>
          </cell>
          <cell r="D385" t="str">
            <v>AD-KN</v>
          </cell>
          <cell r="E385" t="str">
            <v>PRI-AD-KN</v>
          </cell>
          <cell r="F385" t="str">
            <v>PRI-KN</v>
          </cell>
          <cell r="G385" t="str">
            <v>A00M417</v>
          </cell>
          <cell r="H385" t="str">
            <v>PRI</v>
          </cell>
          <cell r="I385">
            <v>2001</v>
          </cell>
          <cell r="J385" t="str">
            <v>P</v>
          </cell>
          <cell r="K385" t="str">
            <v>AD</v>
          </cell>
          <cell r="L385" t="str">
            <v>KN</v>
          </cell>
          <cell r="N385">
            <v>1</v>
          </cell>
          <cell r="O385">
            <v>874</v>
          </cell>
          <cell r="P385">
            <v>469</v>
          </cell>
          <cell r="Y385">
            <v>128.38</v>
          </cell>
          <cell r="Z385">
            <v>1344</v>
          </cell>
          <cell r="AB385">
            <v>1472.38</v>
          </cell>
          <cell r="AC385">
            <v>1344</v>
          </cell>
          <cell r="AD385">
            <v>1472.38</v>
          </cell>
          <cell r="AE385">
            <v>0</v>
          </cell>
        </row>
        <row r="386">
          <cell r="B386" t="str">
            <v>CO-KE-A00M417</v>
          </cell>
          <cell r="C386" t="str">
            <v>CO-A00M417</v>
          </cell>
          <cell r="D386" t="str">
            <v>CO-KE</v>
          </cell>
          <cell r="E386" t="str">
            <v>PRI-CO-KE</v>
          </cell>
          <cell r="F386" t="str">
            <v>PRI-KE</v>
          </cell>
          <cell r="G386" t="str">
            <v>A00M417</v>
          </cell>
          <cell r="H386" t="str">
            <v>PRI</v>
          </cell>
          <cell r="I386">
            <v>2001</v>
          </cell>
          <cell r="J386" t="str">
            <v>P</v>
          </cell>
          <cell r="K386" t="str">
            <v>CO</v>
          </cell>
          <cell r="L386" t="str">
            <v>KE</v>
          </cell>
          <cell r="Z386">
            <v>0</v>
          </cell>
          <cell r="AB386">
            <v>0</v>
          </cell>
          <cell r="AC386">
            <v>0</v>
          </cell>
          <cell r="AD386">
            <v>0</v>
          </cell>
          <cell r="AE386">
            <v>0</v>
          </cell>
        </row>
        <row r="387">
          <cell r="B387" t="str">
            <v>CO-KN-A00M417</v>
          </cell>
          <cell r="C387" t="str">
            <v>CO-A00M417</v>
          </cell>
          <cell r="D387" t="str">
            <v>CO-KN</v>
          </cell>
          <cell r="E387" t="str">
            <v>PRI-CO-KN</v>
          </cell>
          <cell r="F387" t="str">
            <v>PRI-KN</v>
          </cell>
          <cell r="G387" t="str">
            <v>A00M417</v>
          </cell>
          <cell r="H387" t="str">
            <v>PRI</v>
          </cell>
          <cell r="I387">
            <v>2001</v>
          </cell>
          <cell r="J387" t="str">
            <v>P</v>
          </cell>
          <cell r="K387" t="str">
            <v>CO</v>
          </cell>
          <cell r="L387" t="str">
            <v>KN</v>
          </cell>
          <cell r="M387">
            <v>-54</v>
          </cell>
          <cell r="N387">
            <v>812</v>
          </cell>
          <cell r="O387">
            <v>1173</v>
          </cell>
          <cell r="P387">
            <v>2133</v>
          </cell>
          <cell r="Q387">
            <v>17</v>
          </cell>
          <cell r="Y387">
            <v>1360.41</v>
          </cell>
          <cell r="Z387">
            <v>4081</v>
          </cell>
          <cell r="AB387">
            <v>5441.41</v>
          </cell>
          <cell r="AC387">
            <v>4081</v>
          </cell>
          <cell r="AD387">
            <v>5441.41</v>
          </cell>
          <cell r="AE387">
            <v>0</v>
          </cell>
        </row>
        <row r="388">
          <cell r="B388" t="str">
            <v>IN-KE-A00M417</v>
          </cell>
          <cell r="C388" t="str">
            <v>IN-A00M417</v>
          </cell>
          <cell r="D388" t="str">
            <v>IN-KE</v>
          </cell>
          <cell r="E388" t="str">
            <v>PRI-IN-KE</v>
          </cell>
          <cell r="F388" t="str">
            <v>PRI-KE</v>
          </cell>
          <cell r="G388" t="str">
            <v>A00M417</v>
          </cell>
          <cell r="H388" t="str">
            <v>PRI</v>
          </cell>
          <cell r="I388">
            <v>2001</v>
          </cell>
          <cell r="J388" t="str">
            <v>P</v>
          </cell>
          <cell r="K388" t="str">
            <v>IN</v>
          </cell>
          <cell r="L388" t="str">
            <v>KE</v>
          </cell>
          <cell r="Z388">
            <v>0</v>
          </cell>
          <cell r="AB388">
            <v>0</v>
          </cell>
          <cell r="AC388">
            <v>0</v>
          </cell>
          <cell r="AD388">
            <v>0</v>
          </cell>
          <cell r="AE388">
            <v>0</v>
          </cell>
        </row>
        <row r="389">
          <cell r="B389" t="str">
            <v>IN-KN-A00M417</v>
          </cell>
          <cell r="C389" t="str">
            <v>IN-A00M417</v>
          </cell>
          <cell r="D389" t="str">
            <v>IN-KN</v>
          </cell>
          <cell r="E389" t="str">
            <v>PRI-IN-KN</v>
          </cell>
          <cell r="F389" t="str">
            <v>PRI-KN</v>
          </cell>
          <cell r="G389" t="str">
            <v>A00M417</v>
          </cell>
          <cell r="H389" t="str">
            <v>PRI</v>
          </cell>
          <cell r="I389">
            <v>2001</v>
          </cell>
          <cell r="J389" t="str">
            <v>P</v>
          </cell>
          <cell r="K389" t="str">
            <v>IN</v>
          </cell>
          <cell r="L389" t="str">
            <v>KN</v>
          </cell>
          <cell r="M389">
            <v>1</v>
          </cell>
          <cell r="N389">
            <v>239</v>
          </cell>
          <cell r="O389">
            <v>429</v>
          </cell>
          <cell r="P389">
            <v>114</v>
          </cell>
          <cell r="Q389">
            <v>93</v>
          </cell>
          <cell r="Y389">
            <v>222.85</v>
          </cell>
          <cell r="Z389">
            <v>876</v>
          </cell>
          <cell r="AB389">
            <v>1098.8499999999999</v>
          </cell>
          <cell r="AC389">
            <v>876</v>
          </cell>
          <cell r="AD389">
            <v>1098.8499999999999</v>
          </cell>
          <cell r="AE389">
            <v>0</v>
          </cell>
        </row>
        <row r="390">
          <cell r="B390" t="str">
            <v>AD-KE-A01M401</v>
          </cell>
          <cell r="C390" t="str">
            <v>AD-A01M401</v>
          </cell>
          <cell r="D390" t="str">
            <v>AD-KE</v>
          </cell>
          <cell r="E390" t="str">
            <v>PRI-AD-KE</v>
          </cell>
          <cell r="F390" t="str">
            <v>PRI-KE</v>
          </cell>
          <cell r="G390" t="str">
            <v>A01M401</v>
          </cell>
          <cell r="H390" t="str">
            <v>PRI</v>
          </cell>
          <cell r="I390">
            <v>2003</v>
          </cell>
          <cell r="J390" t="str">
            <v>P</v>
          </cell>
          <cell r="K390" t="str">
            <v>AD</v>
          </cell>
          <cell r="L390" t="str">
            <v>KE</v>
          </cell>
          <cell r="S390">
            <v>204</v>
          </cell>
          <cell r="T390">
            <v>59</v>
          </cell>
          <cell r="W390">
            <v>191</v>
          </cell>
          <cell r="X390">
            <v>390</v>
          </cell>
          <cell r="Z390">
            <v>844</v>
          </cell>
          <cell r="AA390">
            <v>5077</v>
          </cell>
          <cell r="AB390">
            <v>5921</v>
          </cell>
          <cell r="AC390">
            <v>204</v>
          </cell>
          <cell r="AD390">
            <v>204</v>
          </cell>
          <cell r="AE390">
            <v>640</v>
          </cell>
        </row>
        <row r="391">
          <cell r="B391" t="str">
            <v>AD-KN-A01M401</v>
          </cell>
          <cell r="C391" t="str">
            <v>AD-A01M401</v>
          </cell>
          <cell r="D391" t="str">
            <v>AD-KN</v>
          </cell>
          <cell r="E391" t="str">
            <v>PRI-AD-KN</v>
          </cell>
          <cell r="F391" t="str">
            <v>PRI-KN</v>
          </cell>
          <cell r="G391" t="str">
            <v>A01M401</v>
          </cell>
          <cell r="H391" t="str">
            <v>PRI</v>
          </cell>
          <cell r="I391">
            <v>2003</v>
          </cell>
          <cell r="J391" t="str">
            <v>P</v>
          </cell>
          <cell r="K391" t="str">
            <v>AD</v>
          </cell>
          <cell r="L391" t="str">
            <v>KN</v>
          </cell>
          <cell r="S391">
            <v>183</v>
          </cell>
          <cell r="T391">
            <v>46</v>
          </cell>
          <cell r="V391">
            <v>356</v>
          </cell>
          <cell r="X391">
            <v>115</v>
          </cell>
          <cell r="Z391">
            <v>700</v>
          </cell>
          <cell r="AA391">
            <v>211</v>
          </cell>
          <cell r="AB391">
            <v>911</v>
          </cell>
          <cell r="AC391">
            <v>183</v>
          </cell>
          <cell r="AD391">
            <v>183</v>
          </cell>
          <cell r="AE391">
            <v>517</v>
          </cell>
        </row>
        <row r="392">
          <cell r="B392" t="str">
            <v>CO-KE-A01M401</v>
          </cell>
          <cell r="C392" t="str">
            <v>CO-A01M401</v>
          </cell>
          <cell r="D392" t="str">
            <v>CO-KE</v>
          </cell>
          <cell r="E392" t="str">
            <v>PRI-CO-KE</v>
          </cell>
          <cell r="F392" t="str">
            <v>PRI-KE</v>
          </cell>
          <cell r="G392" t="str">
            <v>A01M401</v>
          </cell>
          <cell r="H392" t="str">
            <v>PRI</v>
          </cell>
          <cell r="I392">
            <v>2003</v>
          </cell>
          <cell r="J392" t="str">
            <v>P</v>
          </cell>
          <cell r="K392" t="str">
            <v>CO</v>
          </cell>
          <cell r="L392" t="str">
            <v>KE</v>
          </cell>
          <cell r="Z392">
            <v>0</v>
          </cell>
          <cell r="AB392">
            <v>0</v>
          </cell>
          <cell r="AC392">
            <v>0</v>
          </cell>
          <cell r="AD392">
            <v>0</v>
          </cell>
          <cell r="AE392">
            <v>0</v>
          </cell>
        </row>
        <row r="393">
          <cell r="B393" t="str">
            <v>CO-KN-A01M401</v>
          </cell>
          <cell r="C393" t="str">
            <v>CO-A01M401</v>
          </cell>
          <cell r="D393" t="str">
            <v>CO-KN</v>
          </cell>
          <cell r="E393" t="str">
            <v>PRI-CO-KN</v>
          </cell>
          <cell r="F393" t="str">
            <v>PRI-KN</v>
          </cell>
          <cell r="G393" t="str">
            <v>A01M401</v>
          </cell>
          <cell r="H393" t="str">
            <v>PRI</v>
          </cell>
          <cell r="I393">
            <v>2003</v>
          </cell>
          <cell r="J393" t="str">
            <v>P</v>
          </cell>
          <cell r="K393" t="str">
            <v>CO</v>
          </cell>
          <cell r="L393" t="str">
            <v>KN</v>
          </cell>
          <cell r="R393">
            <v>821</v>
          </cell>
          <cell r="S393">
            <v>511</v>
          </cell>
          <cell r="T393">
            <v>711</v>
          </cell>
          <cell r="U393">
            <v>812</v>
          </cell>
          <cell r="V393">
            <v>1281</v>
          </cell>
          <cell r="W393">
            <v>1527</v>
          </cell>
          <cell r="X393">
            <v>2045</v>
          </cell>
          <cell r="Z393">
            <v>7708</v>
          </cell>
          <cell r="AA393">
            <v>18157</v>
          </cell>
          <cell r="AB393">
            <v>25865</v>
          </cell>
          <cell r="AC393">
            <v>1332</v>
          </cell>
          <cell r="AD393">
            <v>1332</v>
          </cell>
          <cell r="AE393">
            <v>6376</v>
          </cell>
        </row>
        <row r="394">
          <cell r="B394" t="str">
            <v>IN-KE-A01M401</v>
          </cell>
          <cell r="C394" t="str">
            <v>IN-A01M401</v>
          </cell>
          <cell r="D394" t="str">
            <v>IN-KE</v>
          </cell>
          <cell r="E394" t="str">
            <v>PRI-IN-KE</v>
          </cell>
          <cell r="F394" t="str">
            <v>PRI-KE</v>
          </cell>
          <cell r="G394" t="str">
            <v>A01M401</v>
          </cell>
          <cell r="H394" t="str">
            <v>PRI</v>
          </cell>
          <cell r="I394">
            <v>2003</v>
          </cell>
          <cell r="J394" t="str">
            <v>P</v>
          </cell>
          <cell r="K394" t="str">
            <v>IN</v>
          </cell>
          <cell r="L394" t="str">
            <v>KE</v>
          </cell>
          <cell r="Z394">
            <v>0</v>
          </cell>
          <cell r="AB394">
            <v>0</v>
          </cell>
          <cell r="AC394">
            <v>0</v>
          </cell>
          <cell r="AD394">
            <v>0</v>
          </cell>
          <cell r="AE394">
            <v>0</v>
          </cell>
        </row>
        <row r="395">
          <cell r="B395" t="str">
            <v>IN-KN-A01M401</v>
          </cell>
          <cell r="C395" t="str">
            <v>IN-A01M401</v>
          </cell>
          <cell r="D395" t="str">
            <v>IN-KN</v>
          </cell>
          <cell r="E395" t="str">
            <v>PRI-IN-KN</v>
          </cell>
          <cell r="F395" t="str">
            <v>PRI-KN</v>
          </cell>
          <cell r="G395" t="str">
            <v>A01M401</v>
          </cell>
          <cell r="H395" t="str">
            <v>PRI</v>
          </cell>
          <cell r="I395">
            <v>2003</v>
          </cell>
          <cell r="J395" t="str">
            <v>P</v>
          </cell>
          <cell r="K395" t="str">
            <v>IN</v>
          </cell>
          <cell r="L395" t="str">
            <v>KN</v>
          </cell>
          <cell r="R395">
            <v>309</v>
          </cell>
          <cell r="S395">
            <v>205</v>
          </cell>
          <cell r="T395">
            <v>259</v>
          </cell>
          <cell r="U395">
            <v>290</v>
          </cell>
          <cell r="V395">
            <v>311</v>
          </cell>
          <cell r="W395">
            <v>335</v>
          </cell>
          <cell r="X395">
            <v>314</v>
          </cell>
          <cell r="Z395">
            <v>2023</v>
          </cell>
          <cell r="AA395">
            <v>2440</v>
          </cell>
          <cell r="AB395">
            <v>4463</v>
          </cell>
          <cell r="AC395">
            <v>514</v>
          </cell>
          <cell r="AD395">
            <v>514</v>
          </cell>
          <cell r="AE395">
            <v>1509</v>
          </cell>
        </row>
        <row r="396">
          <cell r="B396" t="str">
            <v>AD-KE-A01M403</v>
          </cell>
          <cell r="C396" t="str">
            <v>AD-A01M403</v>
          </cell>
          <cell r="D396" t="str">
            <v>AD-KE</v>
          </cell>
          <cell r="E396" t="str">
            <v>OTR-AD-KE</v>
          </cell>
          <cell r="F396" t="str">
            <v>OTR-KE</v>
          </cell>
          <cell r="G396" t="str">
            <v>A01M403</v>
          </cell>
          <cell r="H396" t="str">
            <v>OTR</v>
          </cell>
          <cell r="I396">
            <v>2002</v>
          </cell>
          <cell r="J396" t="str">
            <v>P</v>
          </cell>
          <cell r="K396" t="str">
            <v>AD</v>
          </cell>
          <cell r="L396" t="str">
            <v>KE</v>
          </cell>
          <cell r="Z396">
            <v>0</v>
          </cell>
          <cell r="AB396">
            <v>0</v>
          </cell>
          <cell r="AC396">
            <v>0</v>
          </cell>
          <cell r="AD396">
            <v>0</v>
          </cell>
          <cell r="AE396">
            <v>0</v>
          </cell>
        </row>
        <row r="397">
          <cell r="B397" t="str">
            <v>AD-KN-A01M403</v>
          </cell>
          <cell r="C397" t="str">
            <v>AD-A01M403</v>
          </cell>
          <cell r="D397" t="str">
            <v>AD-KN</v>
          </cell>
          <cell r="E397" t="str">
            <v>OTR-AD-KN</v>
          </cell>
          <cell r="F397" t="str">
            <v>OTR-KN</v>
          </cell>
          <cell r="G397" t="str">
            <v>A01M403</v>
          </cell>
          <cell r="H397" t="str">
            <v>OTR</v>
          </cell>
          <cell r="I397">
            <v>2002</v>
          </cell>
          <cell r="J397" t="str">
            <v>P</v>
          </cell>
          <cell r="K397" t="str">
            <v>AD</v>
          </cell>
          <cell r="L397" t="str">
            <v>KN</v>
          </cell>
          <cell r="W397">
            <v>464.8</v>
          </cell>
          <cell r="X397">
            <v>20.3</v>
          </cell>
          <cell r="Z397">
            <v>485.1</v>
          </cell>
          <cell r="AB397">
            <v>485.1</v>
          </cell>
          <cell r="AC397">
            <v>0</v>
          </cell>
          <cell r="AD397">
            <v>0</v>
          </cell>
          <cell r="AE397">
            <v>485.1</v>
          </cell>
        </row>
        <row r="398">
          <cell r="B398" t="str">
            <v>CO-KE-A01M403</v>
          </cell>
          <cell r="C398" t="str">
            <v>CO-A01M403</v>
          </cell>
          <cell r="D398" t="str">
            <v>CO-KE</v>
          </cell>
          <cell r="E398" t="str">
            <v>OTR-CO-KE</v>
          </cell>
          <cell r="F398" t="str">
            <v>OTR-KE</v>
          </cell>
          <cell r="G398" t="str">
            <v>A01M403</v>
          </cell>
          <cell r="H398" t="str">
            <v>OTR</v>
          </cell>
          <cell r="I398">
            <v>2002</v>
          </cell>
          <cell r="J398" t="str">
            <v>P</v>
          </cell>
          <cell r="K398" t="str">
            <v>CO</v>
          </cell>
          <cell r="L398" t="str">
            <v>KE</v>
          </cell>
          <cell r="Z398">
            <v>0</v>
          </cell>
          <cell r="AB398">
            <v>0</v>
          </cell>
          <cell r="AC398">
            <v>0</v>
          </cell>
          <cell r="AD398">
            <v>0</v>
          </cell>
          <cell r="AE398">
            <v>0</v>
          </cell>
        </row>
        <row r="399">
          <cell r="B399" t="str">
            <v>CO-KN-A01M403</v>
          </cell>
          <cell r="C399" t="str">
            <v>CO-A01M403</v>
          </cell>
          <cell r="D399" t="str">
            <v>CO-KN</v>
          </cell>
          <cell r="E399" t="str">
            <v>OTR-CO-KN</v>
          </cell>
          <cell r="F399" t="str">
            <v>OTR-KN</v>
          </cell>
          <cell r="G399" t="str">
            <v>A01M403</v>
          </cell>
          <cell r="H399" t="str">
            <v>OTR</v>
          </cell>
          <cell r="I399">
            <v>2002</v>
          </cell>
          <cell r="J399" t="str">
            <v>P</v>
          </cell>
          <cell r="K399" t="str">
            <v>CO</v>
          </cell>
          <cell r="L399" t="str">
            <v>KN</v>
          </cell>
          <cell r="V399">
            <v>8.9</v>
          </cell>
          <cell r="W399">
            <v>17.8</v>
          </cell>
          <cell r="X399">
            <v>23.9</v>
          </cell>
          <cell r="Z399">
            <v>50.6</v>
          </cell>
          <cell r="AB399">
            <v>50.6</v>
          </cell>
          <cell r="AC399">
            <v>0</v>
          </cell>
          <cell r="AD399">
            <v>0</v>
          </cell>
          <cell r="AE399">
            <v>50.6</v>
          </cell>
        </row>
        <row r="400">
          <cell r="B400" t="str">
            <v>IN-KE-A01M403</v>
          </cell>
          <cell r="C400" t="str">
            <v>IN-A01M403</v>
          </cell>
          <cell r="D400" t="str">
            <v>IN-KE</v>
          </cell>
          <cell r="E400" t="str">
            <v>OTR-IN-KE</v>
          </cell>
          <cell r="F400" t="str">
            <v>OTR-KE</v>
          </cell>
          <cell r="G400" t="str">
            <v>A01M403</v>
          </cell>
          <cell r="H400" t="str">
            <v>OTR</v>
          </cell>
          <cell r="I400">
            <v>2002</v>
          </cell>
          <cell r="J400" t="str">
            <v>P</v>
          </cell>
          <cell r="K400" t="str">
            <v>IN</v>
          </cell>
          <cell r="L400" t="str">
            <v>KE</v>
          </cell>
          <cell r="Z400">
            <v>0</v>
          </cell>
          <cell r="AB400">
            <v>0</v>
          </cell>
          <cell r="AC400">
            <v>0</v>
          </cell>
          <cell r="AD400">
            <v>0</v>
          </cell>
          <cell r="AE400">
            <v>0</v>
          </cell>
        </row>
        <row r="401">
          <cell r="B401" t="str">
            <v>IN-KN-A01M403</v>
          </cell>
          <cell r="C401" t="str">
            <v>IN-A01M403</v>
          </cell>
          <cell r="D401" t="str">
            <v>IN-KN</v>
          </cell>
          <cell r="E401" t="str">
            <v>OTR-IN-KN</v>
          </cell>
          <cell r="F401" t="str">
            <v>OTR-KN</v>
          </cell>
          <cell r="G401" t="str">
            <v>A01M403</v>
          </cell>
          <cell r="H401" t="str">
            <v>OTR</v>
          </cell>
          <cell r="I401">
            <v>2002</v>
          </cell>
          <cell r="J401" t="str">
            <v>P</v>
          </cell>
          <cell r="K401" t="str">
            <v>IN</v>
          </cell>
          <cell r="L401" t="str">
            <v>KN</v>
          </cell>
          <cell r="O401">
            <v>0.3</v>
          </cell>
          <cell r="P401">
            <v>7.2</v>
          </cell>
          <cell r="Q401">
            <v>10.8</v>
          </cell>
          <cell r="R401">
            <v>40.200000000000003</v>
          </cell>
          <cell r="S401">
            <v>36.6</v>
          </cell>
          <cell r="T401">
            <v>4.0999999999999996</v>
          </cell>
          <cell r="U401">
            <v>4.0999999999999996</v>
          </cell>
          <cell r="V401">
            <v>3.8</v>
          </cell>
          <cell r="W401">
            <v>2.1</v>
          </cell>
          <cell r="X401">
            <v>9.3000000000000007</v>
          </cell>
          <cell r="Z401">
            <v>118.49999999999997</v>
          </cell>
          <cell r="AB401">
            <v>118.49999999999997</v>
          </cell>
          <cell r="AC401">
            <v>95.1</v>
          </cell>
          <cell r="AD401">
            <v>95.1</v>
          </cell>
          <cell r="AE401">
            <v>23.399999999999977</v>
          </cell>
        </row>
        <row r="402">
          <cell r="B402" t="str">
            <v>AD-KE-A01M407</v>
          </cell>
          <cell r="C402" t="str">
            <v>AD-A01M407</v>
          </cell>
          <cell r="D402" t="str">
            <v>AD-KE</v>
          </cell>
          <cell r="E402" t="str">
            <v>DIV-AD-KE</v>
          </cell>
          <cell r="F402" t="str">
            <v>DIV-KE</v>
          </cell>
          <cell r="G402" t="str">
            <v>A01M407</v>
          </cell>
          <cell r="H402" t="str">
            <v>DIV</v>
          </cell>
          <cell r="I402">
            <v>2001</v>
          </cell>
          <cell r="J402" t="str">
            <v>P</v>
          </cell>
          <cell r="K402" t="str">
            <v>AD</v>
          </cell>
          <cell r="L402" t="str">
            <v>KE</v>
          </cell>
          <cell r="V402">
            <v>277</v>
          </cell>
          <cell r="Z402">
            <v>277</v>
          </cell>
          <cell r="AB402">
            <v>277</v>
          </cell>
          <cell r="AC402">
            <v>0</v>
          </cell>
          <cell r="AD402">
            <v>0</v>
          </cell>
          <cell r="AE402">
            <v>277</v>
          </cell>
        </row>
        <row r="403">
          <cell r="B403" t="str">
            <v>AD-KN-A01M407</v>
          </cell>
          <cell r="C403" t="str">
            <v>AD-A01M407</v>
          </cell>
          <cell r="D403" t="str">
            <v>AD-KN</v>
          </cell>
          <cell r="E403" t="str">
            <v>DIV-AD-KN</v>
          </cell>
          <cell r="F403" t="str">
            <v>DIV-KN</v>
          </cell>
          <cell r="G403" t="str">
            <v>A01M407</v>
          </cell>
          <cell r="H403" t="str">
            <v>DIV</v>
          </cell>
          <cell r="I403">
            <v>2001</v>
          </cell>
          <cell r="J403" t="str">
            <v>P</v>
          </cell>
          <cell r="K403" t="str">
            <v>AD</v>
          </cell>
          <cell r="L403" t="str">
            <v>KN</v>
          </cell>
          <cell r="Q403">
            <v>1</v>
          </cell>
          <cell r="V403">
            <v>1</v>
          </cell>
          <cell r="W403">
            <v>1</v>
          </cell>
          <cell r="X403">
            <v>1</v>
          </cell>
          <cell r="Z403">
            <v>4</v>
          </cell>
          <cell r="AB403">
            <v>4</v>
          </cell>
          <cell r="AC403">
            <v>1</v>
          </cell>
          <cell r="AD403">
            <v>1</v>
          </cell>
          <cell r="AE403">
            <v>3</v>
          </cell>
        </row>
        <row r="404">
          <cell r="B404" t="str">
            <v>CO-KE-A01M407</v>
          </cell>
          <cell r="C404" t="str">
            <v>CO-A01M407</v>
          </cell>
          <cell r="D404" t="str">
            <v>CO-KE</v>
          </cell>
          <cell r="E404" t="str">
            <v>DIV-CO-KE</v>
          </cell>
          <cell r="F404" t="str">
            <v>DIV-KE</v>
          </cell>
          <cell r="G404" t="str">
            <v>A01M407</v>
          </cell>
          <cell r="H404" t="str">
            <v>DIV</v>
          </cell>
          <cell r="I404">
            <v>2001</v>
          </cell>
          <cell r="J404" t="str">
            <v>P</v>
          </cell>
          <cell r="K404" t="str">
            <v>CO</v>
          </cell>
          <cell r="L404" t="str">
            <v>KE</v>
          </cell>
          <cell r="Z404">
            <v>0</v>
          </cell>
          <cell r="AB404">
            <v>0</v>
          </cell>
          <cell r="AC404">
            <v>0</v>
          </cell>
          <cell r="AD404">
            <v>0</v>
          </cell>
          <cell r="AE404">
            <v>0</v>
          </cell>
        </row>
        <row r="405">
          <cell r="B405" t="str">
            <v>CO-KN-A01M407</v>
          </cell>
          <cell r="C405" t="str">
            <v>CO-A01M407</v>
          </cell>
          <cell r="D405" t="str">
            <v>CO-KN</v>
          </cell>
          <cell r="E405" t="str">
            <v>DIV-CO-KN</v>
          </cell>
          <cell r="F405" t="str">
            <v>DIV-KN</v>
          </cell>
          <cell r="G405" t="str">
            <v>A01M407</v>
          </cell>
          <cell r="H405" t="str">
            <v>DIV</v>
          </cell>
          <cell r="I405">
            <v>2001</v>
          </cell>
          <cell r="J405" t="str">
            <v>P</v>
          </cell>
          <cell r="K405" t="str">
            <v>CO</v>
          </cell>
          <cell r="L405" t="str">
            <v>KN</v>
          </cell>
          <cell r="Z405">
            <v>0</v>
          </cell>
          <cell r="AB405">
            <v>0</v>
          </cell>
          <cell r="AC405">
            <v>0</v>
          </cell>
          <cell r="AD405">
            <v>0</v>
          </cell>
          <cell r="AE405">
            <v>0</v>
          </cell>
        </row>
        <row r="406">
          <cell r="B406" t="str">
            <v>IN-KE-A01M407</v>
          </cell>
          <cell r="C406" t="str">
            <v>IN-A01M407</v>
          </cell>
          <cell r="D406" t="str">
            <v>IN-KE</v>
          </cell>
          <cell r="E406" t="str">
            <v>DIV-IN-KE</v>
          </cell>
          <cell r="F406" t="str">
            <v>DIV-KE</v>
          </cell>
          <cell r="G406" t="str">
            <v>A01M407</v>
          </cell>
          <cell r="H406" t="str">
            <v>DIV</v>
          </cell>
          <cell r="I406">
            <v>2001</v>
          </cell>
          <cell r="J406" t="str">
            <v>P</v>
          </cell>
          <cell r="K406" t="str">
            <v>IN</v>
          </cell>
          <cell r="L406" t="str">
            <v>KE</v>
          </cell>
          <cell r="Z406">
            <v>0</v>
          </cell>
          <cell r="AB406">
            <v>0</v>
          </cell>
          <cell r="AC406">
            <v>0</v>
          </cell>
          <cell r="AD406">
            <v>0</v>
          </cell>
          <cell r="AE406">
            <v>0</v>
          </cell>
        </row>
        <row r="407">
          <cell r="B407" t="str">
            <v>IN-KN-A01M407</v>
          </cell>
          <cell r="C407" t="str">
            <v>IN-A01M407</v>
          </cell>
          <cell r="D407" t="str">
            <v>IN-KN</v>
          </cell>
          <cell r="E407" t="str">
            <v>DIV-IN-KN</v>
          </cell>
          <cell r="F407" t="str">
            <v>DIV-KN</v>
          </cell>
          <cell r="G407" t="str">
            <v>A01M407</v>
          </cell>
          <cell r="H407" t="str">
            <v>DIV</v>
          </cell>
          <cell r="I407">
            <v>2001</v>
          </cell>
          <cell r="J407" t="str">
            <v>P</v>
          </cell>
          <cell r="K407" t="str">
            <v>IN</v>
          </cell>
          <cell r="L407" t="str">
            <v>KN</v>
          </cell>
          <cell r="P407">
            <v>3</v>
          </cell>
          <cell r="Q407">
            <v>3</v>
          </cell>
          <cell r="R407">
            <v>3</v>
          </cell>
          <cell r="S407">
            <v>3</v>
          </cell>
          <cell r="T407">
            <v>3</v>
          </cell>
          <cell r="U407">
            <v>3</v>
          </cell>
          <cell r="V407">
            <v>3</v>
          </cell>
          <cell r="W407">
            <v>3</v>
          </cell>
          <cell r="X407">
            <v>3</v>
          </cell>
          <cell r="Z407">
            <v>27</v>
          </cell>
          <cell r="AB407">
            <v>27</v>
          </cell>
          <cell r="AC407">
            <v>12</v>
          </cell>
          <cell r="AD407">
            <v>12</v>
          </cell>
          <cell r="AE407">
            <v>15</v>
          </cell>
        </row>
        <row r="408">
          <cell r="B408" t="str">
            <v>AD-KE-A01M412</v>
          </cell>
          <cell r="C408" t="str">
            <v>AD-A01M412</v>
          </cell>
          <cell r="D408" t="str">
            <v>AD-KE</v>
          </cell>
          <cell r="E408" t="str">
            <v>OTR-AD-KE</v>
          </cell>
          <cell r="F408" t="str">
            <v>OTR-KE</v>
          </cell>
          <cell r="G408" t="str">
            <v>A01M412</v>
          </cell>
          <cell r="H408" t="str">
            <v>OTR</v>
          </cell>
          <cell r="I408">
            <v>2002</v>
          </cell>
          <cell r="J408" t="str">
            <v>P</v>
          </cell>
          <cell r="K408" t="str">
            <v>AD</v>
          </cell>
          <cell r="L408" t="str">
            <v>KE</v>
          </cell>
          <cell r="Z408">
            <v>0</v>
          </cell>
          <cell r="AB408">
            <v>0</v>
          </cell>
          <cell r="AC408">
            <v>0</v>
          </cell>
          <cell r="AD408">
            <v>0</v>
          </cell>
          <cell r="AE408">
            <v>0</v>
          </cell>
        </row>
        <row r="409">
          <cell r="B409" t="str">
            <v>AD-KN-A01M412</v>
          </cell>
          <cell r="C409" t="str">
            <v>AD-A01M412</v>
          </cell>
          <cell r="D409" t="str">
            <v>AD-KN</v>
          </cell>
          <cell r="E409" t="str">
            <v>OTR-AD-KN</v>
          </cell>
          <cell r="F409" t="str">
            <v>OTR-KN</v>
          </cell>
          <cell r="G409" t="str">
            <v>A01M412</v>
          </cell>
          <cell r="H409" t="str">
            <v>OTR</v>
          </cell>
          <cell r="I409">
            <v>2002</v>
          </cell>
          <cell r="J409" t="str">
            <v>P</v>
          </cell>
          <cell r="K409" t="str">
            <v>AD</v>
          </cell>
          <cell r="L409" t="str">
            <v>KN</v>
          </cell>
          <cell r="T409">
            <v>146.9</v>
          </cell>
          <cell r="V409">
            <v>525.20000000000005</v>
          </cell>
          <cell r="Z409">
            <v>672.1</v>
          </cell>
          <cell r="AB409">
            <v>672.1</v>
          </cell>
          <cell r="AC409">
            <v>0</v>
          </cell>
          <cell r="AD409">
            <v>0</v>
          </cell>
          <cell r="AE409">
            <v>672.1</v>
          </cell>
        </row>
        <row r="410">
          <cell r="B410" t="str">
            <v>CO-KE-A01M412</v>
          </cell>
          <cell r="C410" t="str">
            <v>CO-A01M412</v>
          </cell>
          <cell r="D410" t="str">
            <v>CO-KE</v>
          </cell>
          <cell r="E410" t="str">
            <v>OTR-CO-KE</v>
          </cell>
          <cell r="F410" t="str">
            <v>OTR-KE</v>
          </cell>
          <cell r="G410" t="str">
            <v>A01M412</v>
          </cell>
          <cell r="H410" t="str">
            <v>OTR</v>
          </cell>
          <cell r="I410">
            <v>2002</v>
          </cell>
          <cell r="J410" t="str">
            <v>P</v>
          </cell>
          <cell r="K410" t="str">
            <v>CO</v>
          </cell>
          <cell r="L410" t="str">
            <v>KE</v>
          </cell>
          <cell r="Z410">
            <v>0</v>
          </cell>
          <cell r="AB410">
            <v>0</v>
          </cell>
          <cell r="AC410">
            <v>0</v>
          </cell>
          <cell r="AD410">
            <v>0</v>
          </cell>
          <cell r="AE410">
            <v>0</v>
          </cell>
        </row>
        <row r="411">
          <cell r="B411" t="str">
            <v>CO-KN-A01M412</v>
          </cell>
          <cell r="C411" t="str">
            <v>CO-A01M412</v>
          </cell>
          <cell r="D411" t="str">
            <v>CO-KN</v>
          </cell>
          <cell r="E411" t="str">
            <v>OTR-CO-KN</v>
          </cell>
          <cell r="F411" t="str">
            <v>OTR-KN</v>
          </cell>
          <cell r="G411" t="str">
            <v>A01M412</v>
          </cell>
          <cell r="H411" t="str">
            <v>OTR</v>
          </cell>
          <cell r="I411">
            <v>2002</v>
          </cell>
          <cell r="J411" t="str">
            <v>P</v>
          </cell>
          <cell r="K411" t="str">
            <v>CO</v>
          </cell>
          <cell r="L411" t="str">
            <v>KN</v>
          </cell>
          <cell r="V411">
            <v>6.3</v>
          </cell>
          <cell r="W411">
            <v>9.8000000000000007</v>
          </cell>
          <cell r="X411">
            <v>19.8</v>
          </cell>
          <cell r="Z411">
            <v>35.900000000000006</v>
          </cell>
          <cell r="AB411">
            <v>35.900000000000006</v>
          </cell>
          <cell r="AC411">
            <v>0</v>
          </cell>
          <cell r="AD411">
            <v>0</v>
          </cell>
          <cell r="AE411">
            <v>35.900000000000006</v>
          </cell>
        </row>
        <row r="412">
          <cell r="B412" t="str">
            <v>IN-KE-A01M412</v>
          </cell>
          <cell r="C412" t="str">
            <v>IN-A01M412</v>
          </cell>
          <cell r="D412" t="str">
            <v>IN-KE</v>
          </cell>
          <cell r="E412" t="str">
            <v>OTR-IN-KE</v>
          </cell>
          <cell r="F412" t="str">
            <v>OTR-KE</v>
          </cell>
          <cell r="G412" t="str">
            <v>A01M412</v>
          </cell>
          <cell r="H412" t="str">
            <v>OTR</v>
          </cell>
          <cell r="I412">
            <v>2002</v>
          </cell>
          <cell r="J412" t="str">
            <v>P</v>
          </cell>
          <cell r="K412" t="str">
            <v>IN</v>
          </cell>
          <cell r="L412" t="str">
            <v>KE</v>
          </cell>
          <cell r="Z412">
            <v>0</v>
          </cell>
          <cell r="AB412">
            <v>0</v>
          </cell>
          <cell r="AC412">
            <v>0</v>
          </cell>
          <cell r="AD412">
            <v>0</v>
          </cell>
          <cell r="AE412">
            <v>0</v>
          </cell>
        </row>
        <row r="413">
          <cell r="B413" t="str">
            <v>IN-KN-A01M412</v>
          </cell>
          <cell r="C413" t="str">
            <v>IN-A01M412</v>
          </cell>
          <cell r="D413" t="str">
            <v>IN-KN</v>
          </cell>
          <cell r="E413" t="str">
            <v>OTR-IN-KN</v>
          </cell>
          <cell r="F413" t="str">
            <v>OTR-KN</v>
          </cell>
          <cell r="G413" t="str">
            <v>A01M412</v>
          </cell>
          <cell r="H413" t="str">
            <v>OTR</v>
          </cell>
          <cell r="I413">
            <v>2002</v>
          </cell>
          <cell r="J413" t="str">
            <v>P</v>
          </cell>
          <cell r="K413" t="str">
            <v>IN</v>
          </cell>
          <cell r="L413" t="str">
            <v>KN</v>
          </cell>
          <cell r="O413">
            <v>2.4</v>
          </cell>
          <cell r="P413">
            <v>2.2999999999999998</v>
          </cell>
          <cell r="Q413">
            <v>3.1</v>
          </cell>
          <cell r="R413">
            <v>11.6</v>
          </cell>
          <cell r="S413">
            <v>10.199999999999999</v>
          </cell>
          <cell r="T413">
            <v>2.6</v>
          </cell>
          <cell r="U413">
            <v>2.2000000000000002</v>
          </cell>
          <cell r="V413">
            <v>7.2</v>
          </cell>
          <cell r="W413">
            <v>7.8</v>
          </cell>
          <cell r="X413">
            <v>8.6999999999999993</v>
          </cell>
          <cell r="Z413">
            <v>58.099999999999994</v>
          </cell>
          <cell r="AB413">
            <v>58.099999999999994</v>
          </cell>
          <cell r="AC413">
            <v>29.599999999999998</v>
          </cell>
          <cell r="AD413">
            <v>29.599999999999998</v>
          </cell>
          <cell r="AE413">
            <v>28.499999999999996</v>
          </cell>
        </row>
        <row r="414">
          <cell r="B414" t="str">
            <v>AD-KE-A01M415</v>
          </cell>
          <cell r="C414" t="str">
            <v>AD-A01M415</v>
          </cell>
          <cell r="D414" t="str">
            <v>AD-KE</v>
          </cell>
          <cell r="E414" t="str">
            <v>PRI-AD-KE</v>
          </cell>
          <cell r="F414" t="str">
            <v>PRI-KE</v>
          </cell>
          <cell r="G414" t="str">
            <v>A01M415</v>
          </cell>
          <cell r="H414" t="str">
            <v>PRI</v>
          </cell>
          <cell r="I414">
            <v>2001</v>
          </cell>
          <cell r="J414" t="str">
            <v>P</v>
          </cell>
          <cell r="K414" t="str">
            <v>AD</v>
          </cell>
          <cell r="L414" t="str">
            <v>KE</v>
          </cell>
          <cell r="Z414">
            <v>0</v>
          </cell>
          <cell r="AB414">
            <v>0</v>
          </cell>
          <cell r="AC414">
            <v>0</v>
          </cell>
          <cell r="AD414">
            <v>0</v>
          </cell>
          <cell r="AE414">
            <v>0</v>
          </cell>
        </row>
        <row r="415">
          <cell r="B415" t="str">
            <v>AD-KN-A01M415</v>
          </cell>
          <cell r="C415" t="str">
            <v>AD-A01M415</v>
          </cell>
          <cell r="D415" t="str">
            <v>AD-KN</v>
          </cell>
          <cell r="E415" t="str">
            <v>PRI-AD-KN</v>
          </cell>
          <cell r="F415" t="str">
            <v>PRI-KN</v>
          </cell>
          <cell r="G415" t="str">
            <v>A01M415</v>
          </cell>
          <cell r="H415" t="str">
            <v>PRI</v>
          </cell>
          <cell r="I415">
            <v>2001</v>
          </cell>
          <cell r="J415" t="str">
            <v>P</v>
          </cell>
          <cell r="K415" t="str">
            <v>AD</v>
          </cell>
          <cell r="L415" t="str">
            <v>KN</v>
          </cell>
          <cell r="T415">
            <v>993</v>
          </cell>
          <cell r="Z415">
            <v>993</v>
          </cell>
          <cell r="AB415">
            <v>993</v>
          </cell>
          <cell r="AC415">
            <v>0</v>
          </cell>
          <cell r="AD415">
            <v>0</v>
          </cell>
          <cell r="AE415">
            <v>993</v>
          </cell>
        </row>
        <row r="416">
          <cell r="B416" t="str">
            <v>CO-KE-A01M415</v>
          </cell>
          <cell r="C416" t="str">
            <v>CO-A01M415</v>
          </cell>
          <cell r="D416" t="str">
            <v>CO-KE</v>
          </cell>
          <cell r="E416" t="str">
            <v>PRI-CO-KE</v>
          </cell>
          <cell r="F416" t="str">
            <v>PRI-KE</v>
          </cell>
          <cell r="G416" t="str">
            <v>A01M415</v>
          </cell>
          <cell r="H416" t="str">
            <v>PRI</v>
          </cell>
          <cell r="I416">
            <v>2001</v>
          </cell>
          <cell r="J416" t="str">
            <v>P</v>
          </cell>
          <cell r="K416" t="str">
            <v>CO</v>
          </cell>
          <cell r="L416" t="str">
            <v>KE</v>
          </cell>
          <cell r="Z416">
            <v>0</v>
          </cell>
          <cell r="AB416">
            <v>0</v>
          </cell>
          <cell r="AC416">
            <v>0</v>
          </cell>
          <cell r="AD416">
            <v>0</v>
          </cell>
          <cell r="AE416">
            <v>0</v>
          </cell>
        </row>
        <row r="417">
          <cell r="B417" t="str">
            <v>CO-KN-A01M415</v>
          </cell>
          <cell r="C417" t="str">
            <v>CO-A01M415</v>
          </cell>
          <cell r="D417" t="str">
            <v>CO-KN</v>
          </cell>
          <cell r="E417" t="str">
            <v>PRI-CO-KN</v>
          </cell>
          <cell r="F417" t="str">
            <v>PRI-KN</v>
          </cell>
          <cell r="G417" t="str">
            <v>A01M415</v>
          </cell>
          <cell r="H417" t="str">
            <v>PRI</v>
          </cell>
          <cell r="I417">
            <v>2001</v>
          </cell>
          <cell r="J417" t="str">
            <v>P</v>
          </cell>
          <cell r="K417" t="str">
            <v>CO</v>
          </cell>
          <cell r="L417" t="str">
            <v>KN</v>
          </cell>
          <cell r="Z417">
            <v>0</v>
          </cell>
          <cell r="AB417">
            <v>0</v>
          </cell>
          <cell r="AC417">
            <v>0</v>
          </cell>
          <cell r="AD417">
            <v>0</v>
          </cell>
          <cell r="AE417">
            <v>0</v>
          </cell>
        </row>
        <row r="418">
          <cell r="B418" t="str">
            <v>IN-KE-A01M415</v>
          </cell>
          <cell r="C418" t="str">
            <v>IN-A01M415</v>
          </cell>
          <cell r="D418" t="str">
            <v>IN-KE</v>
          </cell>
          <cell r="E418" t="str">
            <v>PRI-IN-KE</v>
          </cell>
          <cell r="F418" t="str">
            <v>PRI-KE</v>
          </cell>
          <cell r="G418" t="str">
            <v>A01M415</v>
          </cell>
          <cell r="H418" t="str">
            <v>PRI</v>
          </cell>
          <cell r="I418">
            <v>2001</v>
          </cell>
          <cell r="J418" t="str">
            <v>P</v>
          </cell>
          <cell r="K418" t="str">
            <v>IN</v>
          </cell>
          <cell r="L418" t="str">
            <v>KE</v>
          </cell>
          <cell r="Z418">
            <v>0</v>
          </cell>
          <cell r="AB418">
            <v>0</v>
          </cell>
          <cell r="AC418">
            <v>0</v>
          </cell>
          <cell r="AD418">
            <v>0</v>
          </cell>
          <cell r="AE418">
            <v>0</v>
          </cell>
        </row>
        <row r="419">
          <cell r="B419" t="str">
            <v>IN-KN-A01M415</v>
          </cell>
          <cell r="C419" t="str">
            <v>IN-A01M415</v>
          </cell>
          <cell r="D419" t="str">
            <v>IN-KN</v>
          </cell>
          <cell r="E419" t="str">
            <v>PRI-IN-KN</v>
          </cell>
          <cell r="F419" t="str">
            <v>PRI-KN</v>
          </cell>
          <cell r="G419" t="str">
            <v>A01M415</v>
          </cell>
          <cell r="H419" t="str">
            <v>PRI</v>
          </cell>
          <cell r="I419">
            <v>2001</v>
          </cell>
          <cell r="J419" t="str">
            <v>P</v>
          </cell>
          <cell r="K419" t="str">
            <v>IN</v>
          </cell>
          <cell r="L419" t="str">
            <v>KN</v>
          </cell>
          <cell r="T419">
            <v>7</v>
          </cell>
          <cell r="U419">
            <v>4</v>
          </cell>
          <cell r="Z419">
            <v>11</v>
          </cell>
          <cell r="AB419">
            <v>11</v>
          </cell>
          <cell r="AC419">
            <v>0</v>
          </cell>
          <cell r="AD419">
            <v>0</v>
          </cell>
          <cell r="AE419">
            <v>11</v>
          </cell>
        </row>
        <row r="420">
          <cell r="B420" t="str">
            <v>AD-KE-A01M416</v>
          </cell>
          <cell r="C420" t="str">
            <v>AD-A01M416</v>
          </cell>
          <cell r="D420" t="str">
            <v>AD-KE</v>
          </cell>
          <cell r="E420" t="str">
            <v>PRI-AD-KE</v>
          </cell>
          <cell r="F420" t="str">
            <v>PRI-KE</v>
          </cell>
          <cell r="G420" t="str">
            <v>A01M416</v>
          </cell>
          <cell r="H420" t="str">
            <v>PRI</v>
          </cell>
          <cell r="I420">
            <v>2001</v>
          </cell>
          <cell r="J420" t="str">
            <v>P</v>
          </cell>
          <cell r="K420" t="str">
            <v>AD</v>
          </cell>
          <cell r="L420" t="str">
            <v>KE</v>
          </cell>
          <cell r="W420">
            <v>105.86</v>
          </cell>
          <cell r="X420">
            <v>137.55000000000001</v>
          </cell>
          <cell r="Z420">
            <v>243.41000000000003</v>
          </cell>
          <cell r="AB420">
            <v>243.41000000000003</v>
          </cell>
          <cell r="AC420">
            <v>0</v>
          </cell>
          <cell r="AD420">
            <v>0</v>
          </cell>
          <cell r="AE420">
            <v>243.41000000000003</v>
          </cell>
        </row>
        <row r="421">
          <cell r="B421" t="str">
            <v>AD-KN-A01M416</v>
          </cell>
          <cell r="C421" t="str">
            <v>AD-A01M416</v>
          </cell>
          <cell r="D421" t="str">
            <v>AD-KN</v>
          </cell>
          <cell r="E421" t="str">
            <v>PRI-AD-KN</v>
          </cell>
          <cell r="F421" t="str">
            <v>PRI-KN</v>
          </cell>
          <cell r="G421" t="str">
            <v>A01M416</v>
          </cell>
          <cell r="H421" t="str">
            <v>PRI</v>
          </cell>
          <cell r="I421">
            <v>2001</v>
          </cell>
          <cell r="J421" t="str">
            <v>P</v>
          </cell>
          <cell r="K421" t="str">
            <v>AD</v>
          </cell>
          <cell r="L421" t="str">
            <v>KN</v>
          </cell>
          <cell r="P421">
            <v>253.45</v>
          </cell>
          <cell r="Q421">
            <v>50.69</v>
          </cell>
          <cell r="R421">
            <v>50.69</v>
          </cell>
          <cell r="V421">
            <v>53.2</v>
          </cell>
          <cell r="W421">
            <v>17.48</v>
          </cell>
          <cell r="Z421">
            <v>425.51</v>
          </cell>
          <cell r="AB421">
            <v>425.51</v>
          </cell>
          <cell r="AC421">
            <v>354.83</v>
          </cell>
          <cell r="AD421">
            <v>354.83</v>
          </cell>
          <cell r="AE421">
            <v>70.680000000000007</v>
          </cell>
        </row>
        <row r="422">
          <cell r="B422" t="str">
            <v>CO-KE-A01M416</v>
          </cell>
          <cell r="C422" t="str">
            <v>CO-A01M416</v>
          </cell>
          <cell r="D422" t="str">
            <v>CO-KE</v>
          </cell>
          <cell r="E422" t="str">
            <v>PRI-CO-KE</v>
          </cell>
          <cell r="F422" t="str">
            <v>PRI-KE</v>
          </cell>
          <cell r="G422" t="str">
            <v>A01M416</v>
          </cell>
          <cell r="H422" t="str">
            <v>PRI</v>
          </cell>
          <cell r="I422">
            <v>2001</v>
          </cell>
          <cell r="J422" t="str">
            <v>P</v>
          </cell>
          <cell r="K422" t="str">
            <v>CO</v>
          </cell>
          <cell r="L422" t="str">
            <v>KE</v>
          </cell>
          <cell r="Z422">
            <v>0</v>
          </cell>
          <cell r="AB422">
            <v>0</v>
          </cell>
          <cell r="AC422">
            <v>0</v>
          </cell>
          <cell r="AD422">
            <v>0</v>
          </cell>
          <cell r="AE422">
            <v>0</v>
          </cell>
        </row>
        <row r="423">
          <cell r="B423" t="str">
            <v>CO-KN-A01M416</v>
          </cell>
          <cell r="C423" t="str">
            <v>CO-A01M416</v>
          </cell>
          <cell r="D423" t="str">
            <v>CO-KN</v>
          </cell>
          <cell r="E423" t="str">
            <v>PRI-CO-KN</v>
          </cell>
          <cell r="F423" t="str">
            <v>PRI-KN</v>
          </cell>
          <cell r="G423" t="str">
            <v>A01M416</v>
          </cell>
          <cell r="H423" t="str">
            <v>PRI</v>
          </cell>
          <cell r="I423">
            <v>2001</v>
          </cell>
          <cell r="J423" t="str">
            <v>P</v>
          </cell>
          <cell r="K423" t="str">
            <v>CO</v>
          </cell>
          <cell r="L423" t="str">
            <v>KN</v>
          </cell>
          <cell r="O423">
            <v>108.47</v>
          </cell>
          <cell r="P423">
            <v>281.83999999999997</v>
          </cell>
          <cell r="Q423">
            <v>265.62</v>
          </cell>
          <cell r="R423">
            <v>37.54</v>
          </cell>
          <cell r="S423">
            <v>9.6300000000000008</v>
          </cell>
          <cell r="T423">
            <v>9.6300000000000008</v>
          </cell>
          <cell r="U423">
            <v>203.54</v>
          </cell>
          <cell r="V423">
            <v>270.58</v>
          </cell>
          <cell r="W423">
            <v>301.89</v>
          </cell>
          <cell r="X423">
            <v>251.2</v>
          </cell>
          <cell r="Z423">
            <v>1739.9399999999998</v>
          </cell>
          <cell r="AB423">
            <v>1739.9399999999998</v>
          </cell>
          <cell r="AC423">
            <v>703.09999999999991</v>
          </cell>
          <cell r="AD423">
            <v>703.09999999999991</v>
          </cell>
          <cell r="AE423">
            <v>1036.8399999999999</v>
          </cell>
        </row>
        <row r="424">
          <cell r="B424" t="str">
            <v>IN-KE-A01M416</v>
          </cell>
          <cell r="C424" t="str">
            <v>IN-A01M416</v>
          </cell>
          <cell r="D424" t="str">
            <v>IN-KE</v>
          </cell>
          <cell r="E424" t="str">
            <v>PRI-IN-KE</v>
          </cell>
          <cell r="F424" t="str">
            <v>PRI-KE</v>
          </cell>
          <cell r="G424" t="str">
            <v>A01M416</v>
          </cell>
          <cell r="H424" t="str">
            <v>PRI</v>
          </cell>
          <cell r="I424">
            <v>2001</v>
          </cell>
          <cell r="J424" t="str">
            <v>P</v>
          </cell>
          <cell r="K424" t="str">
            <v>IN</v>
          </cell>
          <cell r="L424" t="str">
            <v>KE</v>
          </cell>
          <cell r="T424">
            <v>0</v>
          </cell>
          <cell r="Z424">
            <v>0</v>
          </cell>
          <cell r="AB424">
            <v>0</v>
          </cell>
          <cell r="AC424">
            <v>0</v>
          </cell>
          <cell r="AD424">
            <v>0</v>
          </cell>
          <cell r="AE424">
            <v>0</v>
          </cell>
        </row>
        <row r="425">
          <cell r="B425" t="str">
            <v>IN-KN-A01M416</v>
          </cell>
          <cell r="C425" t="str">
            <v>IN-A01M416</v>
          </cell>
          <cell r="D425" t="str">
            <v>IN-KN</v>
          </cell>
          <cell r="E425" t="str">
            <v>PRI-IN-KN</v>
          </cell>
          <cell r="F425" t="str">
            <v>PRI-KN</v>
          </cell>
          <cell r="G425" t="str">
            <v>A01M416</v>
          </cell>
          <cell r="H425" t="str">
            <v>PRI</v>
          </cell>
          <cell r="I425">
            <v>2001</v>
          </cell>
          <cell r="J425" t="str">
            <v>P</v>
          </cell>
          <cell r="K425" t="str">
            <v>IN</v>
          </cell>
          <cell r="L425" t="str">
            <v>KN</v>
          </cell>
          <cell r="O425">
            <v>43.8</v>
          </cell>
          <cell r="P425">
            <v>27.63</v>
          </cell>
          <cell r="Q425">
            <v>17.489999999999998</v>
          </cell>
          <cell r="R425">
            <v>42.06</v>
          </cell>
          <cell r="S425">
            <v>7.35</v>
          </cell>
          <cell r="T425">
            <v>7.35</v>
          </cell>
          <cell r="U425">
            <v>7.35</v>
          </cell>
          <cell r="V425">
            <v>7.35</v>
          </cell>
          <cell r="W425">
            <v>7.35</v>
          </cell>
          <cell r="X425">
            <v>7.41</v>
          </cell>
          <cell r="Z425">
            <v>175.13999999999996</v>
          </cell>
          <cell r="AB425">
            <v>175.13999999999996</v>
          </cell>
          <cell r="AC425">
            <v>138.32999999999998</v>
          </cell>
          <cell r="AD425">
            <v>138.32999999999998</v>
          </cell>
          <cell r="AE425">
            <v>36.809999999999974</v>
          </cell>
        </row>
        <row r="426">
          <cell r="B426" t="str">
            <v>AD-KE-A99M101</v>
          </cell>
          <cell r="C426" t="str">
            <v>AD-A99M101</v>
          </cell>
          <cell r="D426" t="str">
            <v>AD-KE</v>
          </cell>
          <cell r="E426" t="str">
            <v>DIV-AD-KE</v>
          </cell>
          <cell r="F426" t="str">
            <v>DIV-KE</v>
          </cell>
          <cell r="G426" t="str">
            <v>A99M101</v>
          </cell>
          <cell r="H426" t="str">
            <v>DIV</v>
          </cell>
          <cell r="I426">
            <v>1999</v>
          </cell>
          <cell r="J426" t="str">
            <v>P</v>
          </cell>
          <cell r="K426" t="str">
            <v>AD</v>
          </cell>
          <cell r="L426" t="str">
            <v>KE</v>
          </cell>
          <cell r="Z426">
            <v>0</v>
          </cell>
          <cell r="AB426">
            <v>0</v>
          </cell>
          <cell r="AC426">
            <v>0</v>
          </cell>
          <cell r="AD426">
            <v>0</v>
          </cell>
          <cell r="AE426">
            <v>0</v>
          </cell>
        </row>
        <row r="427">
          <cell r="B427" t="str">
            <v>AD-KN-A99M101</v>
          </cell>
          <cell r="C427" t="str">
            <v>AD-A99M101</v>
          </cell>
          <cell r="D427" t="str">
            <v>AD-KN</v>
          </cell>
          <cell r="E427" t="str">
            <v>DIV-AD-KN</v>
          </cell>
          <cell r="F427" t="str">
            <v>DIV-KN</v>
          </cell>
          <cell r="G427" t="str">
            <v>A99M101</v>
          </cell>
          <cell r="H427" t="str">
            <v>DIV</v>
          </cell>
          <cell r="I427">
            <v>1999</v>
          </cell>
          <cell r="J427" t="str">
            <v>P</v>
          </cell>
          <cell r="K427" t="str">
            <v>AD</v>
          </cell>
          <cell r="L427" t="str">
            <v>KN</v>
          </cell>
          <cell r="Z427">
            <v>0</v>
          </cell>
          <cell r="AB427">
            <v>0</v>
          </cell>
          <cell r="AC427">
            <v>0</v>
          </cell>
          <cell r="AD427">
            <v>0</v>
          </cell>
          <cell r="AE427">
            <v>0</v>
          </cell>
        </row>
        <row r="428">
          <cell r="B428" t="str">
            <v>CO-KE-A99M101</v>
          </cell>
          <cell r="C428" t="str">
            <v>CO-A99M101</v>
          </cell>
          <cell r="D428" t="str">
            <v>CO-KE</v>
          </cell>
          <cell r="E428" t="str">
            <v>DIV-CO-KE</v>
          </cell>
          <cell r="F428" t="str">
            <v>DIV-KE</v>
          </cell>
          <cell r="G428" t="str">
            <v>A99M101</v>
          </cell>
          <cell r="H428" t="str">
            <v>DIV</v>
          </cell>
          <cell r="I428">
            <v>1999</v>
          </cell>
          <cell r="J428" t="str">
            <v>P</v>
          </cell>
          <cell r="K428" t="str">
            <v>CO</v>
          </cell>
          <cell r="L428" t="str">
            <v>KE</v>
          </cell>
          <cell r="Z428">
            <v>0</v>
          </cell>
          <cell r="AB428">
            <v>0</v>
          </cell>
          <cell r="AC428">
            <v>0</v>
          </cell>
          <cell r="AD428">
            <v>0</v>
          </cell>
          <cell r="AE428">
            <v>0</v>
          </cell>
        </row>
        <row r="429">
          <cell r="B429" t="str">
            <v>CO-KN-A99M101</v>
          </cell>
          <cell r="C429" t="str">
            <v>CO-A99M101</v>
          </cell>
          <cell r="D429" t="str">
            <v>CO-KN</v>
          </cell>
          <cell r="E429" t="str">
            <v>DIV-CO-KN</v>
          </cell>
          <cell r="F429" t="str">
            <v>DIV-KN</v>
          </cell>
          <cell r="G429" t="str">
            <v>A99M101</v>
          </cell>
          <cell r="H429" t="str">
            <v>DIV</v>
          </cell>
          <cell r="I429">
            <v>1999</v>
          </cell>
          <cell r="J429" t="str">
            <v>P</v>
          </cell>
          <cell r="K429" t="str">
            <v>CO</v>
          </cell>
          <cell r="L429" t="str">
            <v>KN</v>
          </cell>
          <cell r="Z429">
            <v>0</v>
          </cell>
          <cell r="AB429">
            <v>0</v>
          </cell>
          <cell r="AC429">
            <v>0</v>
          </cell>
          <cell r="AD429">
            <v>0</v>
          </cell>
          <cell r="AE429">
            <v>0</v>
          </cell>
        </row>
        <row r="430">
          <cell r="B430" t="str">
            <v>IN-KE-A99M101</v>
          </cell>
          <cell r="C430" t="str">
            <v>IN-A99M101</v>
          </cell>
          <cell r="D430" t="str">
            <v>IN-KE</v>
          </cell>
          <cell r="E430" t="str">
            <v>DIV-IN-KE</v>
          </cell>
          <cell r="F430" t="str">
            <v>DIV-KE</v>
          </cell>
          <cell r="G430" t="str">
            <v>A99M101</v>
          </cell>
          <cell r="H430" t="str">
            <v>DIV</v>
          </cell>
          <cell r="I430">
            <v>1999</v>
          </cell>
          <cell r="J430" t="str">
            <v>P</v>
          </cell>
          <cell r="K430" t="str">
            <v>IN</v>
          </cell>
          <cell r="L430" t="str">
            <v>KE</v>
          </cell>
          <cell r="Z430">
            <v>0</v>
          </cell>
          <cell r="AB430">
            <v>0</v>
          </cell>
          <cell r="AC430">
            <v>0</v>
          </cell>
          <cell r="AD430">
            <v>0</v>
          </cell>
          <cell r="AE430">
            <v>0</v>
          </cell>
        </row>
        <row r="431">
          <cell r="B431" t="str">
            <v>IN-KN-A99M101</v>
          </cell>
          <cell r="C431" t="str">
            <v>IN-A99M101</v>
          </cell>
          <cell r="D431" t="str">
            <v>IN-KN</v>
          </cell>
          <cell r="E431" t="str">
            <v>DIV-IN-KN</v>
          </cell>
          <cell r="F431" t="str">
            <v>DIV-KN</v>
          </cell>
          <cell r="G431" t="str">
            <v>A99M101</v>
          </cell>
          <cell r="H431" t="str">
            <v>DIV</v>
          </cell>
          <cell r="I431">
            <v>1999</v>
          </cell>
          <cell r="J431" t="str">
            <v>P</v>
          </cell>
          <cell r="K431" t="str">
            <v>IN</v>
          </cell>
          <cell r="L431" t="str">
            <v>KN</v>
          </cell>
          <cell r="Z431">
            <v>0</v>
          </cell>
          <cell r="AB431">
            <v>0</v>
          </cell>
          <cell r="AC431">
            <v>0</v>
          </cell>
          <cell r="AD431">
            <v>0</v>
          </cell>
          <cell r="AE431">
            <v>0</v>
          </cell>
        </row>
        <row r="432">
          <cell r="B432" t="str">
            <v>AD-KE-A99M102</v>
          </cell>
          <cell r="C432" t="str">
            <v>AD-A99M102</v>
          </cell>
          <cell r="D432" t="str">
            <v>AD-KE</v>
          </cell>
          <cell r="E432" t="str">
            <v>DIV-AD-KE</v>
          </cell>
          <cell r="F432" t="str">
            <v>DIV-KE</v>
          </cell>
          <cell r="G432" t="str">
            <v>A99M102</v>
          </cell>
          <cell r="H432" t="str">
            <v>DIV</v>
          </cell>
          <cell r="I432">
            <v>1999</v>
          </cell>
          <cell r="J432" t="str">
            <v>P</v>
          </cell>
          <cell r="K432" t="str">
            <v>AD</v>
          </cell>
          <cell r="L432" t="str">
            <v>KE</v>
          </cell>
          <cell r="Z432">
            <v>0</v>
          </cell>
          <cell r="AB432">
            <v>0</v>
          </cell>
          <cell r="AC432">
            <v>0</v>
          </cell>
          <cell r="AD432">
            <v>0</v>
          </cell>
          <cell r="AE432">
            <v>0</v>
          </cell>
        </row>
        <row r="433">
          <cell r="B433" t="str">
            <v>AD-KN-A99M102</v>
          </cell>
          <cell r="C433" t="str">
            <v>AD-A99M102</v>
          </cell>
          <cell r="D433" t="str">
            <v>AD-KN</v>
          </cell>
          <cell r="E433" t="str">
            <v>DIV-AD-KN</v>
          </cell>
          <cell r="F433" t="str">
            <v>DIV-KN</v>
          </cell>
          <cell r="G433" t="str">
            <v>A99M102</v>
          </cell>
          <cell r="H433" t="str">
            <v>DIV</v>
          </cell>
          <cell r="I433">
            <v>1999</v>
          </cell>
          <cell r="J433" t="str">
            <v>P</v>
          </cell>
          <cell r="K433" t="str">
            <v>AD</v>
          </cell>
          <cell r="L433" t="str">
            <v>KN</v>
          </cell>
          <cell r="Z433">
            <v>0</v>
          </cell>
          <cell r="AB433">
            <v>0</v>
          </cell>
          <cell r="AC433">
            <v>0</v>
          </cell>
          <cell r="AD433">
            <v>0</v>
          </cell>
          <cell r="AE433">
            <v>0</v>
          </cell>
        </row>
        <row r="434">
          <cell r="B434" t="str">
            <v>CO-KE-A99M102</v>
          </cell>
          <cell r="C434" t="str">
            <v>CO-A99M102</v>
          </cell>
          <cell r="D434" t="str">
            <v>CO-KE</v>
          </cell>
          <cell r="E434" t="str">
            <v>DIV-CO-KE</v>
          </cell>
          <cell r="F434" t="str">
            <v>DIV-KE</v>
          </cell>
          <cell r="G434" t="str">
            <v>A99M102</v>
          </cell>
          <cell r="H434" t="str">
            <v>DIV</v>
          </cell>
          <cell r="I434">
            <v>1999</v>
          </cell>
          <cell r="J434" t="str">
            <v>P</v>
          </cell>
          <cell r="K434" t="str">
            <v>CO</v>
          </cell>
          <cell r="L434" t="str">
            <v>KE</v>
          </cell>
          <cell r="Z434">
            <v>0</v>
          </cell>
          <cell r="AB434">
            <v>0</v>
          </cell>
          <cell r="AC434">
            <v>0</v>
          </cell>
          <cell r="AD434">
            <v>0</v>
          </cell>
          <cell r="AE434">
            <v>0</v>
          </cell>
        </row>
        <row r="435">
          <cell r="B435" t="str">
            <v>CO-KN-A99M102</v>
          </cell>
          <cell r="C435" t="str">
            <v>CO-A99M102</v>
          </cell>
          <cell r="D435" t="str">
            <v>CO-KN</v>
          </cell>
          <cell r="E435" t="str">
            <v>DIV-CO-KN</v>
          </cell>
          <cell r="F435" t="str">
            <v>DIV-KN</v>
          </cell>
          <cell r="G435" t="str">
            <v>A99M102</v>
          </cell>
          <cell r="H435" t="str">
            <v>DIV</v>
          </cell>
          <cell r="I435">
            <v>1999</v>
          </cell>
          <cell r="J435" t="str">
            <v>P</v>
          </cell>
          <cell r="K435" t="str">
            <v>CO</v>
          </cell>
          <cell r="L435" t="str">
            <v>KN</v>
          </cell>
          <cell r="Z435">
            <v>0</v>
          </cell>
          <cell r="AB435">
            <v>0</v>
          </cell>
          <cell r="AC435">
            <v>0</v>
          </cell>
          <cell r="AD435">
            <v>0</v>
          </cell>
          <cell r="AE435">
            <v>0</v>
          </cell>
        </row>
        <row r="436">
          <cell r="B436" t="str">
            <v>IN-KE-A99M102</v>
          </cell>
          <cell r="C436" t="str">
            <v>IN-A99M102</v>
          </cell>
          <cell r="D436" t="str">
            <v>IN-KE</v>
          </cell>
          <cell r="E436" t="str">
            <v>DIV-IN-KE</v>
          </cell>
          <cell r="F436" t="str">
            <v>DIV-KE</v>
          </cell>
          <cell r="G436" t="str">
            <v>A99M102</v>
          </cell>
          <cell r="H436" t="str">
            <v>DIV</v>
          </cell>
          <cell r="I436">
            <v>1999</v>
          </cell>
          <cell r="J436" t="str">
            <v>P</v>
          </cell>
          <cell r="K436" t="str">
            <v>IN</v>
          </cell>
          <cell r="L436" t="str">
            <v>KE</v>
          </cell>
          <cell r="Z436">
            <v>0</v>
          </cell>
          <cell r="AB436">
            <v>0</v>
          </cell>
          <cell r="AC436">
            <v>0</v>
          </cell>
          <cell r="AD436">
            <v>0</v>
          </cell>
          <cell r="AE436">
            <v>0</v>
          </cell>
        </row>
        <row r="437">
          <cell r="B437" t="str">
            <v>IN-KN-A99M102</v>
          </cell>
          <cell r="C437" t="str">
            <v>IN-A99M102</v>
          </cell>
          <cell r="D437" t="str">
            <v>IN-KN</v>
          </cell>
          <cell r="E437" t="str">
            <v>DIV-IN-KN</v>
          </cell>
          <cell r="F437" t="str">
            <v>DIV-KN</v>
          </cell>
          <cell r="G437" t="str">
            <v>A99M102</v>
          </cell>
          <cell r="H437" t="str">
            <v>DIV</v>
          </cell>
          <cell r="I437">
            <v>1999</v>
          </cell>
          <cell r="J437" t="str">
            <v>P</v>
          </cell>
          <cell r="K437" t="str">
            <v>IN</v>
          </cell>
          <cell r="L437" t="str">
            <v>KN</v>
          </cell>
          <cell r="Z437">
            <v>0</v>
          </cell>
          <cell r="AB437">
            <v>0</v>
          </cell>
          <cell r="AC437">
            <v>0</v>
          </cell>
          <cell r="AD437">
            <v>0</v>
          </cell>
          <cell r="AE437">
            <v>0</v>
          </cell>
        </row>
        <row r="438">
          <cell r="B438" t="str">
            <v>AD-KE-A99M103</v>
          </cell>
          <cell r="C438" t="str">
            <v>AD-A99M103</v>
          </cell>
          <cell r="D438" t="str">
            <v>AD-KE</v>
          </cell>
          <cell r="E438" t="str">
            <v>DIV-AD-KE</v>
          </cell>
          <cell r="F438" t="str">
            <v>DIV-KE</v>
          </cell>
          <cell r="G438" t="str">
            <v>A99M103</v>
          </cell>
          <cell r="H438" t="str">
            <v>DIV</v>
          </cell>
          <cell r="I438">
            <v>2000</v>
          </cell>
          <cell r="J438" t="str">
            <v>P</v>
          </cell>
          <cell r="K438" t="str">
            <v>AD</v>
          </cell>
          <cell r="L438" t="str">
            <v>KE</v>
          </cell>
          <cell r="Z438">
            <v>0</v>
          </cell>
          <cell r="AB438">
            <v>0</v>
          </cell>
          <cell r="AC438">
            <v>0</v>
          </cell>
          <cell r="AD438">
            <v>0</v>
          </cell>
          <cell r="AE438">
            <v>0</v>
          </cell>
        </row>
        <row r="439">
          <cell r="B439" t="str">
            <v>AD-KN-A99M103</v>
          </cell>
          <cell r="C439" t="str">
            <v>AD-A99M103</v>
          </cell>
          <cell r="D439" t="str">
            <v>AD-KN</v>
          </cell>
          <cell r="E439" t="str">
            <v>DIV-AD-KN</v>
          </cell>
          <cell r="F439" t="str">
            <v>DIV-KN</v>
          </cell>
          <cell r="G439" t="str">
            <v>A99M103</v>
          </cell>
          <cell r="H439" t="str">
            <v>DIV</v>
          </cell>
          <cell r="I439">
            <v>2000</v>
          </cell>
          <cell r="J439" t="str">
            <v>P</v>
          </cell>
          <cell r="K439" t="str">
            <v>AD</v>
          </cell>
          <cell r="L439" t="str">
            <v>KN</v>
          </cell>
          <cell r="Z439">
            <v>0</v>
          </cell>
          <cell r="AB439">
            <v>0</v>
          </cell>
          <cell r="AC439">
            <v>0</v>
          </cell>
          <cell r="AD439">
            <v>0</v>
          </cell>
          <cell r="AE439">
            <v>0</v>
          </cell>
        </row>
        <row r="440">
          <cell r="B440" t="str">
            <v>CO-KE-A99M103</v>
          </cell>
          <cell r="C440" t="str">
            <v>CO-A99M103</v>
          </cell>
          <cell r="D440" t="str">
            <v>CO-KE</v>
          </cell>
          <cell r="E440" t="str">
            <v>DIV-CO-KE</v>
          </cell>
          <cell r="F440" t="str">
            <v>DIV-KE</v>
          </cell>
          <cell r="G440" t="str">
            <v>A99M103</v>
          </cell>
          <cell r="H440" t="str">
            <v>DIV</v>
          </cell>
          <cell r="I440">
            <v>2000</v>
          </cell>
          <cell r="J440" t="str">
            <v>P</v>
          </cell>
          <cell r="K440" t="str">
            <v>CO</v>
          </cell>
          <cell r="L440" t="str">
            <v>KE</v>
          </cell>
          <cell r="Z440">
            <v>0</v>
          </cell>
          <cell r="AB440">
            <v>0</v>
          </cell>
          <cell r="AC440">
            <v>0</v>
          </cell>
          <cell r="AD440">
            <v>0</v>
          </cell>
          <cell r="AE440">
            <v>0</v>
          </cell>
        </row>
        <row r="441">
          <cell r="B441" t="str">
            <v>CO-KN-A99M103</v>
          </cell>
          <cell r="C441" t="str">
            <v>CO-A99M103</v>
          </cell>
          <cell r="D441" t="str">
            <v>CO-KN</v>
          </cell>
          <cell r="E441" t="str">
            <v>DIV-CO-KN</v>
          </cell>
          <cell r="F441" t="str">
            <v>DIV-KN</v>
          </cell>
          <cell r="G441" t="str">
            <v>A99M103</v>
          </cell>
          <cell r="H441" t="str">
            <v>DIV</v>
          </cell>
          <cell r="I441">
            <v>2000</v>
          </cell>
          <cell r="J441" t="str">
            <v>P</v>
          </cell>
          <cell r="K441" t="str">
            <v>CO</v>
          </cell>
          <cell r="L441" t="str">
            <v>KN</v>
          </cell>
          <cell r="Z441">
            <v>0</v>
          </cell>
          <cell r="AB441">
            <v>0</v>
          </cell>
          <cell r="AC441">
            <v>0</v>
          </cell>
          <cell r="AD441">
            <v>0</v>
          </cell>
          <cell r="AE441">
            <v>0</v>
          </cell>
        </row>
        <row r="442">
          <cell r="B442" t="str">
            <v>IN-KE-A99M103</v>
          </cell>
          <cell r="C442" t="str">
            <v>IN-A99M103</v>
          </cell>
          <cell r="D442" t="str">
            <v>IN-KE</v>
          </cell>
          <cell r="E442" t="str">
            <v>DIV-IN-KE</v>
          </cell>
          <cell r="F442" t="str">
            <v>DIV-KE</v>
          </cell>
          <cell r="G442" t="str">
            <v>A99M103</v>
          </cell>
          <cell r="H442" t="str">
            <v>DIV</v>
          </cell>
          <cell r="I442">
            <v>2000</v>
          </cell>
          <cell r="J442" t="str">
            <v>P</v>
          </cell>
          <cell r="K442" t="str">
            <v>IN</v>
          </cell>
          <cell r="L442" t="str">
            <v>KE</v>
          </cell>
          <cell r="Z442">
            <v>0</v>
          </cell>
          <cell r="AB442">
            <v>0</v>
          </cell>
          <cell r="AC442">
            <v>0</v>
          </cell>
          <cell r="AD442">
            <v>0</v>
          </cell>
          <cell r="AE442">
            <v>0</v>
          </cell>
        </row>
        <row r="443">
          <cell r="B443" t="str">
            <v>IN-KN-A99M103</v>
          </cell>
          <cell r="C443" t="str">
            <v>IN-A99M103</v>
          </cell>
          <cell r="D443" t="str">
            <v>IN-KN</v>
          </cell>
          <cell r="E443" t="str">
            <v>DIV-IN-KN</v>
          </cell>
          <cell r="F443" t="str">
            <v>DIV-KN</v>
          </cell>
          <cell r="G443" t="str">
            <v>A99M103</v>
          </cell>
          <cell r="H443" t="str">
            <v>DIV</v>
          </cell>
          <cell r="I443">
            <v>2000</v>
          </cell>
          <cell r="J443" t="str">
            <v>P</v>
          </cell>
          <cell r="K443" t="str">
            <v>IN</v>
          </cell>
          <cell r="L443" t="str">
            <v>KN</v>
          </cell>
          <cell r="Z443">
            <v>0</v>
          </cell>
          <cell r="AB443">
            <v>0</v>
          </cell>
          <cell r="AC443">
            <v>0</v>
          </cell>
          <cell r="AD443">
            <v>0</v>
          </cell>
          <cell r="AE443">
            <v>0</v>
          </cell>
        </row>
        <row r="444">
          <cell r="B444" t="str">
            <v>AD-KE-A99M305</v>
          </cell>
          <cell r="C444" t="str">
            <v>AD-A99M305</v>
          </cell>
          <cell r="D444" t="str">
            <v>AD-KE</v>
          </cell>
          <cell r="E444" t="str">
            <v>DIV-AD-KE</v>
          </cell>
          <cell r="F444" t="str">
            <v>DIV-KE</v>
          </cell>
          <cell r="G444" t="str">
            <v>A99M305</v>
          </cell>
          <cell r="H444" t="str">
            <v>DIV</v>
          </cell>
          <cell r="I444">
            <v>2000</v>
          </cell>
          <cell r="J444" t="str">
            <v>P</v>
          </cell>
          <cell r="K444" t="str">
            <v>AD</v>
          </cell>
          <cell r="L444" t="str">
            <v>KE</v>
          </cell>
          <cell r="Z444">
            <v>0</v>
          </cell>
          <cell r="AB444">
            <v>0</v>
          </cell>
          <cell r="AC444">
            <v>0</v>
          </cell>
          <cell r="AD444">
            <v>0</v>
          </cell>
          <cell r="AE444">
            <v>0</v>
          </cell>
        </row>
        <row r="445">
          <cell r="B445" t="str">
            <v>AD-KN-A99M305</v>
          </cell>
          <cell r="C445" t="str">
            <v>AD-A99M305</v>
          </cell>
          <cell r="D445" t="str">
            <v>AD-KN</v>
          </cell>
          <cell r="E445" t="str">
            <v>DIV-AD-KN</v>
          </cell>
          <cell r="F445" t="str">
            <v>DIV-KN</v>
          </cell>
          <cell r="G445" t="str">
            <v>A99M305</v>
          </cell>
          <cell r="H445" t="str">
            <v>DIV</v>
          </cell>
          <cell r="I445">
            <v>2000</v>
          </cell>
          <cell r="J445" t="str">
            <v>P</v>
          </cell>
          <cell r="K445" t="str">
            <v>AD</v>
          </cell>
          <cell r="L445" t="str">
            <v>KN</v>
          </cell>
          <cell r="Z445">
            <v>0</v>
          </cell>
          <cell r="AB445">
            <v>0</v>
          </cell>
          <cell r="AC445">
            <v>0</v>
          </cell>
          <cell r="AD445">
            <v>0</v>
          </cell>
          <cell r="AE445">
            <v>0</v>
          </cell>
        </row>
        <row r="446">
          <cell r="B446" t="str">
            <v>CO-KE-A99M305</v>
          </cell>
          <cell r="C446" t="str">
            <v>CO-A99M305</v>
          </cell>
          <cell r="D446" t="str">
            <v>CO-KE</v>
          </cell>
          <cell r="E446" t="str">
            <v>DIV-CO-KE</v>
          </cell>
          <cell r="F446" t="str">
            <v>DIV-KE</v>
          </cell>
          <cell r="G446" t="str">
            <v>A99M305</v>
          </cell>
          <cell r="H446" t="str">
            <v>DIV</v>
          </cell>
          <cell r="I446">
            <v>2000</v>
          </cell>
          <cell r="J446" t="str">
            <v>P</v>
          </cell>
          <cell r="K446" t="str">
            <v>CO</v>
          </cell>
          <cell r="L446" t="str">
            <v>KE</v>
          </cell>
          <cell r="Z446">
            <v>0</v>
          </cell>
          <cell r="AB446">
            <v>0</v>
          </cell>
          <cell r="AC446">
            <v>0</v>
          </cell>
          <cell r="AD446">
            <v>0</v>
          </cell>
          <cell r="AE446">
            <v>0</v>
          </cell>
        </row>
        <row r="447">
          <cell r="B447" t="str">
            <v>CO-KN-A99M305</v>
          </cell>
          <cell r="C447" t="str">
            <v>CO-A99M305</v>
          </cell>
          <cell r="D447" t="str">
            <v>CO-KN</v>
          </cell>
          <cell r="E447" t="str">
            <v>DIV-CO-KN</v>
          </cell>
          <cell r="F447" t="str">
            <v>DIV-KN</v>
          </cell>
          <cell r="G447" t="str">
            <v>A99M305</v>
          </cell>
          <cell r="H447" t="str">
            <v>DIV</v>
          </cell>
          <cell r="I447">
            <v>2000</v>
          </cell>
          <cell r="J447" t="str">
            <v>P</v>
          </cell>
          <cell r="K447" t="str">
            <v>CO</v>
          </cell>
          <cell r="L447" t="str">
            <v>KN</v>
          </cell>
          <cell r="Z447">
            <v>0</v>
          </cell>
          <cell r="AB447">
            <v>0</v>
          </cell>
          <cell r="AC447">
            <v>0</v>
          </cell>
          <cell r="AD447">
            <v>0</v>
          </cell>
          <cell r="AE447">
            <v>0</v>
          </cell>
        </row>
        <row r="448">
          <cell r="B448" t="str">
            <v>IN-KE-A99M305</v>
          </cell>
          <cell r="C448" t="str">
            <v>IN-A99M305</v>
          </cell>
          <cell r="D448" t="str">
            <v>IN-KE</v>
          </cell>
          <cell r="E448" t="str">
            <v>DIV-IN-KE</v>
          </cell>
          <cell r="F448" t="str">
            <v>DIV-KE</v>
          </cell>
          <cell r="G448" t="str">
            <v>A99M305</v>
          </cell>
          <cell r="H448" t="str">
            <v>DIV</v>
          </cell>
          <cell r="I448">
            <v>2000</v>
          </cell>
          <cell r="J448" t="str">
            <v>P</v>
          </cell>
          <cell r="K448" t="str">
            <v>IN</v>
          </cell>
          <cell r="L448" t="str">
            <v>KE</v>
          </cell>
          <cell r="Z448">
            <v>0</v>
          </cell>
          <cell r="AB448">
            <v>0</v>
          </cell>
          <cell r="AC448">
            <v>0</v>
          </cell>
          <cell r="AD448">
            <v>0</v>
          </cell>
          <cell r="AE448">
            <v>0</v>
          </cell>
        </row>
        <row r="449">
          <cell r="B449" t="str">
            <v>IN-KN-A99M305</v>
          </cell>
          <cell r="C449" t="str">
            <v>IN-A99M305</v>
          </cell>
          <cell r="D449" t="str">
            <v>IN-KN</v>
          </cell>
          <cell r="E449" t="str">
            <v>DIV-IN-KN</v>
          </cell>
          <cell r="F449" t="str">
            <v>DIV-KN</v>
          </cell>
          <cell r="G449" t="str">
            <v>A99M305</v>
          </cell>
          <cell r="H449" t="str">
            <v>DIV</v>
          </cell>
          <cell r="I449">
            <v>2000</v>
          </cell>
          <cell r="J449" t="str">
            <v>P</v>
          </cell>
          <cell r="K449" t="str">
            <v>IN</v>
          </cell>
          <cell r="L449" t="str">
            <v>KN</v>
          </cell>
          <cell r="Z449">
            <v>0</v>
          </cell>
          <cell r="AB449">
            <v>0</v>
          </cell>
          <cell r="AC449">
            <v>0</v>
          </cell>
          <cell r="AD449">
            <v>0</v>
          </cell>
          <cell r="AE449">
            <v>0</v>
          </cell>
        </row>
        <row r="450">
          <cell r="B450" t="str">
            <v>AD-KE-A99M306</v>
          </cell>
          <cell r="C450" t="str">
            <v>AD-A99M306</v>
          </cell>
          <cell r="D450" t="str">
            <v>AD-KE</v>
          </cell>
          <cell r="E450" t="str">
            <v>DIV-AD-KE</v>
          </cell>
          <cell r="F450" t="str">
            <v>DIV-KE</v>
          </cell>
          <cell r="G450" t="str">
            <v>A99M306</v>
          </cell>
          <cell r="H450" t="str">
            <v>DIV</v>
          </cell>
          <cell r="I450">
            <v>2000</v>
          </cell>
          <cell r="J450" t="str">
            <v>P</v>
          </cell>
          <cell r="K450" t="str">
            <v>AD</v>
          </cell>
          <cell r="L450" t="str">
            <v>KE</v>
          </cell>
          <cell r="Z450">
            <v>0</v>
          </cell>
          <cell r="AB450">
            <v>0</v>
          </cell>
          <cell r="AC450">
            <v>0</v>
          </cell>
          <cell r="AD450">
            <v>0</v>
          </cell>
          <cell r="AE450">
            <v>0</v>
          </cell>
        </row>
        <row r="451">
          <cell r="B451" t="str">
            <v>AD-KN-A99M306</v>
          </cell>
          <cell r="C451" t="str">
            <v>AD-A99M306</v>
          </cell>
          <cell r="D451" t="str">
            <v>AD-KN</v>
          </cell>
          <cell r="E451" t="str">
            <v>DIV-AD-KN</v>
          </cell>
          <cell r="F451" t="str">
            <v>DIV-KN</v>
          </cell>
          <cell r="G451" t="str">
            <v>A99M306</v>
          </cell>
          <cell r="H451" t="str">
            <v>DIV</v>
          </cell>
          <cell r="I451">
            <v>2000</v>
          </cell>
          <cell r="J451" t="str">
            <v>P</v>
          </cell>
          <cell r="K451" t="str">
            <v>AD</v>
          </cell>
          <cell r="L451" t="str">
            <v>KN</v>
          </cell>
          <cell r="Z451">
            <v>0</v>
          </cell>
          <cell r="AB451">
            <v>0</v>
          </cell>
          <cell r="AC451">
            <v>0</v>
          </cell>
          <cell r="AD451">
            <v>0</v>
          </cell>
          <cell r="AE451">
            <v>0</v>
          </cell>
        </row>
        <row r="452">
          <cell r="B452" t="str">
            <v>CO-KE-A99M306</v>
          </cell>
          <cell r="C452" t="str">
            <v>CO-A99M306</v>
          </cell>
          <cell r="D452" t="str">
            <v>CO-KE</v>
          </cell>
          <cell r="E452" t="str">
            <v>DIV-CO-KE</v>
          </cell>
          <cell r="F452" t="str">
            <v>DIV-KE</v>
          </cell>
          <cell r="G452" t="str">
            <v>A99M306</v>
          </cell>
          <cell r="H452" t="str">
            <v>DIV</v>
          </cell>
          <cell r="I452">
            <v>2000</v>
          </cell>
          <cell r="J452" t="str">
            <v>P</v>
          </cell>
          <cell r="K452" t="str">
            <v>CO</v>
          </cell>
          <cell r="L452" t="str">
            <v>KE</v>
          </cell>
          <cell r="Z452">
            <v>0</v>
          </cell>
          <cell r="AB452">
            <v>0</v>
          </cell>
          <cell r="AC452">
            <v>0</v>
          </cell>
          <cell r="AD452">
            <v>0</v>
          </cell>
          <cell r="AE452">
            <v>0</v>
          </cell>
        </row>
        <row r="453">
          <cell r="B453" t="str">
            <v>CO-KN-A99M306</v>
          </cell>
          <cell r="C453" t="str">
            <v>CO-A99M306</v>
          </cell>
          <cell r="D453" t="str">
            <v>CO-KN</v>
          </cell>
          <cell r="E453" t="str">
            <v>DIV-CO-KN</v>
          </cell>
          <cell r="F453" t="str">
            <v>DIV-KN</v>
          </cell>
          <cell r="G453" t="str">
            <v>A99M306</v>
          </cell>
          <cell r="H453" t="str">
            <v>DIV</v>
          </cell>
          <cell r="I453">
            <v>2000</v>
          </cell>
          <cell r="J453" t="str">
            <v>P</v>
          </cell>
          <cell r="K453" t="str">
            <v>CO</v>
          </cell>
          <cell r="L453" t="str">
            <v>KN</v>
          </cell>
          <cell r="Z453">
            <v>0</v>
          </cell>
          <cell r="AB453">
            <v>0</v>
          </cell>
          <cell r="AC453">
            <v>0</v>
          </cell>
          <cell r="AD453">
            <v>0</v>
          </cell>
          <cell r="AE453">
            <v>0</v>
          </cell>
        </row>
        <row r="454">
          <cell r="B454" t="str">
            <v>IN-KE-A99M306</v>
          </cell>
          <cell r="C454" t="str">
            <v>IN-A99M306</v>
          </cell>
          <cell r="D454" t="str">
            <v>IN-KE</v>
          </cell>
          <cell r="E454" t="str">
            <v>DIV-IN-KE</v>
          </cell>
          <cell r="F454" t="str">
            <v>DIV-KE</v>
          </cell>
          <cell r="G454" t="str">
            <v>A99M306</v>
          </cell>
          <cell r="H454" t="str">
            <v>DIV</v>
          </cell>
          <cell r="I454">
            <v>2000</v>
          </cell>
          <cell r="J454" t="str">
            <v>P</v>
          </cell>
          <cell r="K454" t="str">
            <v>IN</v>
          </cell>
          <cell r="L454" t="str">
            <v>KE</v>
          </cell>
          <cell r="Z454">
            <v>0</v>
          </cell>
          <cell r="AB454">
            <v>0</v>
          </cell>
          <cell r="AC454">
            <v>0</v>
          </cell>
          <cell r="AD454">
            <v>0</v>
          </cell>
          <cell r="AE454">
            <v>0</v>
          </cell>
        </row>
        <row r="455">
          <cell r="B455" t="str">
            <v>IN-KN-A99M306</v>
          </cell>
          <cell r="C455" t="str">
            <v>IN-A99M306</v>
          </cell>
          <cell r="D455" t="str">
            <v>IN-KN</v>
          </cell>
          <cell r="E455" t="str">
            <v>DIV-IN-KN</v>
          </cell>
          <cell r="F455" t="str">
            <v>DIV-KN</v>
          </cell>
          <cell r="G455" t="str">
            <v>A99M306</v>
          </cell>
          <cell r="H455" t="str">
            <v>DIV</v>
          </cell>
          <cell r="I455">
            <v>2000</v>
          </cell>
          <cell r="J455" t="str">
            <v>P</v>
          </cell>
          <cell r="K455" t="str">
            <v>IN</v>
          </cell>
          <cell r="L455" t="str">
            <v>KN</v>
          </cell>
          <cell r="Z455">
            <v>0</v>
          </cell>
          <cell r="AB455">
            <v>0</v>
          </cell>
          <cell r="AC455">
            <v>0</v>
          </cell>
          <cell r="AD455">
            <v>0</v>
          </cell>
          <cell r="AE455">
            <v>0</v>
          </cell>
        </row>
        <row r="456">
          <cell r="B456" t="str">
            <v>AD-KE-A99M307</v>
          </cell>
          <cell r="C456" t="str">
            <v>AD-A99M307</v>
          </cell>
          <cell r="D456" t="str">
            <v>AD-KE</v>
          </cell>
          <cell r="E456" t="str">
            <v>DIV-AD-KE</v>
          </cell>
          <cell r="F456" t="str">
            <v>DIV-KE</v>
          </cell>
          <cell r="G456" t="str">
            <v>A99M307</v>
          </cell>
          <cell r="H456" t="str">
            <v>DIV</v>
          </cell>
          <cell r="I456">
            <v>2000</v>
          </cell>
          <cell r="J456" t="str">
            <v>P</v>
          </cell>
          <cell r="K456" t="str">
            <v>AD</v>
          </cell>
          <cell r="L456" t="str">
            <v>KE</v>
          </cell>
          <cell r="Z456">
            <v>0</v>
          </cell>
          <cell r="AB456">
            <v>0</v>
          </cell>
          <cell r="AC456">
            <v>0</v>
          </cell>
          <cell r="AD456">
            <v>0</v>
          </cell>
          <cell r="AE456">
            <v>0</v>
          </cell>
        </row>
        <row r="457">
          <cell r="B457" t="str">
            <v>AD-KN-A99M307</v>
          </cell>
          <cell r="C457" t="str">
            <v>AD-A99M307</v>
          </cell>
          <cell r="D457" t="str">
            <v>AD-KN</v>
          </cell>
          <cell r="E457" t="str">
            <v>DIV-AD-KN</v>
          </cell>
          <cell r="F457" t="str">
            <v>DIV-KN</v>
          </cell>
          <cell r="G457" t="str">
            <v>A99M307</v>
          </cell>
          <cell r="H457" t="str">
            <v>DIV</v>
          </cell>
          <cell r="I457">
            <v>2000</v>
          </cell>
          <cell r="J457" t="str">
            <v>P</v>
          </cell>
          <cell r="K457" t="str">
            <v>AD</v>
          </cell>
          <cell r="L457" t="str">
            <v>KN</v>
          </cell>
          <cell r="Z457">
            <v>0</v>
          </cell>
          <cell r="AB457">
            <v>0</v>
          </cell>
          <cell r="AC457">
            <v>0</v>
          </cell>
          <cell r="AD457">
            <v>0</v>
          </cell>
          <cell r="AE457">
            <v>0</v>
          </cell>
        </row>
        <row r="458">
          <cell r="B458" t="str">
            <v>CO-KE-A99M307</v>
          </cell>
          <cell r="C458" t="str">
            <v>CO-A99M307</v>
          </cell>
          <cell r="D458" t="str">
            <v>CO-KE</v>
          </cell>
          <cell r="E458" t="str">
            <v>DIV-CO-KE</v>
          </cell>
          <cell r="F458" t="str">
            <v>DIV-KE</v>
          </cell>
          <cell r="G458" t="str">
            <v>A99M307</v>
          </cell>
          <cell r="H458" t="str">
            <v>DIV</v>
          </cell>
          <cell r="I458">
            <v>2000</v>
          </cell>
          <cell r="J458" t="str">
            <v>P</v>
          </cell>
          <cell r="K458" t="str">
            <v>CO</v>
          </cell>
          <cell r="L458" t="str">
            <v>KE</v>
          </cell>
          <cell r="Z458">
            <v>0</v>
          </cell>
          <cell r="AB458">
            <v>0</v>
          </cell>
          <cell r="AC458">
            <v>0</v>
          </cell>
          <cell r="AD458">
            <v>0</v>
          </cell>
          <cell r="AE458">
            <v>0</v>
          </cell>
        </row>
        <row r="459">
          <cell r="B459" t="str">
            <v>CO-KN-A99M307</v>
          </cell>
          <cell r="C459" t="str">
            <v>CO-A99M307</v>
          </cell>
          <cell r="D459" t="str">
            <v>CO-KN</v>
          </cell>
          <cell r="E459" t="str">
            <v>DIV-CO-KN</v>
          </cell>
          <cell r="F459" t="str">
            <v>DIV-KN</v>
          </cell>
          <cell r="G459" t="str">
            <v>A99M307</v>
          </cell>
          <cell r="H459" t="str">
            <v>DIV</v>
          </cell>
          <cell r="I459">
            <v>2000</v>
          </cell>
          <cell r="J459" t="str">
            <v>P</v>
          </cell>
          <cell r="K459" t="str">
            <v>CO</v>
          </cell>
          <cell r="L459" t="str">
            <v>KN</v>
          </cell>
          <cell r="Z459">
            <v>0</v>
          </cell>
          <cell r="AB459">
            <v>0</v>
          </cell>
          <cell r="AC459">
            <v>0</v>
          </cell>
          <cell r="AD459">
            <v>0</v>
          </cell>
          <cell r="AE459">
            <v>0</v>
          </cell>
        </row>
        <row r="460">
          <cell r="B460" t="str">
            <v>IN-KE-A99M307</v>
          </cell>
          <cell r="C460" t="str">
            <v>IN-A99M307</v>
          </cell>
          <cell r="D460" t="str">
            <v>IN-KE</v>
          </cell>
          <cell r="E460" t="str">
            <v>DIV-IN-KE</v>
          </cell>
          <cell r="F460" t="str">
            <v>DIV-KE</v>
          </cell>
          <cell r="G460" t="str">
            <v>A99M307</v>
          </cell>
          <cell r="H460" t="str">
            <v>DIV</v>
          </cell>
          <cell r="I460">
            <v>2000</v>
          </cell>
          <cell r="J460" t="str">
            <v>P</v>
          </cell>
          <cell r="K460" t="str">
            <v>IN</v>
          </cell>
          <cell r="L460" t="str">
            <v>KE</v>
          </cell>
          <cell r="Z460">
            <v>0</v>
          </cell>
          <cell r="AB460">
            <v>0</v>
          </cell>
          <cell r="AC460">
            <v>0</v>
          </cell>
          <cell r="AD460">
            <v>0</v>
          </cell>
          <cell r="AE460">
            <v>0</v>
          </cell>
        </row>
        <row r="461">
          <cell r="B461" t="str">
            <v>IN-KN-A99M307</v>
          </cell>
          <cell r="C461" t="str">
            <v>IN-A99M307</v>
          </cell>
          <cell r="D461" t="str">
            <v>IN-KN</v>
          </cell>
          <cell r="E461" t="str">
            <v>DIV-IN-KN</v>
          </cell>
          <cell r="F461" t="str">
            <v>DIV-KN</v>
          </cell>
          <cell r="G461" t="str">
            <v>A99M307</v>
          </cell>
          <cell r="H461" t="str">
            <v>DIV</v>
          </cell>
          <cell r="I461">
            <v>2000</v>
          </cell>
          <cell r="J461" t="str">
            <v>P</v>
          </cell>
          <cell r="K461" t="str">
            <v>IN</v>
          </cell>
          <cell r="L461" t="str">
            <v>KN</v>
          </cell>
          <cell r="Z461">
            <v>0</v>
          </cell>
          <cell r="AB461">
            <v>0</v>
          </cell>
          <cell r="AC461">
            <v>0</v>
          </cell>
          <cell r="AD461">
            <v>0</v>
          </cell>
          <cell r="AE461">
            <v>0</v>
          </cell>
        </row>
        <row r="462">
          <cell r="B462" t="str">
            <v>AD-KE-A99M309</v>
          </cell>
          <cell r="C462" t="str">
            <v>AD-A99M309</v>
          </cell>
          <cell r="D462" t="str">
            <v>AD-KE</v>
          </cell>
          <cell r="E462" t="str">
            <v>DIV-AD-KE</v>
          </cell>
          <cell r="F462" t="str">
            <v>DIV-KE</v>
          </cell>
          <cell r="G462" t="str">
            <v>A99M309</v>
          </cell>
          <cell r="H462" t="str">
            <v>DIV</v>
          </cell>
          <cell r="I462">
            <v>2000</v>
          </cell>
          <cell r="J462" t="str">
            <v>P</v>
          </cell>
          <cell r="K462" t="str">
            <v>AD</v>
          </cell>
          <cell r="L462" t="str">
            <v>KE</v>
          </cell>
          <cell r="Z462">
            <v>0</v>
          </cell>
          <cell r="AB462">
            <v>0</v>
          </cell>
          <cell r="AC462">
            <v>0</v>
          </cell>
          <cell r="AD462">
            <v>0</v>
          </cell>
          <cell r="AE462">
            <v>0</v>
          </cell>
        </row>
        <row r="463">
          <cell r="B463" t="str">
            <v>AD-KN-A99M309</v>
          </cell>
          <cell r="C463" t="str">
            <v>AD-A99M309</v>
          </cell>
          <cell r="D463" t="str">
            <v>AD-KN</v>
          </cell>
          <cell r="E463" t="str">
            <v>DIV-AD-KN</v>
          </cell>
          <cell r="F463" t="str">
            <v>DIV-KN</v>
          </cell>
          <cell r="G463" t="str">
            <v>A99M309</v>
          </cell>
          <cell r="H463" t="str">
            <v>DIV</v>
          </cell>
          <cell r="I463">
            <v>2000</v>
          </cell>
          <cell r="J463" t="str">
            <v>P</v>
          </cell>
          <cell r="K463" t="str">
            <v>AD</v>
          </cell>
          <cell r="L463" t="str">
            <v>KN</v>
          </cell>
          <cell r="Z463">
            <v>0</v>
          </cell>
          <cell r="AB463">
            <v>0</v>
          </cell>
          <cell r="AC463">
            <v>0</v>
          </cell>
          <cell r="AD463">
            <v>0</v>
          </cell>
          <cell r="AE463">
            <v>0</v>
          </cell>
        </row>
        <row r="464">
          <cell r="B464" t="str">
            <v>CO-KE-A99M309</v>
          </cell>
          <cell r="C464" t="str">
            <v>CO-A99M309</v>
          </cell>
          <cell r="D464" t="str">
            <v>CO-KE</v>
          </cell>
          <cell r="E464" t="str">
            <v>DIV-CO-KE</v>
          </cell>
          <cell r="F464" t="str">
            <v>DIV-KE</v>
          </cell>
          <cell r="G464" t="str">
            <v>A99M309</v>
          </cell>
          <cell r="H464" t="str">
            <v>DIV</v>
          </cell>
          <cell r="I464">
            <v>2000</v>
          </cell>
          <cell r="J464" t="str">
            <v>P</v>
          </cell>
          <cell r="K464" t="str">
            <v>CO</v>
          </cell>
          <cell r="L464" t="str">
            <v>KE</v>
          </cell>
          <cell r="Z464">
            <v>0</v>
          </cell>
          <cell r="AB464">
            <v>0</v>
          </cell>
          <cell r="AC464">
            <v>0</v>
          </cell>
          <cell r="AD464">
            <v>0</v>
          </cell>
          <cell r="AE464">
            <v>0</v>
          </cell>
        </row>
        <row r="465">
          <cell r="B465" t="str">
            <v>CO-KN-A99M309</v>
          </cell>
          <cell r="C465" t="str">
            <v>CO-A99M309</v>
          </cell>
          <cell r="D465" t="str">
            <v>CO-KN</v>
          </cell>
          <cell r="E465" t="str">
            <v>DIV-CO-KN</v>
          </cell>
          <cell r="F465" t="str">
            <v>DIV-KN</v>
          </cell>
          <cell r="G465" t="str">
            <v>A99M309</v>
          </cell>
          <cell r="H465" t="str">
            <v>DIV</v>
          </cell>
          <cell r="I465">
            <v>2000</v>
          </cell>
          <cell r="J465" t="str">
            <v>P</v>
          </cell>
          <cell r="K465" t="str">
            <v>CO</v>
          </cell>
          <cell r="L465" t="str">
            <v>KN</v>
          </cell>
          <cell r="Z465">
            <v>0</v>
          </cell>
          <cell r="AB465">
            <v>0</v>
          </cell>
          <cell r="AC465">
            <v>0</v>
          </cell>
          <cell r="AD465">
            <v>0</v>
          </cell>
          <cell r="AE465">
            <v>0</v>
          </cell>
        </row>
        <row r="466">
          <cell r="B466" t="str">
            <v>IN-KE-A99M309</v>
          </cell>
          <cell r="C466" t="str">
            <v>IN-A99M309</v>
          </cell>
          <cell r="D466" t="str">
            <v>IN-KE</v>
          </cell>
          <cell r="E466" t="str">
            <v>DIV-IN-KE</v>
          </cell>
          <cell r="F466" t="str">
            <v>DIV-KE</v>
          </cell>
          <cell r="G466" t="str">
            <v>A99M309</v>
          </cell>
          <cell r="H466" t="str">
            <v>DIV</v>
          </cell>
          <cell r="I466">
            <v>2000</v>
          </cell>
          <cell r="J466" t="str">
            <v>P</v>
          </cell>
          <cell r="K466" t="str">
            <v>IN</v>
          </cell>
          <cell r="L466" t="str">
            <v>KE</v>
          </cell>
          <cell r="Z466">
            <v>0</v>
          </cell>
          <cell r="AB466">
            <v>0</v>
          </cell>
          <cell r="AC466">
            <v>0</v>
          </cell>
          <cell r="AD466">
            <v>0</v>
          </cell>
          <cell r="AE466">
            <v>0</v>
          </cell>
        </row>
        <row r="467">
          <cell r="B467" t="str">
            <v>IN-KN-A99M309</v>
          </cell>
          <cell r="C467" t="str">
            <v>IN-A99M309</v>
          </cell>
          <cell r="D467" t="str">
            <v>IN-KN</v>
          </cell>
          <cell r="E467" t="str">
            <v>DIV-IN-KN</v>
          </cell>
          <cell r="F467" t="str">
            <v>DIV-KN</v>
          </cell>
          <cell r="G467" t="str">
            <v>A99M309</v>
          </cell>
          <cell r="H467" t="str">
            <v>DIV</v>
          </cell>
          <cell r="I467">
            <v>2000</v>
          </cell>
          <cell r="J467" t="str">
            <v>P</v>
          </cell>
          <cell r="K467" t="str">
            <v>IN</v>
          </cell>
          <cell r="L467" t="str">
            <v>KN</v>
          </cell>
          <cell r="Z467">
            <v>0</v>
          </cell>
          <cell r="AB467">
            <v>0</v>
          </cell>
          <cell r="AC467">
            <v>0</v>
          </cell>
          <cell r="AD467">
            <v>0</v>
          </cell>
          <cell r="AE467">
            <v>0</v>
          </cell>
        </row>
        <row r="468">
          <cell r="B468" t="str">
            <v>AD-KE-A99M310</v>
          </cell>
          <cell r="C468" t="str">
            <v>AD-A99M310</v>
          </cell>
          <cell r="D468" t="str">
            <v>AD-KE</v>
          </cell>
          <cell r="E468" t="str">
            <v>DIV-AD-KE</v>
          </cell>
          <cell r="F468" t="str">
            <v>DIV-KE</v>
          </cell>
          <cell r="G468" t="str">
            <v>A99M310</v>
          </cell>
          <cell r="H468" t="str">
            <v>DIV</v>
          </cell>
          <cell r="I468">
            <v>2000</v>
          </cell>
          <cell r="J468" t="str">
            <v>P</v>
          </cell>
          <cell r="K468" t="str">
            <v>AD</v>
          </cell>
          <cell r="L468" t="str">
            <v>KE</v>
          </cell>
          <cell r="Z468">
            <v>0</v>
          </cell>
          <cell r="AB468">
            <v>0</v>
          </cell>
          <cell r="AC468">
            <v>0</v>
          </cell>
          <cell r="AD468">
            <v>0</v>
          </cell>
          <cell r="AE468">
            <v>0</v>
          </cell>
        </row>
        <row r="469">
          <cell r="B469" t="str">
            <v>AD-KN-A99M310</v>
          </cell>
          <cell r="C469" t="str">
            <v>AD-A99M310</v>
          </cell>
          <cell r="D469" t="str">
            <v>AD-KN</v>
          </cell>
          <cell r="E469" t="str">
            <v>DIV-AD-KN</v>
          </cell>
          <cell r="F469" t="str">
            <v>DIV-KN</v>
          </cell>
          <cell r="G469" t="str">
            <v>A99M310</v>
          </cell>
          <cell r="H469" t="str">
            <v>DIV</v>
          </cell>
          <cell r="I469">
            <v>2000</v>
          </cell>
          <cell r="J469" t="str">
            <v>P</v>
          </cell>
          <cell r="K469" t="str">
            <v>AD</v>
          </cell>
          <cell r="L469" t="str">
            <v>KN</v>
          </cell>
          <cell r="Z469">
            <v>0</v>
          </cell>
          <cell r="AB469">
            <v>0</v>
          </cell>
          <cell r="AC469">
            <v>0</v>
          </cell>
          <cell r="AD469">
            <v>0</v>
          </cell>
          <cell r="AE469">
            <v>0</v>
          </cell>
        </row>
        <row r="470">
          <cell r="B470" t="str">
            <v>CO-KE-A99M310</v>
          </cell>
          <cell r="C470" t="str">
            <v>CO-A99M310</v>
          </cell>
          <cell r="D470" t="str">
            <v>CO-KE</v>
          </cell>
          <cell r="E470" t="str">
            <v>DIV-CO-KE</v>
          </cell>
          <cell r="F470" t="str">
            <v>DIV-KE</v>
          </cell>
          <cell r="G470" t="str">
            <v>A99M310</v>
          </cell>
          <cell r="H470" t="str">
            <v>DIV</v>
          </cell>
          <cell r="I470">
            <v>2000</v>
          </cell>
          <cell r="J470" t="str">
            <v>P</v>
          </cell>
          <cell r="K470" t="str">
            <v>CO</v>
          </cell>
          <cell r="L470" t="str">
            <v>KE</v>
          </cell>
          <cell r="Z470">
            <v>0</v>
          </cell>
          <cell r="AB470">
            <v>0</v>
          </cell>
          <cell r="AC470">
            <v>0</v>
          </cell>
          <cell r="AD470">
            <v>0</v>
          </cell>
          <cell r="AE470">
            <v>0</v>
          </cell>
        </row>
        <row r="471">
          <cell r="B471" t="str">
            <v>CO-KN-A99M310</v>
          </cell>
          <cell r="C471" t="str">
            <v>CO-A99M310</v>
          </cell>
          <cell r="D471" t="str">
            <v>CO-KN</v>
          </cell>
          <cell r="E471" t="str">
            <v>DIV-CO-KN</v>
          </cell>
          <cell r="F471" t="str">
            <v>DIV-KN</v>
          </cell>
          <cell r="G471" t="str">
            <v>A99M310</v>
          </cell>
          <cell r="H471" t="str">
            <v>DIV</v>
          </cell>
          <cell r="I471">
            <v>2000</v>
          </cell>
          <cell r="J471" t="str">
            <v>P</v>
          </cell>
          <cell r="K471" t="str">
            <v>CO</v>
          </cell>
          <cell r="L471" t="str">
            <v>KN</v>
          </cell>
          <cell r="Z471">
            <v>0</v>
          </cell>
          <cell r="AB471">
            <v>0</v>
          </cell>
          <cell r="AC471">
            <v>0</v>
          </cell>
          <cell r="AD471">
            <v>0</v>
          </cell>
          <cell r="AE471">
            <v>0</v>
          </cell>
        </row>
        <row r="472">
          <cell r="B472" t="str">
            <v>IN-KE-A99M310</v>
          </cell>
          <cell r="C472" t="str">
            <v>IN-A99M310</v>
          </cell>
          <cell r="D472" t="str">
            <v>IN-KE</v>
          </cell>
          <cell r="E472" t="str">
            <v>DIV-IN-KE</v>
          </cell>
          <cell r="F472" t="str">
            <v>DIV-KE</v>
          </cell>
          <cell r="G472" t="str">
            <v>A99M310</v>
          </cell>
          <cell r="H472" t="str">
            <v>DIV</v>
          </cell>
          <cell r="I472">
            <v>2000</v>
          </cell>
          <cell r="J472" t="str">
            <v>P</v>
          </cell>
          <cell r="K472" t="str">
            <v>IN</v>
          </cell>
          <cell r="L472" t="str">
            <v>KE</v>
          </cell>
          <cell r="Z472">
            <v>0</v>
          </cell>
          <cell r="AB472">
            <v>0</v>
          </cell>
          <cell r="AC472">
            <v>0</v>
          </cell>
          <cell r="AD472">
            <v>0</v>
          </cell>
          <cell r="AE472">
            <v>0</v>
          </cell>
        </row>
        <row r="473">
          <cell r="B473" t="str">
            <v>IN-KN-A99M310</v>
          </cell>
          <cell r="C473" t="str">
            <v>IN-A99M310</v>
          </cell>
          <cell r="D473" t="str">
            <v>IN-KN</v>
          </cell>
          <cell r="E473" t="str">
            <v>DIV-IN-KN</v>
          </cell>
          <cell r="F473" t="str">
            <v>DIV-KN</v>
          </cell>
          <cell r="G473" t="str">
            <v>A99M310</v>
          </cell>
          <cell r="H473" t="str">
            <v>DIV</v>
          </cell>
          <cell r="I473">
            <v>2000</v>
          </cell>
          <cell r="J473" t="str">
            <v>P</v>
          </cell>
          <cell r="K473" t="str">
            <v>IN</v>
          </cell>
          <cell r="L473" t="str">
            <v>KN</v>
          </cell>
          <cell r="Z473">
            <v>0</v>
          </cell>
          <cell r="AB473">
            <v>0</v>
          </cell>
          <cell r="AC473">
            <v>0</v>
          </cell>
          <cell r="AD473">
            <v>0</v>
          </cell>
          <cell r="AE473">
            <v>0</v>
          </cell>
        </row>
        <row r="474">
          <cell r="B474" t="str">
            <v>AD-KE-A99M312</v>
          </cell>
          <cell r="C474" t="str">
            <v>AD-A99M312</v>
          </cell>
          <cell r="D474" t="str">
            <v>AD-KE</v>
          </cell>
          <cell r="E474" t="str">
            <v>DIV-AD-KE</v>
          </cell>
          <cell r="F474" t="str">
            <v>DIV-KE</v>
          </cell>
          <cell r="G474" t="str">
            <v>A99M312</v>
          </cell>
          <cell r="H474" t="str">
            <v>DIV</v>
          </cell>
          <cell r="I474">
            <v>2000</v>
          </cell>
          <cell r="J474" t="str">
            <v>P</v>
          </cell>
          <cell r="K474" t="str">
            <v>AD</v>
          </cell>
          <cell r="L474" t="str">
            <v>KE</v>
          </cell>
          <cell r="Z474">
            <v>0</v>
          </cell>
          <cell r="AB474">
            <v>0</v>
          </cell>
          <cell r="AC474">
            <v>0</v>
          </cell>
          <cell r="AD474">
            <v>0</v>
          </cell>
          <cell r="AE474">
            <v>0</v>
          </cell>
        </row>
        <row r="475">
          <cell r="B475" t="str">
            <v>AD-KN-A99M312</v>
          </cell>
          <cell r="C475" t="str">
            <v>AD-A99M312</v>
          </cell>
          <cell r="D475" t="str">
            <v>AD-KN</v>
          </cell>
          <cell r="E475" t="str">
            <v>DIV-AD-KN</v>
          </cell>
          <cell r="F475" t="str">
            <v>DIV-KN</v>
          </cell>
          <cell r="G475" t="str">
            <v>A99M312</v>
          </cell>
          <cell r="H475" t="str">
            <v>DIV</v>
          </cell>
          <cell r="I475">
            <v>2000</v>
          </cell>
          <cell r="J475" t="str">
            <v>P</v>
          </cell>
          <cell r="K475" t="str">
            <v>AD</v>
          </cell>
          <cell r="L475" t="str">
            <v>KN</v>
          </cell>
          <cell r="Z475">
            <v>0</v>
          </cell>
          <cell r="AB475">
            <v>0</v>
          </cell>
          <cell r="AC475">
            <v>0</v>
          </cell>
          <cell r="AD475">
            <v>0</v>
          </cell>
          <cell r="AE475">
            <v>0</v>
          </cell>
        </row>
        <row r="476">
          <cell r="B476" t="str">
            <v>CO-KE-A99M312</v>
          </cell>
          <cell r="C476" t="str">
            <v>CO-A99M312</v>
          </cell>
          <cell r="D476" t="str">
            <v>CO-KE</v>
          </cell>
          <cell r="E476" t="str">
            <v>DIV-CO-KE</v>
          </cell>
          <cell r="F476" t="str">
            <v>DIV-KE</v>
          </cell>
          <cell r="G476" t="str">
            <v>A99M312</v>
          </cell>
          <cell r="H476" t="str">
            <v>DIV</v>
          </cell>
          <cell r="I476">
            <v>2000</v>
          </cell>
          <cell r="J476" t="str">
            <v>P</v>
          </cell>
          <cell r="K476" t="str">
            <v>CO</v>
          </cell>
          <cell r="L476" t="str">
            <v>KE</v>
          </cell>
          <cell r="Z476">
            <v>0</v>
          </cell>
          <cell r="AB476">
            <v>0</v>
          </cell>
          <cell r="AC476">
            <v>0</v>
          </cell>
          <cell r="AD476">
            <v>0</v>
          </cell>
          <cell r="AE476">
            <v>0</v>
          </cell>
        </row>
        <row r="477">
          <cell r="B477" t="str">
            <v>CO-KN-A99M312</v>
          </cell>
          <cell r="C477" t="str">
            <v>CO-A99M312</v>
          </cell>
          <cell r="D477" t="str">
            <v>CO-KN</v>
          </cell>
          <cell r="E477" t="str">
            <v>DIV-CO-KN</v>
          </cell>
          <cell r="F477" t="str">
            <v>DIV-KN</v>
          </cell>
          <cell r="G477" t="str">
            <v>A99M312</v>
          </cell>
          <cell r="H477" t="str">
            <v>DIV</v>
          </cell>
          <cell r="I477">
            <v>2000</v>
          </cell>
          <cell r="J477" t="str">
            <v>P</v>
          </cell>
          <cell r="K477" t="str">
            <v>CO</v>
          </cell>
          <cell r="L477" t="str">
            <v>KN</v>
          </cell>
          <cell r="Z477">
            <v>0</v>
          </cell>
          <cell r="AB477">
            <v>0</v>
          </cell>
          <cell r="AC477">
            <v>0</v>
          </cell>
          <cell r="AD477">
            <v>0</v>
          </cell>
          <cell r="AE477">
            <v>0</v>
          </cell>
        </row>
        <row r="478">
          <cell r="B478" t="str">
            <v>IN-KE-A99M312</v>
          </cell>
          <cell r="C478" t="str">
            <v>IN-A99M312</v>
          </cell>
          <cell r="D478" t="str">
            <v>IN-KE</v>
          </cell>
          <cell r="E478" t="str">
            <v>DIV-IN-KE</v>
          </cell>
          <cell r="F478" t="str">
            <v>DIV-KE</v>
          </cell>
          <cell r="G478" t="str">
            <v>A99M312</v>
          </cell>
          <cell r="H478" t="str">
            <v>DIV</v>
          </cell>
          <cell r="I478">
            <v>2000</v>
          </cell>
          <cell r="J478" t="str">
            <v>P</v>
          </cell>
          <cell r="K478" t="str">
            <v>IN</v>
          </cell>
          <cell r="L478" t="str">
            <v>KE</v>
          </cell>
          <cell r="Z478">
            <v>0</v>
          </cell>
          <cell r="AB478">
            <v>0</v>
          </cell>
          <cell r="AC478">
            <v>0</v>
          </cell>
          <cell r="AD478">
            <v>0</v>
          </cell>
          <cell r="AE478">
            <v>0</v>
          </cell>
        </row>
        <row r="479">
          <cell r="B479" t="str">
            <v>IN-KN-A99M312</v>
          </cell>
          <cell r="C479" t="str">
            <v>IN-A99M312</v>
          </cell>
          <cell r="D479" t="str">
            <v>IN-KN</v>
          </cell>
          <cell r="E479" t="str">
            <v>DIV-IN-KN</v>
          </cell>
          <cell r="F479" t="str">
            <v>DIV-KN</v>
          </cell>
          <cell r="G479" t="str">
            <v>A99M312</v>
          </cell>
          <cell r="H479" t="str">
            <v>DIV</v>
          </cell>
          <cell r="I479">
            <v>2000</v>
          </cell>
          <cell r="J479" t="str">
            <v>P</v>
          </cell>
          <cell r="K479" t="str">
            <v>IN</v>
          </cell>
          <cell r="L479" t="str">
            <v>KN</v>
          </cell>
          <cell r="Z479">
            <v>0</v>
          </cell>
          <cell r="AB479">
            <v>0</v>
          </cell>
          <cell r="AC479">
            <v>0</v>
          </cell>
          <cell r="AD479">
            <v>0</v>
          </cell>
          <cell r="AE479">
            <v>0</v>
          </cell>
        </row>
        <row r="480">
          <cell r="B480" t="str">
            <v>AD-KE-A99M314</v>
          </cell>
          <cell r="C480" t="str">
            <v>AD-A99M314</v>
          </cell>
          <cell r="D480" t="str">
            <v>AD-KE</v>
          </cell>
          <cell r="E480" t="str">
            <v>DIV-AD-KE</v>
          </cell>
          <cell r="F480" t="str">
            <v>DIV-KE</v>
          </cell>
          <cell r="G480" t="str">
            <v>A99M314</v>
          </cell>
          <cell r="H480" t="str">
            <v>DIV</v>
          </cell>
          <cell r="I480">
            <v>2000</v>
          </cell>
          <cell r="J480" t="str">
            <v>P</v>
          </cell>
          <cell r="K480" t="str">
            <v>AD</v>
          </cell>
          <cell r="L480" t="str">
            <v>KE</v>
          </cell>
          <cell r="Z480">
            <v>0</v>
          </cell>
          <cell r="AB480">
            <v>0</v>
          </cell>
          <cell r="AC480">
            <v>0</v>
          </cell>
          <cell r="AD480">
            <v>0</v>
          </cell>
          <cell r="AE480">
            <v>0</v>
          </cell>
        </row>
        <row r="481">
          <cell r="B481" t="str">
            <v>AD-KN-A99M314</v>
          </cell>
          <cell r="C481" t="str">
            <v>AD-A99M314</v>
          </cell>
          <cell r="D481" t="str">
            <v>AD-KN</v>
          </cell>
          <cell r="E481" t="str">
            <v>DIV-AD-KN</v>
          </cell>
          <cell r="F481" t="str">
            <v>DIV-KN</v>
          </cell>
          <cell r="G481" t="str">
            <v>A99M314</v>
          </cell>
          <cell r="H481" t="str">
            <v>DIV</v>
          </cell>
          <cell r="I481">
            <v>2000</v>
          </cell>
          <cell r="J481" t="str">
            <v>P</v>
          </cell>
          <cell r="K481" t="str">
            <v>AD</v>
          </cell>
          <cell r="L481" t="str">
            <v>KN</v>
          </cell>
          <cell r="Z481">
            <v>0</v>
          </cell>
          <cell r="AB481">
            <v>0</v>
          </cell>
          <cell r="AC481">
            <v>0</v>
          </cell>
          <cell r="AD481">
            <v>0</v>
          </cell>
          <cell r="AE481">
            <v>0</v>
          </cell>
        </row>
        <row r="482">
          <cell r="B482" t="str">
            <v>CO-KE-A99M314</v>
          </cell>
          <cell r="C482" t="str">
            <v>CO-A99M314</v>
          </cell>
          <cell r="D482" t="str">
            <v>CO-KE</v>
          </cell>
          <cell r="E482" t="str">
            <v>DIV-CO-KE</v>
          </cell>
          <cell r="F482" t="str">
            <v>DIV-KE</v>
          </cell>
          <cell r="G482" t="str">
            <v>A99M314</v>
          </cell>
          <cell r="H482" t="str">
            <v>DIV</v>
          </cell>
          <cell r="I482">
            <v>2000</v>
          </cell>
          <cell r="J482" t="str">
            <v>P</v>
          </cell>
          <cell r="K482" t="str">
            <v>CO</v>
          </cell>
          <cell r="L482" t="str">
            <v>KE</v>
          </cell>
          <cell r="Z482">
            <v>0</v>
          </cell>
          <cell r="AB482">
            <v>0</v>
          </cell>
          <cell r="AC482">
            <v>0</v>
          </cell>
          <cell r="AD482">
            <v>0</v>
          </cell>
          <cell r="AE482">
            <v>0</v>
          </cell>
        </row>
        <row r="483">
          <cell r="B483" t="str">
            <v>CO-KN-A99M314</v>
          </cell>
          <cell r="C483" t="str">
            <v>CO-A99M314</v>
          </cell>
          <cell r="D483" t="str">
            <v>CO-KN</v>
          </cell>
          <cell r="E483" t="str">
            <v>DIV-CO-KN</v>
          </cell>
          <cell r="F483" t="str">
            <v>DIV-KN</v>
          </cell>
          <cell r="G483" t="str">
            <v>A99M314</v>
          </cell>
          <cell r="H483" t="str">
            <v>DIV</v>
          </cell>
          <cell r="I483">
            <v>2000</v>
          </cell>
          <cell r="J483" t="str">
            <v>P</v>
          </cell>
          <cell r="K483" t="str">
            <v>CO</v>
          </cell>
          <cell r="L483" t="str">
            <v>KN</v>
          </cell>
          <cell r="Z483">
            <v>0</v>
          </cell>
          <cell r="AB483">
            <v>0</v>
          </cell>
          <cell r="AC483">
            <v>0</v>
          </cell>
          <cell r="AD483">
            <v>0</v>
          </cell>
          <cell r="AE483">
            <v>0</v>
          </cell>
        </row>
        <row r="484">
          <cell r="B484" t="str">
            <v>IN-KE-A99M314</v>
          </cell>
          <cell r="C484" t="str">
            <v>IN-A99M314</v>
          </cell>
          <cell r="D484" t="str">
            <v>IN-KE</v>
          </cell>
          <cell r="E484" t="str">
            <v>DIV-IN-KE</v>
          </cell>
          <cell r="F484" t="str">
            <v>DIV-KE</v>
          </cell>
          <cell r="G484" t="str">
            <v>A99M314</v>
          </cell>
          <cell r="H484" t="str">
            <v>DIV</v>
          </cell>
          <cell r="I484">
            <v>2000</v>
          </cell>
          <cell r="J484" t="str">
            <v>P</v>
          </cell>
          <cell r="K484" t="str">
            <v>IN</v>
          </cell>
          <cell r="L484" t="str">
            <v>KE</v>
          </cell>
          <cell r="Z484">
            <v>0</v>
          </cell>
          <cell r="AB484">
            <v>0</v>
          </cell>
          <cell r="AC484">
            <v>0</v>
          </cell>
          <cell r="AD484">
            <v>0</v>
          </cell>
          <cell r="AE484">
            <v>0</v>
          </cell>
        </row>
        <row r="485">
          <cell r="B485" t="str">
            <v>IN-KN-A99M314</v>
          </cell>
          <cell r="C485" t="str">
            <v>IN-A99M314</v>
          </cell>
          <cell r="D485" t="str">
            <v>IN-KN</v>
          </cell>
          <cell r="E485" t="str">
            <v>DIV-IN-KN</v>
          </cell>
          <cell r="F485" t="str">
            <v>DIV-KN</v>
          </cell>
          <cell r="G485" t="str">
            <v>A99M314</v>
          </cell>
          <cell r="H485" t="str">
            <v>DIV</v>
          </cell>
          <cell r="I485">
            <v>2000</v>
          </cell>
          <cell r="J485" t="str">
            <v>P</v>
          </cell>
          <cell r="K485" t="str">
            <v>IN</v>
          </cell>
          <cell r="L485" t="str">
            <v>KN</v>
          </cell>
          <cell r="Z485">
            <v>0</v>
          </cell>
          <cell r="AB485">
            <v>0</v>
          </cell>
          <cell r="AC485">
            <v>0</v>
          </cell>
          <cell r="AD485">
            <v>0</v>
          </cell>
          <cell r="AE485">
            <v>0</v>
          </cell>
        </row>
        <row r="486">
          <cell r="B486" t="str">
            <v>AD-KE-981002-1</v>
          </cell>
          <cell r="C486" t="str">
            <v>AD-981002-1</v>
          </cell>
          <cell r="D486" t="str">
            <v>AD-KE</v>
          </cell>
          <cell r="E486" t="str">
            <v>OTR-AD-KE</v>
          </cell>
          <cell r="F486" t="str">
            <v>OTR-KE</v>
          </cell>
          <cell r="G486" t="str">
            <v>981002-1</v>
          </cell>
          <cell r="H486" t="str">
            <v>OTR</v>
          </cell>
          <cell r="I486">
            <v>1999</v>
          </cell>
          <cell r="J486" t="str">
            <v>P</v>
          </cell>
          <cell r="K486" t="str">
            <v>AD</v>
          </cell>
          <cell r="L486" t="str">
            <v>KE</v>
          </cell>
          <cell r="Z486">
            <v>0</v>
          </cell>
          <cell r="AB486">
            <v>0</v>
          </cell>
          <cell r="AC486">
            <v>0</v>
          </cell>
          <cell r="AD486">
            <v>0</v>
          </cell>
          <cell r="AE486">
            <v>0</v>
          </cell>
        </row>
        <row r="487">
          <cell r="B487" t="str">
            <v>AD-KN-981002-1</v>
          </cell>
          <cell r="C487" t="str">
            <v>AD-981002-1</v>
          </cell>
          <cell r="D487" t="str">
            <v>AD-KN</v>
          </cell>
          <cell r="E487" t="str">
            <v>OTR-AD-KN</v>
          </cell>
          <cell r="F487" t="str">
            <v>OTR-KN</v>
          </cell>
          <cell r="G487" t="str">
            <v>981002-1</v>
          </cell>
          <cell r="H487" t="str">
            <v>OTR</v>
          </cell>
          <cell r="I487">
            <v>1999</v>
          </cell>
          <cell r="J487" t="str">
            <v>P</v>
          </cell>
          <cell r="K487" t="str">
            <v>AD</v>
          </cell>
          <cell r="L487" t="str">
            <v>KN</v>
          </cell>
          <cell r="Z487">
            <v>0</v>
          </cell>
          <cell r="AB487">
            <v>0</v>
          </cell>
          <cell r="AC487">
            <v>0</v>
          </cell>
          <cell r="AD487">
            <v>0</v>
          </cell>
          <cell r="AE487">
            <v>0</v>
          </cell>
        </row>
        <row r="488">
          <cell r="B488" t="str">
            <v>CO-KE-981002-1</v>
          </cell>
          <cell r="C488" t="str">
            <v>CO-981002-1</v>
          </cell>
          <cell r="D488" t="str">
            <v>CO-KE</v>
          </cell>
          <cell r="E488" t="str">
            <v>OTR-CO-KE</v>
          </cell>
          <cell r="F488" t="str">
            <v>OTR-KE</v>
          </cell>
          <cell r="G488" t="str">
            <v>981002-1</v>
          </cell>
          <cell r="H488" t="str">
            <v>OTR</v>
          </cell>
          <cell r="I488">
            <v>1999</v>
          </cell>
          <cell r="J488" t="str">
            <v>P</v>
          </cell>
          <cell r="K488" t="str">
            <v>CO</v>
          </cell>
          <cell r="L488" t="str">
            <v>KE</v>
          </cell>
          <cell r="Z488">
            <v>0</v>
          </cell>
          <cell r="AB488">
            <v>0</v>
          </cell>
          <cell r="AC488">
            <v>0</v>
          </cell>
          <cell r="AD488">
            <v>0</v>
          </cell>
          <cell r="AE488">
            <v>0</v>
          </cell>
        </row>
        <row r="489">
          <cell r="B489" t="str">
            <v>CO-KN-981002-1</v>
          </cell>
          <cell r="C489" t="str">
            <v>CO-981002-1</v>
          </cell>
          <cell r="D489" t="str">
            <v>CO-KN</v>
          </cell>
          <cell r="E489" t="str">
            <v>OTR-CO-KN</v>
          </cell>
          <cell r="F489" t="str">
            <v>OTR-KN</v>
          </cell>
          <cell r="G489" t="str">
            <v>981002-1</v>
          </cell>
          <cell r="H489" t="str">
            <v>OTR</v>
          </cell>
          <cell r="I489">
            <v>1999</v>
          </cell>
          <cell r="J489" t="str">
            <v>P</v>
          </cell>
          <cell r="K489" t="str">
            <v>CO</v>
          </cell>
          <cell r="L489" t="str">
            <v>KN</v>
          </cell>
          <cell r="Z489">
            <v>0</v>
          </cell>
          <cell r="AB489">
            <v>0</v>
          </cell>
          <cell r="AC489">
            <v>0</v>
          </cell>
          <cell r="AD489">
            <v>0</v>
          </cell>
          <cell r="AE489">
            <v>0</v>
          </cell>
        </row>
        <row r="490">
          <cell r="B490" t="str">
            <v>IN-KE-981002-1</v>
          </cell>
          <cell r="C490" t="str">
            <v>IN-981002-1</v>
          </cell>
          <cell r="D490" t="str">
            <v>IN-KE</v>
          </cell>
          <cell r="E490" t="str">
            <v>OTR-IN-KE</v>
          </cell>
          <cell r="F490" t="str">
            <v>OTR-KE</v>
          </cell>
          <cell r="G490" t="str">
            <v>981002-1</v>
          </cell>
          <cell r="H490" t="str">
            <v>OTR</v>
          </cell>
          <cell r="I490">
            <v>1999</v>
          </cell>
          <cell r="J490" t="str">
            <v>P</v>
          </cell>
          <cell r="K490" t="str">
            <v>IN</v>
          </cell>
          <cell r="L490" t="str">
            <v>KE</v>
          </cell>
          <cell r="Z490">
            <v>0</v>
          </cell>
          <cell r="AB490">
            <v>0</v>
          </cell>
          <cell r="AC490">
            <v>0</v>
          </cell>
          <cell r="AD490">
            <v>0</v>
          </cell>
          <cell r="AE490">
            <v>0</v>
          </cell>
        </row>
        <row r="491">
          <cell r="B491" t="str">
            <v>IN-KN-981002-1</v>
          </cell>
          <cell r="C491" t="str">
            <v>IN-981002-1</v>
          </cell>
          <cell r="D491" t="str">
            <v>IN-KN</v>
          </cell>
          <cell r="E491" t="str">
            <v>OTR-IN-KN</v>
          </cell>
          <cell r="F491" t="str">
            <v>OTR-KN</v>
          </cell>
          <cell r="G491" t="str">
            <v>981002-1</v>
          </cell>
          <cell r="H491" t="str">
            <v>OTR</v>
          </cell>
          <cell r="I491">
            <v>1999</v>
          </cell>
          <cell r="J491" t="str">
            <v>P</v>
          </cell>
          <cell r="K491" t="str">
            <v>IN</v>
          </cell>
          <cell r="L491" t="str">
            <v>KN</v>
          </cell>
          <cell r="Z491">
            <v>0</v>
          </cell>
          <cell r="AB491">
            <v>0</v>
          </cell>
          <cell r="AC491">
            <v>0</v>
          </cell>
          <cell r="AD491">
            <v>0</v>
          </cell>
          <cell r="AE491">
            <v>0</v>
          </cell>
        </row>
        <row r="492">
          <cell r="B492" t="str">
            <v>AD-KE-981501-1</v>
          </cell>
          <cell r="C492" t="str">
            <v>AD-981501-1</v>
          </cell>
          <cell r="D492" t="str">
            <v>AD-KE</v>
          </cell>
          <cell r="E492" t="str">
            <v>PRI-AD-KE</v>
          </cell>
          <cell r="F492" t="str">
            <v>PRI-KE</v>
          </cell>
          <cell r="G492" t="str">
            <v>981501-1</v>
          </cell>
          <cell r="H492" t="str">
            <v>PRI</v>
          </cell>
          <cell r="I492">
            <v>2000</v>
          </cell>
          <cell r="J492" t="str">
            <v>P</v>
          </cell>
          <cell r="K492" t="str">
            <v>AD</v>
          </cell>
          <cell r="L492" t="str">
            <v>KE</v>
          </cell>
          <cell r="Z492">
            <v>0</v>
          </cell>
          <cell r="AB492">
            <v>0</v>
          </cell>
          <cell r="AC492">
            <v>0</v>
          </cell>
          <cell r="AD492">
            <v>0</v>
          </cell>
          <cell r="AE492">
            <v>0</v>
          </cell>
        </row>
        <row r="493">
          <cell r="B493" t="str">
            <v>AD-KN-981501-1</v>
          </cell>
          <cell r="C493" t="str">
            <v>AD-981501-1</v>
          </cell>
          <cell r="D493" t="str">
            <v>AD-KN</v>
          </cell>
          <cell r="E493" t="str">
            <v>PRI-AD-KN</v>
          </cell>
          <cell r="F493" t="str">
            <v>PRI-KN</v>
          </cell>
          <cell r="G493" t="str">
            <v>981501-1</v>
          </cell>
          <cell r="H493" t="str">
            <v>PRI</v>
          </cell>
          <cell r="I493">
            <v>2000</v>
          </cell>
          <cell r="J493" t="str">
            <v>P</v>
          </cell>
          <cell r="K493" t="str">
            <v>AD</v>
          </cell>
          <cell r="L493" t="str">
            <v>KN</v>
          </cell>
          <cell r="Z493">
            <v>0</v>
          </cell>
          <cell r="AB493">
            <v>0</v>
          </cell>
          <cell r="AC493">
            <v>0</v>
          </cell>
          <cell r="AD493">
            <v>0</v>
          </cell>
          <cell r="AE493">
            <v>0</v>
          </cell>
        </row>
        <row r="494">
          <cell r="B494" t="str">
            <v>CO-KE-981501-1</v>
          </cell>
          <cell r="C494" t="str">
            <v>CO-981501-1</v>
          </cell>
          <cell r="D494" t="str">
            <v>CO-KE</v>
          </cell>
          <cell r="E494" t="str">
            <v>PRI-CO-KE</v>
          </cell>
          <cell r="F494" t="str">
            <v>PRI-KE</v>
          </cell>
          <cell r="G494" t="str">
            <v>981501-1</v>
          </cell>
          <cell r="H494" t="str">
            <v>PRI</v>
          </cell>
          <cell r="I494">
            <v>2000</v>
          </cell>
          <cell r="J494" t="str">
            <v>P</v>
          </cell>
          <cell r="K494" t="str">
            <v>CO</v>
          </cell>
          <cell r="L494" t="str">
            <v>KE</v>
          </cell>
          <cell r="Z494">
            <v>0</v>
          </cell>
          <cell r="AB494">
            <v>0</v>
          </cell>
          <cell r="AC494">
            <v>0</v>
          </cell>
          <cell r="AD494">
            <v>0</v>
          </cell>
          <cell r="AE494">
            <v>0</v>
          </cell>
        </row>
        <row r="495">
          <cell r="B495" t="str">
            <v>CO-KN-981501-1</v>
          </cell>
          <cell r="C495" t="str">
            <v>CO-981501-1</v>
          </cell>
          <cell r="D495" t="str">
            <v>CO-KN</v>
          </cell>
          <cell r="E495" t="str">
            <v>PRI-CO-KN</v>
          </cell>
          <cell r="F495" t="str">
            <v>PRI-KN</v>
          </cell>
          <cell r="G495" t="str">
            <v>981501-1</v>
          </cell>
          <cell r="H495" t="str">
            <v>PRI</v>
          </cell>
          <cell r="I495">
            <v>2000</v>
          </cell>
          <cell r="J495" t="str">
            <v>P</v>
          </cell>
          <cell r="K495" t="str">
            <v>CO</v>
          </cell>
          <cell r="L495" t="str">
            <v>KN</v>
          </cell>
          <cell r="Z495">
            <v>0</v>
          </cell>
          <cell r="AB495">
            <v>0</v>
          </cell>
          <cell r="AC495">
            <v>0</v>
          </cell>
          <cell r="AD495">
            <v>0</v>
          </cell>
          <cell r="AE495">
            <v>0</v>
          </cell>
        </row>
        <row r="496">
          <cell r="B496" t="str">
            <v>IN-KE-981501-1</v>
          </cell>
          <cell r="C496" t="str">
            <v>IN-981501-1</v>
          </cell>
          <cell r="D496" t="str">
            <v>IN-KE</v>
          </cell>
          <cell r="E496" t="str">
            <v>PRI-IN-KE</v>
          </cell>
          <cell r="F496" t="str">
            <v>PRI-KE</v>
          </cell>
          <cell r="G496" t="str">
            <v>981501-1</v>
          </cell>
          <cell r="H496" t="str">
            <v>PRI</v>
          </cell>
          <cell r="I496">
            <v>2000</v>
          </cell>
          <cell r="J496" t="str">
            <v>P</v>
          </cell>
          <cell r="K496" t="str">
            <v>IN</v>
          </cell>
          <cell r="L496" t="str">
            <v>KE</v>
          </cell>
          <cell r="Z496">
            <v>0</v>
          </cell>
          <cell r="AB496">
            <v>0</v>
          </cell>
          <cell r="AC496">
            <v>0</v>
          </cell>
          <cell r="AD496">
            <v>0</v>
          </cell>
          <cell r="AE496">
            <v>0</v>
          </cell>
        </row>
        <row r="497">
          <cell r="B497" t="str">
            <v>IN-KN-981501-1</v>
          </cell>
          <cell r="C497" t="str">
            <v>IN-981501-1</v>
          </cell>
          <cell r="D497" t="str">
            <v>IN-KN</v>
          </cell>
          <cell r="E497" t="str">
            <v>PRI-IN-KN</v>
          </cell>
          <cell r="F497" t="str">
            <v>PRI-KN</v>
          </cell>
          <cell r="G497" t="str">
            <v>981501-1</v>
          </cell>
          <cell r="H497" t="str">
            <v>PRI</v>
          </cell>
          <cell r="I497">
            <v>2000</v>
          </cell>
          <cell r="J497" t="str">
            <v>P</v>
          </cell>
          <cell r="K497" t="str">
            <v>IN</v>
          </cell>
          <cell r="L497" t="str">
            <v>KN</v>
          </cell>
          <cell r="Z497">
            <v>0</v>
          </cell>
          <cell r="AB497">
            <v>0</v>
          </cell>
          <cell r="AC497">
            <v>0</v>
          </cell>
          <cell r="AD497">
            <v>0</v>
          </cell>
          <cell r="AE497">
            <v>0</v>
          </cell>
        </row>
        <row r="498">
          <cell r="B498" t="str">
            <v>AD-KE-981501-2</v>
          </cell>
          <cell r="C498" t="str">
            <v>AD-981501-2</v>
          </cell>
          <cell r="D498" t="str">
            <v>AD-KE</v>
          </cell>
          <cell r="E498" t="str">
            <v>PRI-AD-KE</v>
          </cell>
          <cell r="F498" t="str">
            <v>PRI-KE</v>
          </cell>
          <cell r="G498" t="str">
            <v>981501-2</v>
          </cell>
          <cell r="H498" t="str">
            <v>PRI</v>
          </cell>
          <cell r="I498">
            <v>1999</v>
          </cell>
          <cell r="J498" t="str">
            <v>P</v>
          </cell>
          <cell r="K498" t="str">
            <v>AD</v>
          </cell>
          <cell r="L498" t="str">
            <v>KE</v>
          </cell>
          <cell r="Z498">
            <v>0</v>
          </cell>
          <cell r="AB498">
            <v>0</v>
          </cell>
          <cell r="AC498">
            <v>0</v>
          </cell>
          <cell r="AD498">
            <v>0</v>
          </cell>
          <cell r="AE498">
            <v>0</v>
          </cell>
        </row>
        <row r="499">
          <cell r="B499" t="str">
            <v>AD-KN-981501-2</v>
          </cell>
          <cell r="C499" t="str">
            <v>AD-981501-2</v>
          </cell>
          <cell r="D499" t="str">
            <v>AD-KN</v>
          </cell>
          <cell r="E499" t="str">
            <v>PRI-AD-KN</v>
          </cell>
          <cell r="F499" t="str">
            <v>PRI-KN</v>
          </cell>
          <cell r="G499" t="str">
            <v>981501-2</v>
          </cell>
          <cell r="H499" t="str">
            <v>PRI</v>
          </cell>
          <cell r="I499">
            <v>1999</v>
          </cell>
          <cell r="J499" t="str">
            <v>P</v>
          </cell>
          <cell r="K499" t="str">
            <v>AD</v>
          </cell>
          <cell r="L499" t="str">
            <v>KN</v>
          </cell>
          <cell r="Z499">
            <v>0</v>
          </cell>
          <cell r="AB499">
            <v>0</v>
          </cell>
          <cell r="AC499">
            <v>0</v>
          </cell>
          <cell r="AD499">
            <v>0</v>
          </cell>
          <cell r="AE499">
            <v>0</v>
          </cell>
        </row>
        <row r="500">
          <cell r="B500" t="str">
            <v>CO-KE-981501-2</v>
          </cell>
          <cell r="C500" t="str">
            <v>CO-981501-2</v>
          </cell>
          <cell r="D500" t="str">
            <v>CO-KE</v>
          </cell>
          <cell r="E500" t="str">
            <v>PRI-CO-KE</v>
          </cell>
          <cell r="F500" t="str">
            <v>PRI-KE</v>
          </cell>
          <cell r="G500" t="str">
            <v>981501-2</v>
          </cell>
          <cell r="H500" t="str">
            <v>PRI</v>
          </cell>
          <cell r="I500">
            <v>1999</v>
          </cell>
          <cell r="J500" t="str">
            <v>P</v>
          </cell>
          <cell r="K500" t="str">
            <v>CO</v>
          </cell>
          <cell r="L500" t="str">
            <v>KE</v>
          </cell>
          <cell r="Z500">
            <v>0</v>
          </cell>
          <cell r="AB500">
            <v>0</v>
          </cell>
          <cell r="AC500">
            <v>0</v>
          </cell>
          <cell r="AD500">
            <v>0</v>
          </cell>
          <cell r="AE500">
            <v>0</v>
          </cell>
        </row>
        <row r="501">
          <cell r="B501" t="str">
            <v>CO-KN-981501-2</v>
          </cell>
          <cell r="C501" t="str">
            <v>CO-981501-2</v>
          </cell>
          <cell r="D501" t="str">
            <v>CO-KN</v>
          </cell>
          <cell r="E501" t="str">
            <v>PRI-CO-KN</v>
          </cell>
          <cell r="F501" t="str">
            <v>PRI-KN</v>
          </cell>
          <cell r="G501" t="str">
            <v>981501-2</v>
          </cell>
          <cell r="H501" t="str">
            <v>PRI</v>
          </cell>
          <cell r="I501">
            <v>1999</v>
          </cell>
          <cell r="J501" t="str">
            <v>P</v>
          </cell>
          <cell r="K501" t="str">
            <v>CO</v>
          </cell>
          <cell r="L501" t="str">
            <v>KN</v>
          </cell>
          <cell r="Z501">
            <v>0</v>
          </cell>
          <cell r="AB501">
            <v>0</v>
          </cell>
          <cell r="AC501">
            <v>0</v>
          </cell>
          <cell r="AD501">
            <v>0</v>
          </cell>
          <cell r="AE501">
            <v>0</v>
          </cell>
        </row>
        <row r="502">
          <cell r="B502" t="str">
            <v>IN-KE-981501-2</v>
          </cell>
          <cell r="C502" t="str">
            <v>IN-981501-2</v>
          </cell>
          <cell r="D502" t="str">
            <v>IN-KE</v>
          </cell>
          <cell r="E502" t="str">
            <v>PRI-IN-KE</v>
          </cell>
          <cell r="F502" t="str">
            <v>PRI-KE</v>
          </cell>
          <cell r="G502" t="str">
            <v>981501-2</v>
          </cell>
          <cell r="H502" t="str">
            <v>PRI</v>
          </cell>
          <cell r="I502">
            <v>1999</v>
          </cell>
          <cell r="J502" t="str">
            <v>P</v>
          </cell>
          <cell r="K502" t="str">
            <v>IN</v>
          </cell>
          <cell r="L502" t="str">
            <v>KE</v>
          </cell>
          <cell r="Z502">
            <v>0</v>
          </cell>
          <cell r="AB502">
            <v>0</v>
          </cell>
          <cell r="AC502">
            <v>0</v>
          </cell>
          <cell r="AD502">
            <v>0</v>
          </cell>
          <cell r="AE502">
            <v>0</v>
          </cell>
        </row>
        <row r="503">
          <cell r="B503" t="str">
            <v>IN-KN-981501-2</v>
          </cell>
          <cell r="C503" t="str">
            <v>IN-981501-2</v>
          </cell>
          <cell r="D503" t="str">
            <v>IN-KN</v>
          </cell>
          <cell r="E503" t="str">
            <v>PRI-IN-KN</v>
          </cell>
          <cell r="F503" t="str">
            <v>PRI-KN</v>
          </cell>
          <cell r="G503" t="str">
            <v>981501-2</v>
          </cell>
          <cell r="H503" t="str">
            <v>PRI</v>
          </cell>
          <cell r="I503">
            <v>1999</v>
          </cell>
          <cell r="J503" t="str">
            <v>P</v>
          </cell>
          <cell r="K503" t="str">
            <v>IN</v>
          </cell>
          <cell r="L503" t="str">
            <v>KN</v>
          </cell>
          <cell r="Z503">
            <v>0</v>
          </cell>
          <cell r="AB503">
            <v>0</v>
          </cell>
          <cell r="AC503">
            <v>0</v>
          </cell>
          <cell r="AD503">
            <v>0</v>
          </cell>
          <cell r="AE503">
            <v>0</v>
          </cell>
        </row>
      </sheetData>
      <sheetData sheetId="4" refreshError="1">
        <row r="6">
          <cell r="B6" t="str">
            <v>AD-KE-930801</v>
          </cell>
          <cell r="C6" t="str">
            <v>AD-930801</v>
          </cell>
          <cell r="D6" t="str">
            <v>AD-KE</v>
          </cell>
          <cell r="E6" t="str">
            <v>PRI-AD-KE</v>
          </cell>
          <cell r="F6" t="str">
            <v>PRI-KE</v>
          </cell>
          <cell r="G6">
            <v>930801</v>
          </cell>
          <cell r="H6" t="str">
            <v>PRI</v>
          </cell>
          <cell r="I6">
            <v>1999</v>
          </cell>
          <cell r="J6" t="str">
            <v>I</v>
          </cell>
          <cell r="K6" t="str">
            <v>AD</v>
          </cell>
          <cell r="L6" t="str">
            <v>KE</v>
          </cell>
          <cell r="Y6">
            <v>0</v>
          </cell>
          <cell r="Z6">
            <v>0</v>
          </cell>
          <cell r="AA6">
            <v>0</v>
          </cell>
          <cell r="AB6">
            <v>0</v>
          </cell>
          <cell r="AC6">
            <v>0</v>
          </cell>
          <cell r="AD6">
            <v>0</v>
          </cell>
          <cell r="AE6">
            <v>0</v>
          </cell>
          <cell r="AF6">
            <v>0</v>
          </cell>
        </row>
        <row r="7">
          <cell r="B7" t="str">
            <v>AD-KN-930801</v>
          </cell>
          <cell r="C7" t="str">
            <v>AD-930801</v>
          </cell>
          <cell r="D7" t="str">
            <v>AD-KN</v>
          </cell>
          <cell r="E7" t="str">
            <v>PRI-AD-KN</v>
          </cell>
          <cell r="F7" t="str">
            <v>PRI-KN</v>
          </cell>
          <cell r="G7">
            <v>930801</v>
          </cell>
          <cell r="H7" t="str">
            <v>PRI</v>
          </cell>
          <cell r="I7">
            <v>1999</v>
          </cell>
          <cell r="J7" t="str">
            <v>I</v>
          </cell>
          <cell r="K7" t="str">
            <v>AD</v>
          </cell>
          <cell r="L7" t="str">
            <v>KN</v>
          </cell>
          <cell r="Y7">
            <v>0</v>
          </cell>
          <cell r="Z7">
            <v>0</v>
          </cell>
          <cell r="AA7">
            <v>0</v>
          </cell>
          <cell r="AB7">
            <v>0</v>
          </cell>
          <cell r="AC7">
            <v>0</v>
          </cell>
          <cell r="AD7">
            <v>0</v>
          </cell>
          <cell r="AE7">
            <v>0</v>
          </cell>
          <cell r="AF7">
            <v>0</v>
          </cell>
        </row>
        <row r="8">
          <cell r="B8" t="str">
            <v>CO-KE-930801</v>
          </cell>
          <cell r="C8" t="str">
            <v>CO-930801</v>
          </cell>
          <cell r="D8" t="str">
            <v>CO-KE</v>
          </cell>
          <cell r="E8" t="str">
            <v>PRI-CO-KE</v>
          </cell>
          <cell r="F8" t="str">
            <v>PRI-KE</v>
          </cell>
          <cell r="G8">
            <v>930801</v>
          </cell>
          <cell r="H8" t="str">
            <v>PRI</v>
          </cell>
          <cell r="I8">
            <v>1999</v>
          </cell>
          <cell r="J8" t="str">
            <v>I</v>
          </cell>
          <cell r="K8" t="str">
            <v>CO</v>
          </cell>
          <cell r="L8" t="str">
            <v>KE</v>
          </cell>
          <cell r="Y8">
            <v>0</v>
          </cell>
          <cell r="Z8">
            <v>0</v>
          </cell>
          <cell r="AA8">
            <v>0</v>
          </cell>
          <cell r="AB8">
            <v>0</v>
          </cell>
          <cell r="AC8">
            <v>0</v>
          </cell>
          <cell r="AD8">
            <v>0</v>
          </cell>
          <cell r="AE8">
            <v>0</v>
          </cell>
          <cell r="AF8">
            <v>0</v>
          </cell>
        </row>
        <row r="9">
          <cell r="B9" t="str">
            <v>CO-KN-930801</v>
          </cell>
          <cell r="C9" t="str">
            <v>CO-930801</v>
          </cell>
          <cell r="D9" t="str">
            <v>CO-KN</v>
          </cell>
          <cell r="E9" t="str">
            <v>PRI-CO-KN</v>
          </cell>
          <cell r="F9" t="str">
            <v>PRI-KN</v>
          </cell>
          <cell r="G9">
            <v>930801</v>
          </cell>
          <cell r="H9" t="str">
            <v>PRI</v>
          </cell>
          <cell r="I9">
            <v>1999</v>
          </cell>
          <cell r="J9" t="str">
            <v>I</v>
          </cell>
          <cell r="K9" t="str">
            <v>CO</v>
          </cell>
          <cell r="L9" t="str">
            <v>KN</v>
          </cell>
          <cell r="Y9">
            <v>0</v>
          </cell>
          <cell r="Z9">
            <v>0</v>
          </cell>
          <cell r="AA9">
            <v>0</v>
          </cell>
          <cell r="AB9">
            <v>0</v>
          </cell>
          <cell r="AC9">
            <v>0</v>
          </cell>
          <cell r="AD9">
            <v>0</v>
          </cell>
          <cell r="AE9">
            <v>0</v>
          </cell>
          <cell r="AF9">
            <v>0</v>
          </cell>
        </row>
        <row r="10">
          <cell r="B10" t="str">
            <v>IN-KE-930801</v>
          </cell>
          <cell r="C10" t="str">
            <v>IN-930801</v>
          </cell>
          <cell r="D10" t="str">
            <v>IN-KE</v>
          </cell>
          <cell r="E10" t="str">
            <v>PRI-IN-KE</v>
          </cell>
          <cell r="F10" t="str">
            <v>PRI-KE</v>
          </cell>
          <cell r="G10">
            <v>930801</v>
          </cell>
          <cell r="H10" t="str">
            <v>PRI</v>
          </cell>
          <cell r="I10">
            <v>1999</v>
          </cell>
          <cell r="J10" t="str">
            <v>I</v>
          </cell>
          <cell r="K10" t="str">
            <v>IN</v>
          </cell>
          <cell r="L10" t="str">
            <v>KE</v>
          </cell>
          <cell r="Y10">
            <v>0</v>
          </cell>
          <cell r="Z10">
            <v>0</v>
          </cell>
          <cell r="AA10">
            <v>0</v>
          </cell>
          <cell r="AB10">
            <v>0</v>
          </cell>
          <cell r="AC10">
            <v>0</v>
          </cell>
          <cell r="AD10">
            <v>0</v>
          </cell>
          <cell r="AE10">
            <v>0</v>
          </cell>
          <cell r="AF10">
            <v>0</v>
          </cell>
        </row>
        <row r="11">
          <cell r="B11" t="str">
            <v>IN-KN-930801</v>
          </cell>
          <cell r="C11" t="str">
            <v>IN-930801</v>
          </cell>
          <cell r="D11" t="str">
            <v>IN-KN</v>
          </cell>
          <cell r="E11" t="str">
            <v>PRI-IN-KN</v>
          </cell>
          <cell r="F11" t="str">
            <v>PRI-KN</v>
          </cell>
          <cell r="G11">
            <v>930801</v>
          </cell>
          <cell r="H11" t="str">
            <v>PRI</v>
          </cell>
          <cell r="I11">
            <v>1999</v>
          </cell>
          <cell r="J11" t="str">
            <v>I</v>
          </cell>
          <cell r="K11" t="str">
            <v>IN</v>
          </cell>
          <cell r="L11" t="str">
            <v>KN</v>
          </cell>
          <cell r="Y11">
            <v>0</v>
          </cell>
          <cell r="Z11">
            <v>0</v>
          </cell>
          <cell r="AA11">
            <v>0</v>
          </cell>
          <cell r="AB11">
            <v>0</v>
          </cell>
          <cell r="AC11">
            <v>0</v>
          </cell>
          <cell r="AD11">
            <v>0</v>
          </cell>
          <cell r="AE11">
            <v>0</v>
          </cell>
          <cell r="AF11">
            <v>0</v>
          </cell>
        </row>
        <row r="12">
          <cell r="B12" t="str">
            <v>AD-KE-940102</v>
          </cell>
          <cell r="C12" t="str">
            <v>AD-940102</v>
          </cell>
          <cell r="D12" t="str">
            <v>AD-KE</v>
          </cell>
          <cell r="E12" t="str">
            <v>PRI-AD-KE</v>
          </cell>
          <cell r="F12" t="str">
            <v>PRI-KE</v>
          </cell>
          <cell r="G12">
            <v>940102</v>
          </cell>
          <cell r="H12" t="str">
            <v>PRI</v>
          </cell>
          <cell r="I12">
            <v>2000</v>
          </cell>
          <cell r="J12" t="str">
            <v>I</v>
          </cell>
          <cell r="K12" t="str">
            <v>AD</v>
          </cell>
          <cell r="L12" t="str">
            <v>KE</v>
          </cell>
          <cell r="Y12">
            <v>0</v>
          </cell>
          <cell r="Z12">
            <v>0</v>
          </cell>
          <cell r="AA12">
            <v>0</v>
          </cell>
          <cell r="AB12">
            <v>0</v>
          </cell>
          <cell r="AC12">
            <v>0</v>
          </cell>
          <cell r="AD12">
            <v>0</v>
          </cell>
          <cell r="AE12">
            <v>0</v>
          </cell>
          <cell r="AF12">
            <v>0</v>
          </cell>
        </row>
        <row r="13">
          <cell r="B13" t="str">
            <v>AD-KN-940102</v>
          </cell>
          <cell r="C13" t="str">
            <v>AD-940102</v>
          </cell>
          <cell r="D13" t="str">
            <v>AD-KN</v>
          </cell>
          <cell r="E13" t="str">
            <v>PRI-AD-KN</v>
          </cell>
          <cell r="F13" t="str">
            <v>PRI-KN</v>
          </cell>
          <cell r="G13">
            <v>940102</v>
          </cell>
          <cell r="H13" t="str">
            <v>PRI</v>
          </cell>
          <cell r="I13">
            <v>2000</v>
          </cell>
          <cell r="J13" t="str">
            <v>I</v>
          </cell>
          <cell r="K13" t="str">
            <v>AD</v>
          </cell>
          <cell r="L13" t="str">
            <v>KN</v>
          </cell>
          <cell r="Y13">
            <v>0</v>
          </cell>
          <cell r="Z13">
            <v>0</v>
          </cell>
          <cell r="AA13">
            <v>0</v>
          </cell>
          <cell r="AB13">
            <v>0</v>
          </cell>
          <cell r="AC13">
            <v>0</v>
          </cell>
          <cell r="AD13">
            <v>0</v>
          </cell>
          <cell r="AE13">
            <v>0</v>
          </cell>
          <cell r="AF13">
            <v>0</v>
          </cell>
        </row>
        <row r="14">
          <cell r="B14" t="str">
            <v>CO-KE-940102</v>
          </cell>
          <cell r="C14" t="str">
            <v>CO-940102</v>
          </cell>
          <cell r="D14" t="str">
            <v>CO-KE</v>
          </cell>
          <cell r="E14" t="str">
            <v>PRI-CO-KE</v>
          </cell>
          <cell r="F14" t="str">
            <v>PRI-KE</v>
          </cell>
          <cell r="G14">
            <v>940102</v>
          </cell>
          <cell r="H14" t="str">
            <v>PRI</v>
          </cell>
          <cell r="I14">
            <v>2000</v>
          </cell>
          <cell r="J14" t="str">
            <v>I</v>
          </cell>
          <cell r="K14" t="str">
            <v>CO</v>
          </cell>
          <cell r="L14" t="str">
            <v>KE</v>
          </cell>
          <cell r="Y14">
            <v>0</v>
          </cell>
          <cell r="Z14">
            <v>0</v>
          </cell>
          <cell r="AA14">
            <v>0</v>
          </cell>
          <cell r="AB14">
            <v>0</v>
          </cell>
          <cell r="AC14">
            <v>0</v>
          </cell>
          <cell r="AD14">
            <v>0</v>
          </cell>
          <cell r="AE14">
            <v>0</v>
          </cell>
          <cell r="AF14">
            <v>0</v>
          </cell>
        </row>
        <row r="15">
          <cell r="B15" t="str">
            <v>CO-KN-940102</v>
          </cell>
          <cell r="C15" t="str">
            <v>CO-940102</v>
          </cell>
          <cell r="D15" t="str">
            <v>CO-KN</v>
          </cell>
          <cell r="E15" t="str">
            <v>PRI-CO-KN</v>
          </cell>
          <cell r="F15" t="str">
            <v>PRI-KN</v>
          </cell>
          <cell r="G15">
            <v>940102</v>
          </cell>
          <cell r="H15" t="str">
            <v>PRI</v>
          </cell>
          <cell r="I15">
            <v>2000</v>
          </cell>
          <cell r="J15" t="str">
            <v>I</v>
          </cell>
          <cell r="K15" t="str">
            <v>CO</v>
          </cell>
          <cell r="L15" t="str">
            <v>KN</v>
          </cell>
          <cell r="Y15">
            <v>0</v>
          </cell>
          <cell r="Z15">
            <v>0</v>
          </cell>
          <cell r="AA15">
            <v>0</v>
          </cell>
          <cell r="AB15">
            <v>0</v>
          </cell>
          <cell r="AC15">
            <v>0</v>
          </cell>
          <cell r="AD15">
            <v>0</v>
          </cell>
          <cell r="AE15">
            <v>0</v>
          </cell>
          <cell r="AF15">
            <v>0</v>
          </cell>
        </row>
        <row r="16">
          <cell r="B16" t="str">
            <v>IN-KE-940102</v>
          </cell>
          <cell r="C16" t="str">
            <v>IN-940102</v>
          </cell>
          <cell r="D16" t="str">
            <v>IN-KE</v>
          </cell>
          <cell r="E16" t="str">
            <v>PRI-IN-KE</v>
          </cell>
          <cell r="F16" t="str">
            <v>PRI-KE</v>
          </cell>
          <cell r="G16">
            <v>940102</v>
          </cell>
          <cell r="H16" t="str">
            <v>PRI</v>
          </cell>
          <cell r="I16">
            <v>2000</v>
          </cell>
          <cell r="J16" t="str">
            <v>I</v>
          </cell>
          <cell r="K16" t="str">
            <v>IN</v>
          </cell>
          <cell r="L16" t="str">
            <v>KE</v>
          </cell>
          <cell r="Y16">
            <v>0</v>
          </cell>
          <cell r="Z16">
            <v>0</v>
          </cell>
          <cell r="AA16">
            <v>0</v>
          </cell>
          <cell r="AB16">
            <v>0</v>
          </cell>
          <cell r="AC16">
            <v>0</v>
          </cell>
          <cell r="AD16">
            <v>0</v>
          </cell>
          <cell r="AE16">
            <v>0</v>
          </cell>
          <cell r="AF16">
            <v>0</v>
          </cell>
        </row>
        <row r="17">
          <cell r="B17" t="str">
            <v>IN-KN-940102</v>
          </cell>
          <cell r="C17" t="str">
            <v>IN-940102</v>
          </cell>
          <cell r="D17" t="str">
            <v>IN-KN</v>
          </cell>
          <cell r="E17" t="str">
            <v>PRI-IN-KN</v>
          </cell>
          <cell r="F17" t="str">
            <v>PRI-KN</v>
          </cell>
          <cell r="G17">
            <v>940102</v>
          </cell>
          <cell r="H17" t="str">
            <v>PRI</v>
          </cell>
          <cell r="I17">
            <v>2000</v>
          </cell>
          <cell r="J17" t="str">
            <v>I</v>
          </cell>
          <cell r="K17" t="str">
            <v>IN</v>
          </cell>
          <cell r="L17" t="str">
            <v>KN</v>
          </cell>
          <cell r="Y17">
            <v>0</v>
          </cell>
          <cell r="Z17">
            <v>0</v>
          </cell>
          <cell r="AA17">
            <v>0</v>
          </cell>
          <cell r="AB17">
            <v>0</v>
          </cell>
          <cell r="AC17">
            <v>0</v>
          </cell>
          <cell r="AD17">
            <v>0</v>
          </cell>
          <cell r="AE17">
            <v>0</v>
          </cell>
          <cell r="AF17">
            <v>0</v>
          </cell>
        </row>
        <row r="18">
          <cell r="B18" t="str">
            <v>AD-KE-940103</v>
          </cell>
          <cell r="C18" t="str">
            <v>AD-940103</v>
          </cell>
          <cell r="D18" t="str">
            <v>AD-KE</v>
          </cell>
          <cell r="E18" t="str">
            <v>PRI-AD-KE</v>
          </cell>
          <cell r="F18" t="str">
            <v>PRI-KE</v>
          </cell>
          <cell r="G18">
            <v>940103</v>
          </cell>
          <cell r="H18" t="str">
            <v>PRI</v>
          </cell>
          <cell r="I18">
            <v>1999</v>
          </cell>
          <cell r="J18" t="str">
            <v>I</v>
          </cell>
          <cell r="K18" t="str">
            <v>AD</v>
          </cell>
          <cell r="L18" t="str">
            <v>KE</v>
          </cell>
          <cell r="Y18">
            <v>0</v>
          </cell>
          <cell r="Z18">
            <v>0</v>
          </cell>
          <cell r="AA18">
            <v>0</v>
          </cell>
          <cell r="AB18">
            <v>0</v>
          </cell>
          <cell r="AC18">
            <v>0</v>
          </cell>
          <cell r="AD18">
            <v>0</v>
          </cell>
          <cell r="AE18">
            <v>0</v>
          </cell>
          <cell r="AF18">
            <v>0</v>
          </cell>
        </row>
        <row r="19">
          <cell r="B19" t="str">
            <v>AD-KN-940103</v>
          </cell>
          <cell r="C19" t="str">
            <v>AD-940103</v>
          </cell>
          <cell r="D19" t="str">
            <v>AD-KN</v>
          </cell>
          <cell r="E19" t="str">
            <v>PRI-AD-KN</v>
          </cell>
          <cell r="F19" t="str">
            <v>PRI-KN</v>
          </cell>
          <cell r="G19">
            <v>940103</v>
          </cell>
          <cell r="H19" t="str">
            <v>PRI</v>
          </cell>
          <cell r="I19">
            <v>1999</v>
          </cell>
          <cell r="J19" t="str">
            <v>I</v>
          </cell>
          <cell r="K19" t="str">
            <v>AD</v>
          </cell>
          <cell r="L19" t="str">
            <v>KN</v>
          </cell>
          <cell r="Y19">
            <v>0</v>
          </cell>
          <cell r="Z19">
            <v>0</v>
          </cell>
          <cell r="AA19">
            <v>0</v>
          </cell>
          <cell r="AB19">
            <v>0</v>
          </cell>
          <cell r="AC19">
            <v>0</v>
          </cell>
          <cell r="AD19">
            <v>0</v>
          </cell>
          <cell r="AE19">
            <v>0</v>
          </cell>
          <cell r="AF19">
            <v>0</v>
          </cell>
        </row>
        <row r="20">
          <cell r="B20" t="str">
            <v>CO-KE-940103</v>
          </cell>
          <cell r="C20" t="str">
            <v>CO-940103</v>
          </cell>
          <cell r="D20" t="str">
            <v>CO-KE</v>
          </cell>
          <cell r="E20" t="str">
            <v>PRI-CO-KE</v>
          </cell>
          <cell r="F20" t="str">
            <v>PRI-KE</v>
          </cell>
          <cell r="G20">
            <v>940103</v>
          </cell>
          <cell r="H20" t="str">
            <v>PRI</v>
          </cell>
          <cell r="I20">
            <v>1999</v>
          </cell>
          <cell r="J20" t="str">
            <v>I</v>
          </cell>
          <cell r="K20" t="str">
            <v>CO</v>
          </cell>
          <cell r="L20" t="str">
            <v>KE</v>
          </cell>
          <cell r="Y20">
            <v>0</v>
          </cell>
          <cell r="Z20">
            <v>0</v>
          </cell>
          <cell r="AA20">
            <v>0</v>
          </cell>
          <cell r="AB20">
            <v>0</v>
          </cell>
          <cell r="AC20">
            <v>0</v>
          </cell>
          <cell r="AD20">
            <v>0</v>
          </cell>
          <cell r="AE20">
            <v>0</v>
          </cell>
          <cell r="AF20">
            <v>0</v>
          </cell>
        </row>
        <row r="21">
          <cell r="B21" t="str">
            <v>CO-KN-940103</v>
          </cell>
          <cell r="C21" t="str">
            <v>CO-940103</v>
          </cell>
          <cell r="D21" t="str">
            <v>CO-KN</v>
          </cell>
          <cell r="E21" t="str">
            <v>PRI-CO-KN</v>
          </cell>
          <cell r="F21" t="str">
            <v>PRI-KN</v>
          </cell>
          <cell r="G21">
            <v>940103</v>
          </cell>
          <cell r="H21" t="str">
            <v>PRI</v>
          </cell>
          <cell r="I21">
            <v>1999</v>
          </cell>
          <cell r="J21" t="str">
            <v>I</v>
          </cell>
          <cell r="K21" t="str">
            <v>CO</v>
          </cell>
          <cell r="L21" t="str">
            <v>KN</v>
          </cell>
          <cell r="Y21">
            <v>0</v>
          </cell>
          <cell r="Z21">
            <v>0</v>
          </cell>
          <cell r="AA21">
            <v>0</v>
          </cell>
          <cell r="AB21">
            <v>0</v>
          </cell>
          <cell r="AC21">
            <v>0</v>
          </cell>
          <cell r="AD21">
            <v>0</v>
          </cell>
          <cell r="AE21">
            <v>0</v>
          </cell>
          <cell r="AF21">
            <v>0</v>
          </cell>
        </row>
        <row r="22">
          <cell r="B22" t="str">
            <v>IN-KE-940103</v>
          </cell>
          <cell r="C22" t="str">
            <v>IN-940103</v>
          </cell>
          <cell r="D22" t="str">
            <v>IN-KE</v>
          </cell>
          <cell r="E22" t="str">
            <v>PRI-IN-KE</v>
          </cell>
          <cell r="F22" t="str">
            <v>PRI-KE</v>
          </cell>
          <cell r="G22">
            <v>940103</v>
          </cell>
          <cell r="H22" t="str">
            <v>PRI</v>
          </cell>
          <cell r="I22">
            <v>1999</v>
          </cell>
          <cell r="J22" t="str">
            <v>I</v>
          </cell>
          <cell r="K22" t="str">
            <v>IN</v>
          </cell>
          <cell r="L22" t="str">
            <v>KE</v>
          </cell>
          <cell r="Y22">
            <v>0</v>
          </cell>
          <cell r="Z22">
            <v>0</v>
          </cell>
          <cell r="AA22">
            <v>0</v>
          </cell>
          <cell r="AB22">
            <v>0</v>
          </cell>
          <cell r="AC22">
            <v>0</v>
          </cell>
          <cell r="AD22">
            <v>0</v>
          </cell>
          <cell r="AE22">
            <v>0</v>
          </cell>
          <cell r="AF22">
            <v>0</v>
          </cell>
        </row>
        <row r="23">
          <cell r="B23" t="str">
            <v>IN-KN-940103</v>
          </cell>
          <cell r="C23" t="str">
            <v>IN-940103</v>
          </cell>
          <cell r="D23" t="str">
            <v>IN-KN</v>
          </cell>
          <cell r="E23" t="str">
            <v>PRI-IN-KN</v>
          </cell>
          <cell r="F23" t="str">
            <v>PRI-KN</v>
          </cell>
          <cell r="G23">
            <v>940103</v>
          </cell>
          <cell r="H23" t="str">
            <v>PRI</v>
          </cell>
          <cell r="I23">
            <v>1999</v>
          </cell>
          <cell r="J23" t="str">
            <v>I</v>
          </cell>
          <cell r="K23" t="str">
            <v>IN</v>
          </cell>
          <cell r="L23" t="str">
            <v>KN</v>
          </cell>
          <cell r="Y23">
            <v>0</v>
          </cell>
          <cell r="Z23">
            <v>0</v>
          </cell>
          <cell r="AA23">
            <v>0</v>
          </cell>
          <cell r="AB23">
            <v>0</v>
          </cell>
          <cell r="AC23">
            <v>0</v>
          </cell>
          <cell r="AD23">
            <v>0</v>
          </cell>
          <cell r="AE23">
            <v>0</v>
          </cell>
          <cell r="AF23">
            <v>0</v>
          </cell>
        </row>
        <row r="24">
          <cell r="B24" t="str">
            <v>AD-KE-950807</v>
          </cell>
          <cell r="C24" t="str">
            <v>AD-950807</v>
          </cell>
          <cell r="D24" t="str">
            <v>AD-KE</v>
          </cell>
          <cell r="E24" t="str">
            <v>PRI-AD-KE</v>
          </cell>
          <cell r="F24" t="str">
            <v>PRI-KE</v>
          </cell>
          <cell r="G24">
            <v>950807</v>
          </cell>
          <cell r="H24" t="str">
            <v>PRI</v>
          </cell>
          <cell r="I24">
            <v>1999</v>
          </cell>
          <cell r="J24" t="str">
            <v>I</v>
          </cell>
          <cell r="K24" t="str">
            <v>AD</v>
          </cell>
          <cell r="L24" t="str">
            <v>KE</v>
          </cell>
          <cell r="Y24">
            <v>0</v>
          </cell>
          <cell r="Z24">
            <v>0</v>
          </cell>
          <cell r="AA24">
            <v>0</v>
          </cell>
          <cell r="AB24">
            <v>0</v>
          </cell>
          <cell r="AC24">
            <v>0</v>
          </cell>
          <cell r="AD24">
            <v>0</v>
          </cell>
          <cell r="AE24">
            <v>0</v>
          </cell>
          <cell r="AF24">
            <v>0</v>
          </cell>
        </row>
        <row r="25">
          <cell r="B25" t="str">
            <v>AD-KN-950807</v>
          </cell>
          <cell r="C25" t="str">
            <v>AD-950807</v>
          </cell>
          <cell r="D25" t="str">
            <v>AD-KN</v>
          </cell>
          <cell r="E25" t="str">
            <v>PRI-AD-KN</v>
          </cell>
          <cell r="F25" t="str">
            <v>PRI-KN</v>
          </cell>
          <cell r="G25">
            <v>950807</v>
          </cell>
          <cell r="H25" t="str">
            <v>PRI</v>
          </cell>
          <cell r="I25">
            <v>1999</v>
          </cell>
          <cell r="J25" t="str">
            <v>I</v>
          </cell>
          <cell r="K25" t="str">
            <v>AD</v>
          </cell>
          <cell r="L25" t="str">
            <v>KN</v>
          </cell>
          <cell r="Y25">
            <v>0</v>
          </cell>
          <cell r="Z25">
            <v>0</v>
          </cell>
          <cell r="AA25">
            <v>0</v>
          </cell>
          <cell r="AB25">
            <v>0</v>
          </cell>
          <cell r="AC25">
            <v>0</v>
          </cell>
          <cell r="AD25">
            <v>0</v>
          </cell>
          <cell r="AE25">
            <v>0</v>
          </cell>
          <cell r="AF25">
            <v>0</v>
          </cell>
        </row>
        <row r="26">
          <cell r="B26" t="str">
            <v>CO-KE-950807</v>
          </cell>
          <cell r="C26" t="str">
            <v>CO-950807</v>
          </cell>
          <cell r="D26" t="str">
            <v>CO-KE</v>
          </cell>
          <cell r="E26" t="str">
            <v>PRI-CO-KE</v>
          </cell>
          <cell r="F26" t="str">
            <v>PRI-KE</v>
          </cell>
          <cell r="G26">
            <v>950807</v>
          </cell>
          <cell r="H26" t="str">
            <v>PRI</v>
          </cell>
          <cell r="I26">
            <v>1999</v>
          </cell>
          <cell r="J26" t="str">
            <v>I</v>
          </cell>
          <cell r="K26" t="str">
            <v>CO</v>
          </cell>
          <cell r="L26" t="str">
            <v>KE</v>
          </cell>
          <cell r="Y26">
            <v>0</v>
          </cell>
          <cell r="Z26">
            <v>0</v>
          </cell>
          <cell r="AA26">
            <v>0</v>
          </cell>
          <cell r="AB26">
            <v>0</v>
          </cell>
          <cell r="AC26">
            <v>0</v>
          </cell>
          <cell r="AD26">
            <v>0</v>
          </cell>
          <cell r="AE26">
            <v>0</v>
          </cell>
          <cell r="AF26">
            <v>0</v>
          </cell>
        </row>
        <row r="27">
          <cell r="B27" t="str">
            <v>CO-KN-950807</v>
          </cell>
          <cell r="C27" t="str">
            <v>CO-950807</v>
          </cell>
          <cell r="D27" t="str">
            <v>CO-KN</v>
          </cell>
          <cell r="E27" t="str">
            <v>PRI-CO-KN</v>
          </cell>
          <cell r="F27" t="str">
            <v>PRI-KN</v>
          </cell>
          <cell r="G27">
            <v>950807</v>
          </cell>
          <cell r="H27" t="str">
            <v>PRI</v>
          </cell>
          <cell r="I27">
            <v>1999</v>
          </cell>
          <cell r="J27" t="str">
            <v>I</v>
          </cell>
          <cell r="K27" t="str">
            <v>CO</v>
          </cell>
          <cell r="L27" t="str">
            <v>KN</v>
          </cell>
          <cell r="Y27">
            <v>0</v>
          </cell>
          <cell r="Z27">
            <v>0</v>
          </cell>
          <cell r="AA27">
            <v>0</v>
          </cell>
          <cell r="AB27">
            <v>0</v>
          </cell>
          <cell r="AC27">
            <v>0</v>
          </cell>
          <cell r="AD27">
            <v>0</v>
          </cell>
          <cell r="AE27">
            <v>0</v>
          </cell>
          <cell r="AF27">
            <v>0</v>
          </cell>
        </row>
        <row r="28">
          <cell r="B28" t="str">
            <v>IN-KE-950807</v>
          </cell>
          <cell r="C28" t="str">
            <v>IN-950807</v>
          </cell>
          <cell r="D28" t="str">
            <v>IN-KE</v>
          </cell>
          <cell r="E28" t="str">
            <v>PRI-IN-KE</v>
          </cell>
          <cell r="F28" t="str">
            <v>PRI-KE</v>
          </cell>
          <cell r="G28">
            <v>950807</v>
          </cell>
          <cell r="H28" t="str">
            <v>PRI</v>
          </cell>
          <cell r="I28">
            <v>1999</v>
          </cell>
          <cell r="J28" t="str">
            <v>I</v>
          </cell>
          <cell r="K28" t="str">
            <v>IN</v>
          </cell>
          <cell r="L28" t="str">
            <v>KE</v>
          </cell>
          <cell r="Y28">
            <v>0</v>
          </cell>
          <cell r="Z28">
            <v>0</v>
          </cell>
          <cell r="AA28">
            <v>0</v>
          </cell>
          <cell r="AB28">
            <v>0</v>
          </cell>
          <cell r="AC28">
            <v>0</v>
          </cell>
          <cell r="AD28">
            <v>0</v>
          </cell>
          <cell r="AE28">
            <v>0</v>
          </cell>
          <cell r="AF28">
            <v>0</v>
          </cell>
        </row>
        <row r="29">
          <cell r="B29" t="str">
            <v>IN-KN-950807</v>
          </cell>
          <cell r="C29" t="str">
            <v>IN-950807</v>
          </cell>
          <cell r="D29" t="str">
            <v>IN-KN</v>
          </cell>
          <cell r="E29" t="str">
            <v>PRI-IN-KN</v>
          </cell>
          <cell r="F29" t="str">
            <v>PRI-KN</v>
          </cell>
          <cell r="G29">
            <v>950807</v>
          </cell>
          <cell r="H29" t="str">
            <v>PRI</v>
          </cell>
          <cell r="I29">
            <v>1999</v>
          </cell>
          <cell r="J29" t="str">
            <v>I</v>
          </cell>
          <cell r="K29" t="str">
            <v>IN</v>
          </cell>
          <cell r="L29" t="str">
            <v>KN</v>
          </cell>
          <cell r="Y29">
            <v>0</v>
          </cell>
          <cell r="Z29">
            <v>0</v>
          </cell>
          <cell r="AA29">
            <v>0</v>
          </cell>
          <cell r="AB29">
            <v>0</v>
          </cell>
          <cell r="AC29">
            <v>0</v>
          </cell>
          <cell r="AD29">
            <v>0</v>
          </cell>
          <cell r="AE29">
            <v>0</v>
          </cell>
          <cell r="AF29">
            <v>0</v>
          </cell>
        </row>
        <row r="30">
          <cell r="B30" t="str">
            <v>AD-KE-961001</v>
          </cell>
          <cell r="C30" t="str">
            <v>AD-961001</v>
          </cell>
          <cell r="D30" t="str">
            <v>AD-KE</v>
          </cell>
          <cell r="E30" t="str">
            <v>PRI-AD-KE</v>
          </cell>
          <cell r="F30" t="str">
            <v>PRI-KE</v>
          </cell>
          <cell r="G30">
            <v>961001</v>
          </cell>
          <cell r="H30" t="str">
            <v>PRI</v>
          </cell>
          <cell r="I30">
            <v>2000</v>
          </cell>
          <cell r="J30" t="str">
            <v>I</v>
          </cell>
          <cell r="K30" t="str">
            <v>AD</v>
          </cell>
          <cell r="L30" t="str">
            <v>KE</v>
          </cell>
          <cell r="Y30">
            <v>0</v>
          </cell>
          <cell r="Z30">
            <v>0</v>
          </cell>
          <cell r="AA30">
            <v>0</v>
          </cell>
          <cell r="AB30">
            <v>0</v>
          </cell>
          <cell r="AC30">
            <v>0</v>
          </cell>
          <cell r="AD30">
            <v>0</v>
          </cell>
          <cell r="AE30">
            <v>0</v>
          </cell>
          <cell r="AF30">
            <v>0</v>
          </cell>
        </row>
        <row r="31">
          <cell r="B31" t="str">
            <v>AD-KN-961001</v>
          </cell>
          <cell r="C31" t="str">
            <v>AD-961001</v>
          </cell>
          <cell r="D31" t="str">
            <v>AD-KN</v>
          </cell>
          <cell r="E31" t="str">
            <v>PRI-AD-KN</v>
          </cell>
          <cell r="F31" t="str">
            <v>PRI-KN</v>
          </cell>
          <cell r="G31">
            <v>961001</v>
          </cell>
          <cell r="H31" t="str">
            <v>PRI</v>
          </cell>
          <cell r="I31">
            <v>2000</v>
          </cell>
          <cell r="J31" t="str">
            <v>I</v>
          </cell>
          <cell r="K31" t="str">
            <v>AD</v>
          </cell>
          <cell r="L31" t="str">
            <v>KN</v>
          </cell>
          <cell r="Y31">
            <v>0</v>
          </cell>
          <cell r="Z31">
            <v>0</v>
          </cell>
          <cell r="AA31">
            <v>0</v>
          </cell>
          <cell r="AB31">
            <v>0</v>
          </cell>
          <cell r="AC31">
            <v>0</v>
          </cell>
          <cell r="AD31">
            <v>0</v>
          </cell>
          <cell r="AE31">
            <v>0</v>
          </cell>
          <cell r="AF31">
            <v>0</v>
          </cell>
        </row>
        <row r="32">
          <cell r="B32" t="str">
            <v>CO-KE-961001</v>
          </cell>
          <cell r="C32" t="str">
            <v>CO-961001</v>
          </cell>
          <cell r="D32" t="str">
            <v>CO-KE</v>
          </cell>
          <cell r="E32" t="str">
            <v>PRI-CO-KE</v>
          </cell>
          <cell r="F32" t="str">
            <v>PRI-KE</v>
          </cell>
          <cell r="G32">
            <v>961001</v>
          </cell>
          <cell r="H32" t="str">
            <v>PRI</v>
          </cell>
          <cell r="I32">
            <v>2000</v>
          </cell>
          <cell r="J32" t="str">
            <v>I</v>
          </cell>
          <cell r="K32" t="str">
            <v>CO</v>
          </cell>
          <cell r="L32" t="str">
            <v>KE</v>
          </cell>
          <cell r="Y32">
            <v>0</v>
          </cell>
          <cell r="Z32">
            <v>0</v>
          </cell>
          <cell r="AA32">
            <v>0</v>
          </cell>
          <cell r="AB32">
            <v>0</v>
          </cell>
          <cell r="AC32">
            <v>0</v>
          </cell>
          <cell r="AD32">
            <v>0</v>
          </cell>
          <cell r="AE32">
            <v>0</v>
          </cell>
          <cell r="AF32">
            <v>0</v>
          </cell>
        </row>
        <row r="33">
          <cell r="B33" t="str">
            <v>CO-KN-961001</v>
          </cell>
          <cell r="C33" t="str">
            <v>CO-961001</v>
          </cell>
          <cell r="D33" t="str">
            <v>CO-KN</v>
          </cell>
          <cell r="E33" t="str">
            <v>PRI-CO-KN</v>
          </cell>
          <cell r="F33" t="str">
            <v>PRI-KN</v>
          </cell>
          <cell r="G33">
            <v>961001</v>
          </cell>
          <cell r="H33" t="str">
            <v>PRI</v>
          </cell>
          <cell r="I33">
            <v>2000</v>
          </cell>
          <cell r="J33" t="str">
            <v>I</v>
          </cell>
          <cell r="K33" t="str">
            <v>CO</v>
          </cell>
          <cell r="L33" t="str">
            <v>KN</v>
          </cell>
          <cell r="Y33">
            <v>0</v>
          </cell>
          <cell r="Z33">
            <v>0</v>
          </cell>
          <cell r="AA33">
            <v>0</v>
          </cell>
          <cell r="AB33">
            <v>0</v>
          </cell>
          <cell r="AC33">
            <v>0</v>
          </cell>
          <cell r="AD33">
            <v>0</v>
          </cell>
          <cell r="AE33">
            <v>0</v>
          </cell>
          <cell r="AF33">
            <v>0</v>
          </cell>
        </row>
        <row r="34">
          <cell r="B34" t="str">
            <v>IN-KE-961001</v>
          </cell>
          <cell r="C34" t="str">
            <v>IN-961001</v>
          </cell>
          <cell r="D34" t="str">
            <v>IN-KE</v>
          </cell>
          <cell r="E34" t="str">
            <v>PRI-IN-KE</v>
          </cell>
          <cell r="F34" t="str">
            <v>PRI-KE</v>
          </cell>
          <cell r="G34">
            <v>961001</v>
          </cell>
          <cell r="H34" t="str">
            <v>PRI</v>
          </cell>
          <cell r="I34">
            <v>2000</v>
          </cell>
          <cell r="J34" t="str">
            <v>I</v>
          </cell>
          <cell r="K34" t="str">
            <v>IN</v>
          </cell>
          <cell r="L34" t="str">
            <v>KE</v>
          </cell>
          <cell r="Y34">
            <v>0</v>
          </cell>
          <cell r="Z34">
            <v>0</v>
          </cell>
          <cell r="AA34">
            <v>0</v>
          </cell>
          <cell r="AB34">
            <v>0</v>
          </cell>
          <cell r="AC34">
            <v>0</v>
          </cell>
          <cell r="AD34">
            <v>0</v>
          </cell>
          <cell r="AE34">
            <v>0</v>
          </cell>
          <cell r="AF34">
            <v>0</v>
          </cell>
        </row>
        <row r="35">
          <cell r="B35" t="str">
            <v>IN-KN-961001</v>
          </cell>
          <cell r="C35" t="str">
            <v>IN-961001</v>
          </cell>
          <cell r="D35" t="str">
            <v>IN-KN</v>
          </cell>
          <cell r="E35" t="str">
            <v>PRI-IN-KN</v>
          </cell>
          <cell r="F35" t="str">
            <v>PRI-KN</v>
          </cell>
          <cell r="G35">
            <v>961001</v>
          </cell>
          <cell r="H35" t="str">
            <v>PRI</v>
          </cell>
          <cell r="I35">
            <v>2000</v>
          </cell>
          <cell r="J35" t="str">
            <v>I</v>
          </cell>
          <cell r="K35" t="str">
            <v>IN</v>
          </cell>
          <cell r="L35" t="str">
            <v>KN</v>
          </cell>
          <cell r="Y35">
            <v>0</v>
          </cell>
          <cell r="Z35">
            <v>0</v>
          </cell>
          <cell r="AA35">
            <v>0</v>
          </cell>
          <cell r="AB35">
            <v>0</v>
          </cell>
          <cell r="AC35">
            <v>0</v>
          </cell>
          <cell r="AD35">
            <v>0</v>
          </cell>
          <cell r="AE35">
            <v>0</v>
          </cell>
          <cell r="AF35">
            <v>0</v>
          </cell>
        </row>
        <row r="36">
          <cell r="B36" t="str">
            <v>AD-KE-970805</v>
          </cell>
          <cell r="C36" t="str">
            <v>AD-970805</v>
          </cell>
          <cell r="D36" t="str">
            <v>AD-KE</v>
          </cell>
          <cell r="E36" t="str">
            <v>OTR-AD-KE</v>
          </cell>
          <cell r="F36" t="str">
            <v>OTR-KE</v>
          </cell>
          <cell r="G36">
            <v>970805</v>
          </cell>
          <cell r="H36" t="str">
            <v>OTR</v>
          </cell>
          <cell r="I36">
            <v>1999</v>
          </cell>
          <cell r="J36" t="str">
            <v>I</v>
          </cell>
          <cell r="K36" t="str">
            <v>AD</v>
          </cell>
          <cell r="L36" t="str">
            <v>KE</v>
          </cell>
          <cell r="Y36">
            <v>0</v>
          </cell>
          <cell r="Z36">
            <v>0</v>
          </cell>
          <cell r="AA36">
            <v>0</v>
          </cell>
          <cell r="AB36">
            <v>0</v>
          </cell>
          <cell r="AC36">
            <v>0</v>
          </cell>
          <cell r="AD36">
            <v>0</v>
          </cell>
          <cell r="AE36">
            <v>0</v>
          </cell>
          <cell r="AF36">
            <v>0</v>
          </cell>
        </row>
        <row r="37">
          <cell r="B37" t="str">
            <v>AD-KN-970805</v>
          </cell>
          <cell r="C37" t="str">
            <v>AD-970805</v>
          </cell>
          <cell r="D37" t="str">
            <v>AD-KN</v>
          </cell>
          <cell r="E37" t="str">
            <v>OTR-AD-KN</v>
          </cell>
          <cell r="F37" t="str">
            <v>OTR-KN</v>
          </cell>
          <cell r="G37">
            <v>970805</v>
          </cell>
          <cell r="H37" t="str">
            <v>OTR</v>
          </cell>
          <cell r="I37">
            <v>1999</v>
          </cell>
          <cell r="J37" t="str">
            <v>I</v>
          </cell>
          <cell r="K37" t="str">
            <v>AD</v>
          </cell>
          <cell r="L37" t="str">
            <v>KN</v>
          </cell>
          <cell r="Y37">
            <v>0</v>
          </cell>
          <cell r="Z37">
            <v>0</v>
          </cell>
          <cell r="AA37">
            <v>0</v>
          </cell>
          <cell r="AB37">
            <v>0</v>
          </cell>
          <cell r="AC37">
            <v>0</v>
          </cell>
          <cell r="AD37">
            <v>0</v>
          </cell>
          <cell r="AE37">
            <v>0</v>
          </cell>
          <cell r="AF37">
            <v>0</v>
          </cell>
        </row>
        <row r="38">
          <cell r="B38" t="str">
            <v>CO-KE-970805</v>
          </cell>
          <cell r="C38" t="str">
            <v>CO-970805</v>
          </cell>
          <cell r="D38" t="str">
            <v>CO-KE</v>
          </cell>
          <cell r="E38" t="str">
            <v>OTR-CO-KE</v>
          </cell>
          <cell r="F38" t="str">
            <v>OTR-KE</v>
          </cell>
          <cell r="G38">
            <v>970805</v>
          </cell>
          <cell r="H38" t="str">
            <v>OTR</v>
          </cell>
          <cell r="I38">
            <v>1999</v>
          </cell>
          <cell r="J38" t="str">
            <v>I</v>
          </cell>
          <cell r="K38" t="str">
            <v>CO</v>
          </cell>
          <cell r="L38" t="str">
            <v>KE</v>
          </cell>
          <cell r="Y38">
            <v>0</v>
          </cell>
          <cell r="Z38">
            <v>0</v>
          </cell>
          <cell r="AA38">
            <v>0</v>
          </cell>
          <cell r="AB38">
            <v>0</v>
          </cell>
          <cell r="AC38">
            <v>0</v>
          </cell>
          <cell r="AD38">
            <v>0</v>
          </cell>
          <cell r="AE38">
            <v>0</v>
          </cell>
          <cell r="AF38">
            <v>0</v>
          </cell>
        </row>
        <row r="39">
          <cell r="B39" t="str">
            <v>CO-KN-970805</v>
          </cell>
          <cell r="C39" t="str">
            <v>CO-970805</v>
          </cell>
          <cell r="D39" t="str">
            <v>CO-KN</v>
          </cell>
          <cell r="E39" t="str">
            <v>OTR-CO-KN</v>
          </cell>
          <cell r="F39" t="str">
            <v>OTR-KN</v>
          </cell>
          <cell r="G39">
            <v>970805</v>
          </cell>
          <cell r="H39" t="str">
            <v>OTR</v>
          </cell>
          <cell r="I39">
            <v>1999</v>
          </cell>
          <cell r="J39" t="str">
            <v>I</v>
          </cell>
          <cell r="K39" t="str">
            <v>CO</v>
          </cell>
          <cell r="L39" t="str">
            <v>KN</v>
          </cell>
          <cell r="Y39">
            <v>0</v>
          </cell>
          <cell r="Z39">
            <v>0</v>
          </cell>
          <cell r="AA39">
            <v>0</v>
          </cell>
          <cell r="AB39">
            <v>0</v>
          </cell>
          <cell r="AC39">
            <v>0</v>
          </cell>
          <cell r="AD39">
            <v>0</v>
          </cell>
          <cell r="AE39">
            <v>0</v>
          </cell>
          <cell r="AF39">
            <v>0</v>
          </cell>
        </row>
        <row r="40">
          <cell r="B40" t="str">
            <v>IN-KE-970805</v>
          </cell>
          <cell r="C40" t="str">
            <v>IN-970805</v>
          </cell>
          <cell r="D40" t="str">
            <v>IN-KE</v>
          </cell>
          <cell r="E40" t="str">
            <v>OTR-IN-KE</v>
          </cell>
          <cell r="F40" t="str">
            <v>OTR-KE</v>
          </cell>
          <cell r="G40">
            <v>970805</v>
          </cell>
          <cell r="H40" t="str">
            <v>OTR</v>
          </cell>
          <cell r="I40">
            <v>1999</v>
          </cell>
          <cell r="J40" t="str">
            <v>I</v>
          </cell>
          <cell r="K40" t="str">
            <v>IN</v>
          </cell>
          <cell r="L40" t="str">
            <v>KE</v>
          </cell>
          <cell r="Y40">
            <v>0</v>
          </cell>
          <cell r="Z40">
            <v>0</v>
          </cell>
          <cell r="AA40">
            <v>0</v>
          </cell>
          <cell r="AB40">
            <v>0</v>
          </cell>
          <cell r="AC40">
            <v>0</v>
          </cell>
          <cell r="AD40">
            <v>0</v>
          </cell>
          <cell r="AE40">
            <v>0</v>
          </cell>
          <cell r="AF40">
            <v>0</v>
          </cell>
        </row>
        <row r="41">
          <cell r="B41" t="str">
            <v>IN-KN-970805</v>
          </cell>
          <cell r="C41" t="str">
            <v>IN-970805</v>
          </cell>
          <cell r="D41" t="str">
            <v>IN-KN</v>
          </cell>
          <cell r="E41" t="str">
            <v>OTR-IN-KN</v>
          </cell>
          <cell r="F41" t="str">
            <v>OTR-KN</v>
          </cell>
          <cell r="G41">
            <v>970805</v>
          </cell>
          <cell r="H41" t="str">
            <v>OTR</v>
          </cell>
          <cell r="I41">
            <v>1999</v>
          </cell>
          <cell r="J41" t="str">
            <v>I</v>
          </cell>
          <cell r="K41" t="str">
            <v>IN</v>
          </cell>
          <cell r="L41" t="str">
            <v>KN</v>
          </cell>
          <cell r="Y41">
            <v>0</v>
          </cell>
          <cell r="Z41">
            <v>0</v>
          </cell>
          <cell r="AA41">
            <v>0</v>
          </cell>
          <cell r="AB41">
            <v>0</v>
          </cell>
          <cell r="AC41">
            <v>0</v>
          </cell>
          <cell r="AD41">
            <v>0</v>
          </cell>
          <cell r="AE41">
            <v>0</v>
          </cell>
          <cell r="AF41">
            <v>0</v>
          </cell>
        </row>
        <row r="42">
          <cell r="B42" t="str">
            <v>AD-KE-980101</v>
          </cell>
          <cell r="C42" t="str">
            <v>AD-980101</v>
          </cell>
          <cell r="D42" t="str">
            <v>AD-KE</v>
          </cell>
          <cell r="E42" t="str">
            <v>PRI-AD-KE</v>
          </cell>
          <cell r="F42" t="str">
            <v>PRI-KE</v>
          </cell>
          <cell r="G42">
            <v>980101</v>
          </cell>
          <cell r="H42" t="str">
            <v>PRI</v>
          </cell>
          <cell r="I42">
            <v>2000</v>
          </cell>
          <cell r="J42" t="str">
            <v>I</v>
          </cell>
          <cell r="K42" t="str">
            <v>AD</v>
          </cell>
          <cell r="L42" t="str">
            <v>KE</v>
          </cell>
          <cell r="Y42">
            <v>0</v>
          </cell>
          <cell r="Z42">
            <v>0</v>
          </cell>
          <cell r="AA42">
            <v>0</v>
          </cell>
          <cell r="AB42">
            <v>0</v>
          </cell>
          <cell r="AC42">
            <v>0</v>
          </cell>
          <cell r="AD42">
            <v>0</v>
          </cell>
          <cell r="AE42">
            <v>0</v>
          </cell>
          <cell r="AF42">
            <v>0</v>
          </cell>
        </row>
        <row r="43">
          <cell r="B43" t="str">
            <v>AD-KN-980101</v>
          </cell>
          <cell r="C43" t="str">
            <v>AD-980101</v>
          </cell>
          <cell r="D43" t="str">
            <v>AD-KN</v>
          </cell>
          <cell r="E43" t="str">
            <v>PRI-AD-KN</v>
          </cell>
          <cell r="F43" t="str">
            <v>PRI-KN</v>
          </cell>
          <cell r="G43">
            <v>980101</v>
          </cell>
          <cell r="H43" t="str">
            <v>PRI</v>
          </cell>
          <cell r="I43">
            <v>2000</v>
          </cell>
          <cell r="J43" t="str">
            <v>I</v>
          </cell>
          <cell r="K43" t="str">
            <v>AD</v>
          </cell>
          <cell r="L43" t="str">
            <v>KN</v>
          </cell>
          <cell r="Y43">
            <v>0</v>
          </cell>
          <cell r="Z43">
            <v>0</v>
          </cell>
          <cell r="AA43">
            <v>0</v>
          </cell>
          <cell r="AB43">
            <v>0</v>
          </cell>
          <cell r="AC43">
            <v>0</v>
          </cell>
          <cell r="AD43">
            <v>0</v>
          </cell>
          <cell r="AE43">
            <v>0</v>
          </cell>
          <cell r="AF43">
            <v>0</v>
          </cell>
        </row>
        <row r="44">
          <cell r="B44" t="str">
            <v>CO-KE-980101</v>
          </cell>
          <cell r="C44" t="str">
            <v>CO-980101</v>
          </cell>
          <cell r="D44" t="str">
            <v>CO-KE</v>
          </cell>
          <cell r="E44" t="str">
            <v>PRI-CO-KE</v>
          </cell>
          <cell r="F44" t="str">
            <v>PRI-KE</v>
          </cell>
          <cell r="G44">
            <v>980101</v>
          </cell>
          <cell r="H44" t="str">
            <v>PRI</v>
          </cell>
          <cell r="I44">
            <v>2000</v>
          </cell>
          <cell r="J44" t="str">
            <v>I</v>
          </cell>
          <cell r="K44" t="str">
            <v>CO</v>
          </cell>
          <cell r="L44" t="str">
            <v>KE</v>
          </cell>
          <cell r="Y44">
            <v>0</v>
          </cell>
          <cell r="Z44">
            <v>0</v>
          </cell>
          <cell r="AA44">
            <v>0</v>
          </cell>
          <cell r="AB44">
            <v>0</v>
          </cell>
          <cell r="AC44">
            <v>0</v>
          </cell>
          <cell r="AD44">
            <v>0</v>
          </cell>
          <cell r="AE44">
            <v>0</v>
          </cell>
          <cell r="AF44">
            <v>0</v>
          </cell>
        </row>
        <row r="45">
          <cell r="B45" t="str">
            <v>CO-KN-980101</v>
          </cell>
          <cell r="C45" t="str">
            <v>CO-980101</v>
          </cell>
          <cell r="D45" t="str">
            <v>CO-KN</v>
          </cell>
          <cell r="E45" t="str">
            <v>PRI-CO-KN</v>
          </cell>
          <cell r="F45" t="str">
            <v>PRI-KN</v>
          </cell>
          <cell r="G45">
            <v>980101</v>
          </cell>
          <cell r="H45" t="str">
            <v>PRI</v>
          </cell>
          <cell r="I45">
            <v>2000</v>
          </cell>
          <cell r="J45" t="str">
            <v>I</v>
          </cell>
          <cell r="K45" t="str">
            <v>CO</v>
          </cell>
          <cell r="L45" t="str">
            <v>KN</v>
          </cell>
          <cell r="Y45">
            <v>0</v>
          </cell>
          <cell r="Z45">
            <v>0</v>
          </cell>
          <cell r="AA45">
            <v>0</v>
          </cell>
          <cell r="AB45">
            <v>0</v>
          </cell>
          <cell r="AC45">
            <v>0</v>
          </cell>
          <cell r="AD45">
            <v>0</v>
          </cell>
          <cell r="AE45">
            <v>0</v>
          </cell>
          <cell r="AF45">
            <v>0</v>
          </cell>
        </row>
        <row r="46">
          <cell r="B46" t="str">
            <v>IN-KE-980101</v>
          </cell>
          <cell r="C46" t="str">
            <v>IN-980101</v>
          </cell>
          <cell r="D46" t="str">
            <v>IN-KE</v>
          </cell>
          <cell r="E46" t="str">
            <v>PRI-IN-KE</v>
          </cell>
          <cell r="F46" t="str">
            <v>PRI-KE</v>
          </cell>
          <cell r="G46">
            <v>980101</v>
          </cell>
          <cell r="H46" t="str">
            <v>PRI</v>
          </cell>
          <cell r="I46">
            <v>2000</v>
          </cell>
          <cell r="J46" t="str">
            <v>I</v>
          </cell>
          <cell r="K46" t="str">
            <v>IN</v>
          </cell>
          <cell r="L46" t="str">
            <v>KE</v>
          </cell>
          <cell r="Y46">
            <v>0</v>
          </cell>
          <cell r="Z46">
            <v>0</v>
          </cell>
          <cell r="AA46">
            <v>0</v>
          </cell>
          <cell r="AB46">
            <v>0</v>
          </cell>
          <cell r="AC46">
            <v>0</v>
          </cell>
          <cell r="AD46">
            <v>0</v>
          </cell>
          <cell r="AE46">
            <v>0</v>
          </cell>
          <cell r="AF46">
            <v>0</v>
          </cell>
        </row>
        <row r="47">
          <cell r="B47" t="str">
            <v>IN-KN-980101</v>
          </cell>
          <cell r="C47" t="str">
            <v>IN-980101</v>
          </cell>
          <cell r="D47" t="str">
            <v>IN-KN</v>
          </cell>
          <cell r="E47" t="str">
            <v>PRI-IN-KN</v>
          </cell>
          <cell r="F47" t="str">
            <v>PRI-KN</v>
          </cell>
          <cell r="G47">
            <v>980101</v>
          </cell>
          <cell r="H47" t="str">
            <v>PRI</v>
          </cell>
          <cell r="I47">
            <v>2000</v>
          </cell>
          <cell r="J47" t="str">
            <v>I</v>
          </cell>
          <cell r="K47" t="str">
            <v>IN</v>
          </cell>
          <cell r="L47" t="str">
            <v>KN</v>
          </cell>
          <cell r="Y47">
            <v>0</v>
          </cell>
          <cell r="Z47">
            <v>0</v>
          </cell>
          <cell r="AA47">
            <v>0</v>
          </cell>
          <cell r="AB47">
            <v>0</v>
          </cell>
          <cell r="AC47">
            <v>0</v>
          </cell>
          <cell r="AD47">
            <v>0</v>
          </cell>
          <cell r="AE47">
            <v>0</v>
          </cell>
          <cell r="AF47">
            <v>0</v>
          </cell>
        </row>
        <row r="48">
          <cell r="B48" t="str">
            <v>AD-KE-980502</v>
          </cell>
          <cell r="C48" t="str">
            <v>AD-980502</v>
          </cell>
          <cell r="D48" t="str">
            <v>AD-KE</v>
          </cell>
          <cell r="E48" t="str">
            <v>OTR-AD-KE</v>
          </cell>
          <cell r="F48" t="str">
            <v>OTR-KE</v>
          </cell>
          <cell r="G48">
            <v>980502</v>
          </cell>
          <cell r="H48" t="str">
            <v>OTR</v>
          </cell>
          <cell r="I48">
            <v>1999</v>
          </cell>
          <cell r="J48" t="str">
            <v>I</v>
          </cell>
          <cell r="K48" t="str">
            <v>AD</v>
          </cell>
          <cell r="L48" t="str">
            <v>KE</v>
          </cell>
          <cell r="Y48">
            <v>0</v>
          </cell>
          <cell r="Z48">
            <v>0</v>
          </cell>
          <cell r="AA48">
            <v>0</v>
          </cell>
          <cell r="AB48">
            <v>0</v>
          </cell>
          <cell r="AC48">
            <v>0</v>
          </cell>
          <cell r="AD48">
            <v>0</v>
          </cell>
          <cell r="AE48">
            <v>0</v>
          </cell>
          <cell r="AF48">
            <v>0</v>
          </cell>
        </row>
        <row r="49">
          <cell r="B49" t="str">
            <v>AD-KN-980502</v>
          </cell>
          <cell r="C49" t="str">
            <v>AD-980502</v>
          </cell>
          <cell r="D49" t="str">
            <v>AD-KN</v>
          </cell>
          <cell r="E49" t="str">
            <v>OTR-AD-KN</v>
          </cell>
          <cell r="F49" t="str">
            <v>OTR-KN</v>
          </cell>
          <cell r="G49">
            <v>980502</v>
          </cell>
          <cell r="H49" t="str">
            <v>OTR</v>
          </cell>
          <cell r="I49">
            <v>1999</v>
          </cell>
          <cell r="J49" t="str">
            <v>I</v>
          </cell>
          <cell r="K49" t="str">
            <v>AD</v>
          </cell>
          <cell r="L49" t="str">
            <v>KN</v>
          </cell>
          <cell r="Y49">
            <v>0</v>
          </cell>
          <cell r="Z49">
            <v>0</v>
          </cell>
          <cell r="AA49">
            <v>0</v>
          </cell>
          <cell r="AB49">
            <v>0</v>
          </cell>
          <cell r="AC49">
            <v>0</v>
          </cell>
          <cell r="AD49">
            <v>0</v>
          </cell>
          <cell r="AE49">
            <v>0</v>
          </cell>
          <cell r="AF49">
            <v>0</v>
          </cell>
        </row>
        <row r="50">
          <cell r="B50" t="str">
            <v>CO-KE-980502</v>
          </cell>
          <cell r="C50" t="str">
            <v>CO-980502</v>
          </cell>
          <cell r="D50" t="str">
            <v>CO-KE</v>
          </cell>
          <cell r="E50" t="str">
            <v>OTR-CO-KE</v>
          </cell>
          <cell r="F50" t="str">
            <v>OTR-KE</v>
          </cell>
          <cell r="G50">
            <v>980502</v>
          </cell>
          <cell r="H50" t="str">
            <v>OTR</v>
          </cell>
          <cell r="I50">
            <v>1999</v>
          </cell>
          <cell r="J50" t="str">
            <v>I</v>
          </cell>
          <cell r="K50" t="str">
            <v>CO</v>
          </cell>
          <cell r="L50" t="str">
            <v>KE</v>
          </cell>
          <cell r="Y50">
            <v>0</v>
          </cell>
          <cell r="Z50">
            <v>0</v>
          </cell>
          <cell r="AA50">
            <v>0</v>
          </cell>
          <cell r="AB50">
            <v>0</v>
          </cell>
          <cell r="AC50">
            <v>0</v>
          </cell>
          <cell r="AD50">
            <v>0</v>
          </cell>
          <cell r="AE50">
            <v>0</v>
          </cell>
          <cell r="AF50">
            <v>0</v>
          </cell>
        </row>
        <row r="51">
          <cell r="B51" t="str">
            <v>CO-KN-980502</v>
          </cell>
          <cell r="C51" t="str">
            <v>CO-980502</v>
          </cell>
          <cell r="D51" t="str">
            <v>CO-KN</v>
          </cell>
          <cell r="E51" t="str">
            <v>OTR-CO-KN</v>
          </cell>
          <cell r="F51" t="str">
            <v>OTR-KN</v>
          </cell>
          <cell r="G51">
            <v>980502</v>
          </cell>
          <cell r="H51" t="str">
            <v>OTR</v>
          </cell>
          <cell r="I51">
            <v>1999</v>
          </cell>
          <cell r="J51" t="str">
            <v>I</v>
          </cell>
          <cell r="K51" t="str">
            <v>CO</v>
          </cell>
          <cell r="L51" t="str">
            <v>KN</v>
          </cell>
          <cell r="Y51">
            <v>0</v>
          </cell>
          <cell r="Z51">
            <v>0</v>
          </cell>
          <cell r="AA51">
            <v>0</v>
          </cell>
          <cell r="AB51">
            <v>0</v>
          </cell>
          <cell r="AC51">
            <v>0</v>
          </cell>
          <cell r="AD51">
            <v>0</v>
          </cell>
          <cell r="AE51">
            <v>0</v>
          </cell>
          <cell r="AF51">
            <v>0</v>
          </cell>
        </row>
        <row r="52">
          <cell r="B52" t="str">
            <v>IN-KE-980502</v>
          </cell>
          <cell r="C52" t="str">
            <v>IN-980502</v>
          </cell>
          <cell r="D52" t="str">
            <v>IN-KE</v>
          </cell>
          <cell r="E52" t="str">
            <v>OTR-IN-KE</v>
          </cell>
          <cell r="F52" t="str">
            <v>OTR-KE</v>
          </cell>
          <cell r="G52">
            <v>980502</v>
          </cell>
          <cell r="H52" t="str">
            <v>OTR</v>
          </cell>
          <cell r="I52">
            <v>1999</v>
          </cell>
          <cell r="J52" t="str">
            <v>I</v>
          </cell>
          <cell r="K52" t="str">
            <v>IN</v>
          </cell>
          <cell r="L52" t="str">
            <v>KE</v>
          </cell>
          <cell r="Y52">
            <v>0</v>
          </cell>
          <cell r="Z52">
            <v>0</v>
          </cell>
          <cell r="AA52">
            <v>0</v>
          </cell>
          <cell r="AB52">
            <v>0</v>
          </cell>
          <cell r="AC52">
            <v>0</v>
          </cell>
          <cell r="AD52">
            <v>0</v>
          </cell>
          <cell r="AE52">
            <v>0</v>
          </cell>
          <cell r="AF52">
            <v>0</v>
          </cell>
        </row>
        <row r="53">
          <cell r="B53" t="str">
            <v>IN-KN-980502</v>
          </cell>
          <cell r="C53" t="str">
            <v>IN-980502</v>
          </cell>
          <cell r="D53" t="str">
            <v>IN-KN</v>
          </cell>
          <cell r="E53" t="str">
            <v>OTR-IN-KN</v>
          </cell>
          <cell r="F53" t="str">
            <v>OTR-KN</v>
          </cell>
          <cell r="G53">
            <v>980502</v>
          </cell>
          <cell r="H53" t="str">
            <v>OTR</v>
          </cell>
          <cell r="I53">
            <v>1999</v>
          </cell>
          <cell r="J53" t="str">
            <v>I</v>
          </cell>
          <cell r="K53" t="str">
            <v>IN</v>
          </cell>
          <cell r="L53" t="str">
            <v>KN</v>
          </cell>
          <cell r="Y53">
            <v>0</v>
          </cell>
          <cell r="Z53">
            <v>0</v>
          </cell>
          <cell r="AA53">
            <v>0</v>
          </cell>
          <cell r="AB53">
            <v>0</v>
          </cell>
          <cell r="AC53">
            <v>0</v>
          </cell>
          <cell r="AD53">
            <v>0</v>
          </cell>
          <cell r="AE53">
            <v>0</v>
          </cell>
          <cell r="AF53">
            <v>0</v>
          </cell>
        </row>
        <row r="54">
          <cell r="B54" t="str">
            <v>AD-KE-980503</v>
          </cell>
          <cell r="C54" t="str">
            <v>AD-980503</v>
          </cell>
          <cell r="D54" t="str">
            <v>AD-KE</v>
          </cell>
          <cell r="E54" t="str">
            <v>DIV-AD-KE</v>
          </cell>
          <cell r="F54" t="str">
            <v>DIV-KE</v>
          </cell>
          <cell r="G54">
            <v>980503</v>
          </cell>
          <cell r="H54" t="str">
            <v>DIV</v>
          </cell>
          <cell r="I54">
            <v>1999</v>
          </cell>
          <cell r="J54" t="str">
            <v>I</v>
          </cell>
          <cell r="K54" t="str">
            <v>AD</v>
          </cell>
          <cell r="L54" t="str">
            <v>KE</v>
          </cell>
          <cell r="Y54">
            <v>0</v>
          </cell>
          <cell r="Z54">
            <v>0</v>
          </cell>
          <cell r="AA54">
            <v>0</v>
          </cell>
          <cell r="AB54">
            <v>0</v>
          </cell>
          <cell r="AC54">
            <v>0</v>
          </cell>
          <cell r="AD54">
            <v>0</v>
          </cell>
          <cell r="AE54">
            <v>0</v>
          </cell>
          <cell r="AF54">
            <v>0</v>
          </cell>
        </row>
        <row r="55">
          <cell r="B55" t="str">
            <v>AD-KN-980503</v>
          </cell>
          <cell r="C55" t="str">
            <v>AD-980503</v>
          </cell>
          <cell r="D55" t="str">
            <v>AD-KN</v>
          </cell>
          <cell r="E55" t="str">
            <v>DIV-AD-KN</v>
          </cell>
          <cell r="F55" t="str">
            <v>DIV-KN</v>
          </cell>
          <cell r="G55">
            <v>980503</v>
          </cell>
          <cell r="H55" t="str">
            <v>DIV</v>
          </cell>
          <cell r="I55">
            <v>1999</v>
          </cell>
          <cell r="J55" t="str">
            <v>I</v>
          </cell>
          <cell r="K55" t="str">
            <v>AD</v>
          </cell>
          <cell r="L55" t="str">
            <v>KN</v>
          </cell>
          <cell r="Y55">
            <v>0</v>
          </cell>
          <cell r="Z55">
            <v>0</v>
          </cell>
          <cell r="AA55">
            <v>0</v>
          </cell>
          <cell r="AB55">
            <v>0</v>
          </cell>
          <cell r="AC55">
            <v>0</v>
          </cell>
          <cell r="AD55">
            <v>0</v>
          </cell>
          <cell r="AE55">
            <v>0</v>
          </cell>
          <cell r="AF55">
            <v>0</v>
          </cell>
        </row>
        <row r="56">
          <cell r="B56" t="str">
            <v>CO-KE-980503</v>
          </cell>
          <cell r="C56" t="str">
            <v>CO-980503</v>
          </cell>
          <cell r="D56" t="str">
            <v>CO-KE</v>
          </cell>
          <cell r="E56" t="str">
            <v>DIV-CO-KE</v>
          </cell>
          <cell r="F56" t="str">
            <v>DIV-KE</v>
          </cell>
          <cell r="G56">
            <v>980503</v>
          </cell>
          <cell r="H56" t="str">
            <v>DIV</v>
          </cell>
          <cell r="I56">
            <v>1999</v>
          </cell>
          <cell r="J56" t="str">
            <v>I</v>
          </cell>
          <cell r="K56" t="str">
            <v>CO</v>
          </cell>
          <cell r="L56" t="str">
            <v>KE</v>
          </cell>
          <cell r="Y56">
            <v>0</v>
          </cell>
          <cell r="Z56">
            <v>0</v>
          </cell>
          <cell r="AA56">
            <v>0</v>
          </cell>
          <cell r="AB56">
            <v>0</v>
          </cell>
          <cell r="AC56">
            <v>0</v>
          </cell>
          <cell r="AD56">
            <v>0</v>
          </cell>
          <cell r="AE56">
            <v>0</v>
          </cell>
          <cell r="AF56">
            <v>0</v>
          </cell>
        </row>
        <row r="57">
          <cell r="B57" t="str">
            <v>CO-KN-980503</v>
          </cell>
          <cell r="C57" t="str">
            <v>CO-980503</v>
          </cell>
          <cell r="D57" t="str">
            <v>CO-KN</v>
          </cell>
          <cell r="E57" t="str">
            <v>DIV-CO-KN</v>
          </cell>
          <cell r="F57" t="str">
            <v>DIV-KN</v>
          </cell>
          <cell r="G57">
            <v>980503</v>
          </cell>
          <cell r="H57" t="str">
            <v>DIV</v>
          </cell>
          <cell r="I57">
            <v>1999</v>
          </cell>
          <cell r="J57" t="str">
            <v>I</v>
          </cell>
          <cell r="K57" t="str">
            <v>CO</v>
          </cell>
          <cell r="L57" t="str">
            <v>KN</v>
          </cell>
          <cell r="Y57">
            <v>0</v>
          </cell>
          <cell r="Z57">
            <v>0</v>
          </cell>
          <cell r="AA57">
            <v>0</v>
          </cell>
          <cell r="AB57">
            <v>0</v>
          </cell>
          <cell r="AC57">
            <v>0</v>
          </cell>
          <cell r="AD57">
            <v>0</v>
          </cell>
          <cell r="AE57">
            <v>0</v>
          </cell>
          <cell r="AF57">
            <v>0</v>
          </cell>
        </row>
        <row r="58">
          <cell r="B58" t="str">
            <v>IN-KE-980503</v>
          </cell>
          <cell r="C58" t="str">
            <v>IN-980503</v>
          </cell>
          <cell r="D58" t="str">
            <v>IN-KE</v>
          </cell>
          <cell r="E58" t="str">
            <v>DIV-IN-KE</v>
          </cell>
          <cell r="F58" t="str">
            <v>DIV-KE</v>
          </cell>
          <cell r="G58">
            <v>980503</v>
          </cell>
          <cell r="H58" t="str">
            <v>DIV</v>
          </cell>
          <cell r="I58">
            <v>1999</v>
          </cell>
          <cell r="J58" t="str">
            <v>I</v>
          </cell>
          <cell r="K58" t="str">
            <v>IN</v>
          </cell>
          <cell r="L58" t="str">
            <v>KE</v>
          </cell>
          <cell r="Y58">
            <v>0</v>
          </cell>
          <cell r="Z58">
            <v>0</v>
          </cell>
          <cell r="AA58">
            <v>0</v>
          </cell>
          <cell r="AB58">
            <v>0</v>
          </cell>
          <cell r="AC58">
            <v>0</v>
          </cell>
          <cell r="AD58">
            <v>0</v>
          </cell>
          <cell r="AE58">
            <v>0</v>
          </cell>
          <cell r="AF58">
            <v>0</v>
          </cell>
        </row>
        <row r="59">
          <cell r="B59" t="str">
            <v>IN-KN-980503</v>
          </cell>
          <cell r="C59" t="str">
            <v>IN-980503</v>
          </cell>
          <cell r="D59" t="str">
            <v>IN-KN</v>
          </cell>
          <cell r="E59" t="str">
            <v>DIV-IN-KN</v>
          </cell>
          <cell r="F59" t="str">
            <v>DIV-KN</v>
          </cell>
          <cell r="G59">
            <v>980503</v>
          </cell>
          <cell r="H59" t="str">
            <v>DIV</v>
          </cell>
          <cell r="I59">
            <v>1999</v>
          </cell>
          <cell r="J59" t="str">
            <v>I</v>
          </cell>
          <cell r="K59" t="str">
            <v>IN</v>
          </cell>
          <cell r="L59" t="str">
            <v>KN</v>
          </cell>
          <cell r="Y59">
            <v>0</v>
          </cell>
          <cell r="Z59">
            <v>0</v>
          </cell>
          <cell r="AA59">
            <v>0</v>
          </cell>
          <cell r="AB59">
            <v>0</v>
          </cell>
          <cell r="AC59">
            <v>0</v>
          </cell>
          <cell r="AD59">
            <v>0</v>
          </cell>
          <cell r="AE59">
            <v>0</v>
          </cell>
          <cell r="AF59">
            <v>0</v>
          </cell>
        </row>
        <row r="60">
          <cell r="B60" t="str">
            <v>AD-KE-980602</v>
          </cell>
          <cell r="C60" t="str">
            <v>AD-980602</v>
          </cell>
          <cell r="D60" t="str">
            <v>AD-KE</v>
          </cell>
          <cell r="E60" t="str">
            <v>OTR-AD-KE</v>
          </cell>
          <cell r="F60" t="str">
            <v>OTR-KE</v>
          </cell>
          <cell r="G60">
            <v>980602</v>
          </cell>
          <cell r="H60" t="str">
            <v>OTR</v>
          </cell>
          <cell r="I60">
            <v>1999</v>
          </cell>
          <cell r="J60" t="str">
            <v>I</v>
          </cell>
          <cell r="K60" t="str">
            <v>AD</v>
          </cell>
          <cell r="L60" t="str">
            <v>KE</v>
          </cell>
          <cell r="Y60">
            <v>0</v>
          </cell>
          <cell r="Z60">
            <v>0</v>
          </cell>
          <cell r="AA60">
            <v>0</v>
          </cell>
          <cell r="AB60">
            <v>0</v>
          </cell>
          <cell r="AC60">
            <v>0</v>
          </cell>
          <cell r="AD60">
            <v>0</v>
          </cell>
          <cell r="AE60">
            <v>0</v>
          </cell>
          <cell r="AF60">
            <v>0</v>
          </cell>
        </row>
        <row r="61">
          <cell r="B61" t="str">
            <v>AD-KN-980602</v>
          </cell>
          <cell r="C61" t="str">
            <v>AD-980602</v>
          </cell>
          <cell r="D61" t="str">
            <v>AD-KN</v>
          </cell>
          <cell r="E61" t="str">
            <v>OTR-AD-KN</v>
          </cell>
          <cell r="F61" t="str">
            <v>OTR-KN</v>
          </cell>
          <cell r="G61">
            <v>980602</v>
          </cell>
          <cell r="H61" t="str">
            <v>OTR</v>
          </cell>
          <cell r="I61">
            <v>1999</v>
          </cell>
          <cell r="J61" t="str">
            <v>I</v>
          </cell>
          <cell r="K61" t="str">
            <v>AD</v>
          </cell>
          <cell r="L61" t="str">
            <v>KN</v>
          </cell>
          <cell r="Y61">
            <v>0</v>
          </cell>
          <cell r="Z61">
            <v>0</v>
          </cell>
          <cell r="AA61">
            <v>0</v>
          </cell>
          <cell r="AB61">
            <v>0</v>
          </cell>
          <cell r="AC61">
            <v>0</v>
          </cell>
          <cell r="AD61">
            <v>0</v>
          </cell>
          <cell r="AE61">
            <v>0</v>
          </cell>
          <cell r="AF61">
            <v>0</v>
          </cell>
        </row>
        <row r="62">
          <cell r="B62" t="str">
            <v>CO-KE-980602</v>
          </cell>
          <cell r="C62" t="str">
            <v>CO-980602</v>
          </cell>
          <cell r="D62" t="str">
            <v>CO-KE</v>
          </cell>
          <cell r="E62" t="str">
            <v>OTR-CO-KE</v>
          </cell>
          <cell r="F62" t="str">
            <v>OTR-KE</v>
          </cell>
          <cell r="G62">
            <v>980602</v>
          </cell>
          <cell r="H62" t="str">
            <v>OTR</v>
          </cell>
          <cell r="I62">
            <v>1999</v>
          </cell>
          <cell r="J62" t="str">
            <v>I</v>
          </cell>
          <cell r="K62" t="str">
            <v>CO</v>
          </cell>
          <cell r="L62" t="str">
            <v>KE</v>
          </cell>
          <cell r="Y62">
            <v>0</v>
          </cell>
          <cell r="Z62">
            <v>0</v>
          </cell>
          <cell r="AA62">
            <v>0</v>
          </cell>
          <cell r="AB62">
            <v>0</v>
          </cell>
          <cell r="AC62">
            <v>0</v>
          </cell>
          <cell r="AD62">
            <v>0</v>
          </cell>
          <cell r="AE62">
            <v>0</v>
          </cell>
          <cell r="AF62">
            <v>0</v>
          </cell>
        </row>
        <row r="63">
          <cell r="B63" t="str">
            <v>CO-KN-980602</v>
          </cell>
          <cell r="C63" t="str">
            <v>CO-980602</v>
          </cell>
          <cell r="D63" t="str">
            <v>CO-KN</v>
          </cell>
          <cell r="E63" t="str">
            <v>OTR-CO-KN</v>
          </cell>
          <cell r="F63" t="str">
            <v>OTR-KN</v>
          </cell>
          <cell r="G63">
            <v>980602</v>
          </cell>
          <cell r="H63" t="str">
            <v>OTR</v>
          </cell>
          <cell r="I63">
            <v>1999</v>
          </cell>
          <cell r="J63" t="str">
            <v>I</v>
          </cell>
          <cell r="K63" t="str">
            <v>CO</v>
          </cell>
          <cell r="L63" t="str">
            <v>KN</v>
          </cell>
          <cell r="Y63">
            <v>0</v>
          </cell>
          <cell r="Z63">
            <v>0</v>
          </cell>
          <cell r="AA63">
            <v>0</v>
          </cell>
          <cell r="AB63">
            <v>0</v>
          </cell>
          <cell r="AC63">
            <v>0</v>
          </cell>
          <cell r="AD63">
            <v>0</v>
          </cell>
          <cell r="AE63">
            <v>0</v>
          </cell>
          <cell r="AF63">
            <v>0</v>
          </cell>
        </row>
        <row r="64">
          <cell r="B64" t="str">
            <v>IN-KE-980602</v>
          </cell>
          <cell r="C64" t="str">
            <v>IN-980602</v>
          </cell>
          <cell r="D64" t="str">
            <v>IN-KE</v>
          </cell>
          <cell r="E64" t="str">
            <v>OTR-IN-KE</v>
          </cell>
          <cell r="F64" t="str">
            <v>OTR-KE</v>
          </cell>
          <cell r="G64">
            <v>980602</v>
          </cell>
          <cell r="H64" t="str">
            <v>OTR</v>
          </cell>
          <cell r="I64">
            <v>1999</v>
          </cell>
          <cell r="J64" t="str">
            <v>I</v>
          </cell>
          <cell r="K64" t="str">
            <v>IN</v>
          </cell>
          <cell r="L64" t="str">
            <v>KE</v>
          </cell>
          <cell r="Y64">
            <v>0</v>
          </cell>
          <cell r="Z64">
            <v>0</v>
          </cell>
          <cell r="AA64">
            <v>0</v>
          </cell>
          <cell r="AB64">
            <v>0</v>
          </cell>
          <cell r="AC64">
            <v>0</v>
          </cell>
          <cell r="AD64">
            <v>0</v>
          </cell>
          <cell r="AE64">
            <v>0</v>
          </cell>
          <cell r="AF64">
            <v>0</v>
          </cell>
        </row>
        <row r="65">
          <cell r="B65" t="str">
            <v>IN-KN-980602</v>
          </cell>
          <cell r="C65" t="str">
            <v>IN-980602</v>
          </cell>
          <cell r="D65" t="str">
            <v>IN-KN</v>
          </cell>
          <cell r="E65" t="str">
            <v>OTR-IN-KN</v>
          </cell>
          <cell r="F65" t="str">
            <v>OTR-KN</v>
          </cell>
          <cell r="G65">
            <v>980602</v>
          </cell>
          <cell r="H65" t="str">
            <v>OTR</v>
          </cell>
          <cell r="I65">
            <v>1999</v>
          </cell>
          <cell r="J65" t="str">
            <v>I</v>
          </cell>
          <cell r="K65" t="str">
            <v>IN</v>
          </cell>
          <cell r="L65" t="str">
            <v>KN</v>
          </cell>
          <cell r="Y65">
            <v>0</v>
          </cell>
          <cell r="Z65">
            <v>0</v>
          </cell>
          <cell r="AA65">
            <v>0</v>
          </cell>
          <cell r="AB65">
            <v>0</v>
          </cell>
          <cell r="AC65">
            <v>0</v>
          </cell>
          <cell r="AD65">
            <v>0</v>
          </cell>
          <cell r="AE65">
            <v>0</v>
          </cell>
          <cell r="AF65">
            <v>0</v>
          </cell>
        </row>
        <row r="66">
          <cell r="B66" t="str">
            <v>AD-KE-980808</v>
          </cell>
          <cell r="C66" t="str">
            <v>AD-980808</v>
          </cell>
          <cell r="D66" t="str">
            <v>AD-KE</v>
          </cell>
          <cell r="E66" t="str">
            <v>DIV-AD-KE</v>
          </cell>
          <cell r="F66" t="str">
            <v>DIV-KE</v>
          </cell>
          <cell r="G66">
            <v>980808</v>
          </cell>
          <cell r="H66" t="str">
            <v>DIV</v>
          </cell>
          <cell r="I66">
            <v>1999</v>
          </cell>
          <cell r="J66" t="str">
            <v>I</v>
          </cell>
          <cell r="K66" t="str">
            <v>AD</v>
          </cell>
          <cell r="L66" t="str">
            <v>KE</v>
          </cell>
          <cell r="Y66">
            <v>0</v>
          </cell>
          <cell r="Z66">
            <v>0</v>
          </cell>
          <cell r="AA66">
            <v>0</v>
          </cell>
          <cell r="AB66">
            <v>0</v>
          </cell>
          <cell r="AC66">
            <v>0</v>
          </cell>
          <cell r="AD66">
            <v>0</v>
          </cell>
          <cell r="AE66">
            <v>0</v>
          </cell>
          <cell r="AF66">
            <v>0</v>
          </cell>
        </row>
        <row r="67">
          <cell r="B67" t="str">
            <v>AD-KN-980808</v>
          </cell>
          <cell r="C67" t="str">
            <v>AD-980808</v>
          </cell>
          <cell r="D67" t="str">
            <v>AD-KN</v>
          </cell>
          <cell r="E67" t="str">
            <v>DIV-AD-KN</v>
          </cell>
          <cell r="F67" t="str">
            <v>DIV-KN</v>
          </cell>
          <cell r="G67">
            <v>980808</v>
          </cell>
          <cell r="H67" t="str">
            <v>DIV</v>
          </cell>
          <cell r="I67">
            <v>1999</v>
          </cell>
          <cell r="J67" t="str">
            <v>I</v>
          </cell>
          <cell r="K67" t="str">
            <v>AD</v>
          </cell>
          <cell r="L67" t="str">
            <v>KN</v>
          </cell>
          <cell r="Y67">
            <v>0</v>
          </cell>
          <cell r="Z67">
            <v>0</v>
          </cell>
          <cell r="AA67">
            <v>0</v>
          </cell>
          <cell r="AB67">
            <v>0</v>
          </cell>
          <cell r="AC67">
            <v>0</v>
          </cell>
          <cell r="AD67">
            <v>0</v>
          </cell>
          <cell r="AE67">
            <v>0</v>
          </cell>
          <cell r="AF67">
            <v>0</v>
          </cell>
        </row>
        <row r="68">
          <cell r="B68" t="str">
            <v>CO-KE-980808</v>
          </cell>
          <cell r="C68" t="str">
            <v>CO-980808</v>
          </cell>
          <cell r="D68" t="str">
            <v>CO-KE</v>
          </cell>
          <cell r="E68" t="str">
            <v>DIV-CO-KE</v>
          </cell>
          <cell r="F68" t="str">
            <v>DIV-KE</v>
          </cell>
          <cell r="G68">
            <v>980808</v>
          </cell>
          <cell r="H68" t="str">
            <v>DIV</v>
          </cell>
          <cell r="I68">
            <v>1999</v>
          </cell>
          <cell r="J68" t="str">
            <v>I</v>
          </cell>
          <cell r="K68" t="str">
            <v>CO</v>
          </cell>
          <cell r="L68" t="str">
            <v>KE</v>
          </cell>
          <cell r="Y68">
            <v>0</v>
          </cell>
          <cell r="Z68">
            <v>0</v>
          </cell>
          <cell r="AA68">
            <v>0</v>
          </cell>
          <cell r="AB68">
            <v>0</v>
          </cell>
          <cell r="AC68">
            <v>0</v>
          </cell>
          <cell r="AD68">
            <v>0</v>
          </cell>
          <cell r="AE68">
            <v>0</v>
          </cell>
          <cell r="AF68">
            <v>0</v>
          </cell>
        </row>
        <row r="69">
          <cell r="B69" t="str">
            <v>CO-KN-980808</v>
          </cell>
          <cell r="C69" t="str">
            <v>CO-980808</v>
          </cell>
          <cell r="D69" t="str">
            <v>CO-KN</v>
          </cell>
          <cell r="E69" t="str">
            <v>DIV-CO-KN</v>
          </cell>
          <cell r="F69" t="str">
            <v>DIV-KN</v>
          </cell>
          <cell r="G69">
            <v>980808</v>
          </cell>
          <cell r="H69" t="str">
            <v>DIV</v>
          </cell>
          <cell r="I69">
            <v>1999</v>
          </cell>
          <cell r="J69" t="str">
            <v>I</v>
          </cell>
          <cell r="K69" t="str">
            <v>CO</v>
          </cell>
          <cell r="L69" t="str">
            <v>KN</v>
          </cell>
          <cell r="Y69">
            <v>0</v>
          </cell>
          <cell r="Z69">
            <v>0</v>
          </cell>
          <cell r="AA69">
            <v>0</v>
          </cell>
          <cell r="AB69">
            <v>0</v>
          </cell>
          <cell r="AC69">
            <v>0</v>
          </cell>
          <cell r="AD69">
            <v>0</v>
          </cell>
          <cell r="AE69">
            <v>0</v>
          </cell>
          <cell r="AF69">
            <v>0</v>
          </cell>
        </row>
        <row r="70">
          <cell r="B70" t="str">
            <v>IN-KE-980808</v>
          </cell>
          <cell r="C70" t="str">
            <v>IN-980808</v>
          </cell>
          <cell r="D70" t="str">
            <v>IN-KE</v>
          </cell>
          <cell r="E70" t="str">
            <v>DIV-IN-KE</v>
          </cell>
          <cell r="F70" t="str">
            <v>DIV-KE</v>
          </cell>
          <cell r="G70">
            <v>980808</v>
          </cell>
          <cell r="H70" t="str">
            <v>DIV</v>
          </cell>
          <cell r="I70">
            <v>1999</v>
          </cell>
          <cell r="J70" t="str">
            <v>I</v>
          </cell>
          <cell r="K70" t="str">
            <v>IN</v>
          </cell>
          <cell r="L70" t="str">
            <v>KE</v>
          </cell>
          <cell r="Y70">
            <v>0</v>
          </cell>
          <cell r="Z70">
            <v>0</v>
          </cell>
          <cell r="AA70">
            <v>0</v>
          </cell>
          <cell r="AB70">
            <v>0</v>
          </cell>
          <cell r="AC70">
            <v>0</v>
          </cell>
          <cell r="AD70">
            <v>0</v>
          </cell>
          <cell r="AE70">
            <v>0</v>
          </cell>
          <cell r="AF70">
            <v>0</v>
          </cell>
        </row>
        <row r="71">
          <cell r="B71" t="str">
            <v>IN-KN-980808</v>
          </cell>
          <cell r="C71" t="str">
            <v>IN-980808</v>
          </cell>
          <cell r="D71" t="str">
            <v>IN-KN</v>
          </cell>
          <cell r="E71" t="str">
            <v>DIV-IN-KN</v>
          </cell>
          <cell r="F71" t="str">
            <v>DIV-KN</v>
          </cell>
          <cell r="G71">
            <v>980808</v>
          </cell>
          <cell r="H71" t="str">
            <v>DIV</v>
          </cell>
          <cell r="I71">
            <v>1999</v>
          </cell>
          <cell r="J71" t="str">
            <v>I</v>
          </cell>
          <cell r="K71" t="str">
            <v>IN</v>
          </cell>
          <cell r="L71" t="str">
            <v>KN</v>
          </cell>
          <cell r="Y71">
            <v>0</v>
          </cell>
          <cell r="Z71">
            <v>0</v>
          </cell>
          <cell r="AA71">
            <v>0</v>
          </cell>
          <cell r="AB71">
            <v>0</v>
          </cell>
          <cell r="AC71">
            <v>0</v>
          </cell>
          <cell r="AD71">
            <v>0</v>
          </cell>
          <cell r="AE71">
            <v>0</v>
          </cell>
          <cell r="AF71">
            <v>0</v>
          </cell>
        </row>
        <row r="72">
          <cell r="B72" t="str">
            <v>AD-KE-980809</v>
          </cell>
          <cell r="C72" t="str">
            <v>AD-980809</v>
          </cell>
          <cell r="D72" t="str">
            <v>AD-KE</v>
          </cell>
          <cell r="E72" t="str">
            <v>PRI-AD-KE</v>
          </cell>
          <cell r="F72" t="str">
            <v>PRI-KE</v>
          </cell>
          <cell r="G72">
            <v>980809</v>
          </cell>
          <cell r="H72" t="str">
            <v>PRI</v>
          </cell>
          <cell r="I72">
            <v>2000</v>
          </cell>
          <cell r="J72" t="str">
            <v>I</v>
          </cell>
          <cell r="K72" t="str">
            <v>AD</v>
          </cell>
          <cell r="L72" t="str">
            <v>KE</v>
          </cell>
          <cell r="Y72">
            <v>0</v>
          </cell>
          <cell r="Z72">
            <v>0</v>
          </cell>
          <cell r="AA72">
            <v>0</v>
          </cell>
          <cell r="AB72">
            <v>0</v>
          </cell>
          <cell r="AC72">
            <v>0</v>
          </cell>
          <cell r="AD72">
            <v>0</v>
          </cell>
          <cell r="AE72">
            <v>0</v>
          </cell>
          <cell r="AF72">
            <v>0</v>
          </cell>
        </row>
        <row r="73">
          <cell r="B73" t="str">
            <v>AD-KN-980809</v>
          </cell>
          <cell r="C73" t="str">
            <v>AD-980809</v>
          </cell>
          <cell r="D73" t="str">
            <v>AD-KN</v>
          </cell>
          <cell r="E73" t="str">
            <v>PRI-AD-KN</v>
          </cell>
          <cell r="F73" t="str">
            <v>PRI-KN</v>
          </cell>
          <cell r="G73">
            <v>980809</v>
          </cell>
          <cell r="H73" t="str">
            <v>PRI</v>
          </cell>
          <cell r="I73">
            <v>2000</v>
          </cell>
          <cell r="J73" t="str">
            <v>I</v>
          </cell>
          <cell r="K73" t="str">
            <v>AD</v>
          </cell>
          <cell r="L73" t="str">
            <v>KN</v>
          </cell>
          <cell r="Y73">
            <v>0</v>
          </cell>
          <cell r="Z73">
            <v>0</v>
          </cell>
          <cell r="AA73">
            <v>0</v>
          </cell>
          <cell r="AB73">
            <v>0</v>
          </cell>
          <cell r="AC73">
            <v>0</v>
          </cell>
          <cell r="AD73">
            <v>0</v>
          </cell>
          <cell r="AE73">
            <v>0</v>
          </cell>
          <cell r="AF73">
            <v>0</v>
          </cell>
        </row>
        <row r="74">
          <cell r="B74" t="str">
            <v>CO-KE-980809</v>
          </cell>
          <cell r="C74" t="str">
            <v>CO-980809</v>
          </cell>
          <cell r="D74" t="str">
            <v>CO-KE</v>
          </cell>
          <cell r="E74" t="str">
            <v>PRI-CO-KE</v>
          </cell>
          <cell r="F74" t="str">
            <v>PRI-KE</v>
          </cell>
          <cell r="G74">
            <v>980809</v>
          </cell>
          <cell r="H74" t="str">
            <v>PRI</v>
          </cell>
          <cell r="I74">
            <v>2000</v>
          </cell>
          <cell r="J74" t="str">
            <v>I</v>
          </cell>
          <cell r="K74" t="str">
            <v>CO</v>
          </cell>
          <cell r="L74" t="str">
            <v>KE</v>
          </cell>
          <cell r="Y74">
            <v>0</v>
          </cell>
          <cell r="Z74">
            <v>0</v>
          </cell>
          <cell r="AA74">
            <v>0</v>
          </cell>
          <cell r="AB74">
            <v>0</v>
          </cell>
          <cell r="AC74">
            <v>0</v>
          </cell>
          <cell r="AD74">
            <v>0</v>
          </cell>
          <cell r="AE74">
            <v>0</v>
          </cell>
          <cell r="AF74">
            <v>0</v>
          </cell>
        </row>
        <row r="75">
          <cell r="B75" t="str">
            <v>CO-KN-980809</v>
          </cell>
          <cell r="C75" t="str">
            <v>CO-980809</v>
          </cell>
          <cell r="D75" t="str">
            <v>CO-KN</v>
          </cell>
          <cell r="E75" t="str">
            <v>PRI-CO-KN</v>
          </cell>
          <cell r="F75" t="str">
            <v>PRI-KN</v>
          </cell>
          <cell r="G75">
            <v>980809</v>
          </cell>
          <cell r="H75" t="str">
            <v>PRI</v>
          </cell>
          <cell r="I75">
            <v>2000</v>
          </cell>
          <cell r="J75" t="str">
            <v>I</v>
          </cell>
          <cell r="K75" t="str">
            <v>CO</v>
          </cell>
          <cell r="L75" t="str">
            <v>KN</v>
          </cell>
          <cell r="Y75">
            <v>0</v>
          </cell>
          <cell r="Z75">
            <v>0</v>
          </cell>
          <cell r="AA75">
            <v>0</v>
          </cell>
          <cell r="AB75">
            <v>0</v>
          </cell>
          <cell r="AC75">
            <v>0</v>
          </cell>
          <cell r="AD75">
            <v>0</v>
          </cell>
          <cell r="AE75">
            <v>0</v>
          </cell>
          <cell r="AF75">
            <v>0</v>
          </cell>
        </row>
        <row r="76">
          <cell r="B76" t="str">
            <v>IN-KE-980809</v>
          </cell>
          <cell r="C76" t="str">
            <v>IN-980809</v>
          </cell>
          <cell r="D76" t="str">
            <v>IN-KE</v>
          </cell>
          <cell r="E76" t="str">
            <v>PRI-IN-KE</v>
          </cell>
          <cell r="F76" t="str">
            <v>PRI-KE</v>
          </cell>
          <cell r="G76">
            <v>980809</v>
          </cell>
          <cell r="H76" t="str">
            <v>PRI</v>
          </cell>
          <cell r="I76">
            <v>2000</v>
          </cell>
          <cell r="J76" t="str">
            <v>I</v>
          </cell>
          <cell r="K76" t="str">
            <v>IN</v>
          </cell>
          <cell r="L76" t="str">
            <v>KE</v>
          </cell>
          <cell r="Y76">
            <v>0</v>
          </cell>
          <cell r="Z76">
            <v>0</v>
          </cell>
          <cell r="AA76">
            <v>0</v>
          </cell>
          <cell r="AB76">
            <v>0</v>
          </cell>
          <cell r="AC76">
            <v>0</v>
          </cell>
          <cell r="AD76">
            <v>0</v>
          </cell>
          <cell r="AE76">
            <v>0</v>
          </cell>
          <cell r="AF76">
            <v>0</v>
          </cell>
        </row>
        <row r="77">
          <cell r="B77" t="str">
            <v>IN-KN-980809</v>
          </cell>
          <cell r="C77" t="str">
            <v>IN-980809</v>
          </cell>
          <cell r="D77" t="str">
            <v>IN-KN</v>
          </cell>
          <cell r="E77" t="str">
            <v>PRI-IN-KN</v>
          </cell>
          <cell r="F77" t="str">
            <v>PRI-KN</v>
          </cell>
          <cell r="G77">
            <v>980809</v>
          </cell>
          <cell r="H77" t="str">
            <v>PRI</v>
          </cell>
          <cell r="I77">
            <v>2000</v>
          </cell>
          <cell r="J77" t="str">
            <v>I</v>
          </cell>
          <cell r="K77" t="str">
            <v>IN</v>
          </cell>
          <cell r="L77" t="str">
            <v>KN</v>
          </cell>
          <cell r="Y77">
            <v>0</v>
          </cell>
          <cell r="Z77">
            <v>0</v>
          </cell>
          <cell r="AA77">
            <v>0</v>
          </cell>
          <cell r="AB77">
            <v>0</v>
          </cell>
          <cell r="AC77">
            <v>0</v>
          </cell>
          <cell r="AD77">
            <v>0</v>
          </cell>
          <cell r="AE77">
            <v>0</v>
          </cell>
          <cell r="AF77">
            <v>0</v>
          </cell>
        </row>
        <row r="78">
          <cell r="B78" t="str">
            <v>AD-KE-981004</v>
          </cell>
          <cell r="C78" t="str">
            <v>AD-981004</v>
          </cell>
          <cell r="D78" t="str">
            <v>AD-KE</v>
          </cell>
          <cell r="E78" t="str">
            <v>OTR-AD-KE</v>
          </cell>
          <cell r="F78" t="str">
            <v>OTR-KE</v>
          </cell>
          <cell r="G78">
            <v>981004</v>
          </cell>
          <cell r="H78" t="str">
            <v>OTR</v>
          </cell>
          <cell r="I78">
            <v>1999</v>
          </cell>
          <cell r="J78" t="str">
            <v>I</v>
          </cell>
          <cell r="K78" t="str">
            <v>AD</v>
          </cell>
          <cell r="L78" t="str">
            <v>KE</v>
          </cell>
          <cell r="Y78">
            <v>0</v>
          </cell>
          <cell r="Z78">
            <v>0</v>
          </cell>
          <cell r="AA78">
            <v>0</v>
          </cell>
          <cell r="AB78">
            <v>0</v>
          </cell>
          <cell r="AC78">
            <v>0</v>
          </cell>
          <cell r="AD78">
            <v>0</v>
          </cell>
          <cell r="AE78">
            <v>0</v>
          </cell>
          <cell r="AF78">
            <v>0</v>
          </cell>
        </row>
        <row r="79">
          <cell r="B79" t="str">
            <v>AD-KN-981004</v>
          </cell>
          <cell r="C79" t="str">
            <v>AD-981004</v>
          </cell>
          <cell r="D79" t="str">
            <v>AD-KN</v>
          </cell>
          <cell r="E79" t="str">
            <v>OTR-AD-KN</v>
          </cell>
          <cell r="F79" t="str">
            <v>OTR-KN</v>
          </cell>
          <cell r="G79">
            <v>981004</v>
          </cell>
          <cell r="H79" t="str">
            <v>OTR</v>
          </cell>
          <cell r="I79">
            <v>1999</v>
          </cell>
          <cell r="J79" t="str">
            <v>I</v>
          </cell>
          <cell r="K79" t="str">
            <v>AD</v>
          </cell>
          <cell r="L79" t="str">
            <v>KN</v>
          </cell>
          <cell r="Y79">
            <v>0</v>
          </cell>
          <cell r="Z79">
            <v>0</v>
          </cell>
          <cell r="AA79">
            <v>0</v>
          </cell>
          <cell r="AB79">
            <v>0</v>
          </cell>
          <cell r="AC79">
            <v>0</v>
          </cell>
          <cell r="AD79">
            <v>0</v>
          </cell>
          <cell r="AE79">
            <v>0</v>
          </cell>
          <cell r="AF79">
            <v>0</v>
          </cell>
        </row>
        <row r="80">
          <cell r="B80" t="str">
            <v>CO-KE-981004</v>
          </cell>
          <cell r="C80" t="str">
            <v>CO-981004</v>
          </cell>
          <cell r="D80" t="str">
            <v>CO-KE</v>
          </cell>
          <cell r="E80" t="str">
            <v>OTR-CO-KE</v>
          </cell>
          <cell r="F80" t="str">
            <v>OTR-KE</v>
          </cell>
          <cell r="G80">
            <v>981004</v>
          </cell>
          <cell r="H80" t="str">
            <v>OTR</v>
          </cell>
          <cell r="I80">
            <v>1999</v>
          </cell>
          <cell r="J80" t="str">
            <v>I</v>
          </cell>
          <cell r="K80" t="str">
            <v>CO</v>
          </cell>
          <cell r="L80" t="str">
            <v>KE</v>
          </cell>
          <cell r="Y80">
            <v>0</v>
          </cell>
          <cell r="Z80">
            <v>0</v>
          </cell>
          <cell r="AA80">
            <v>0</v>
          </cell>
          <cell r="AB80">
            <v>0</v>
          </cell>
          <cell r="AC80">
            <v>0</v>
          </cell>
          <cell r="AD80">
            <v>0</v>
          </cell>
          <cell r="AE80">
            <v>0</v>
          </cell>
          <cell r="AF80">
            <v>0</v>
          </cell>
        </row>
        <row r="81">
          <cell r="B81" t="str">
            <v>CO-KN-981004</v>
          </cell>
          <cell r="C81" t="str">
            <v>CO-981004</v>
          </cell>
          <cell r="D81" t="str">
            <v>CO-KN</v>
          </cell>
          <cell r="E81" t="str">
            <v>OTR-CO-KN</v>
          </cell>
          <cell r="F81" t="str">
            <v>OTR-KN</v>
          </cell>
          <cell r="G81">
            <v>981004</v>
          </cell>
          <cell r="H81" t="str">
            <v>OTR</v>
          </cell>
          <cell r="I81">
            <v>1999</v>
          </cell>
          <cell r="J81" t="str">
            <v>I</v>
          </cell>
          <cell r="K81" t="str">
            <v>CO</v>
          </cell>
          <cell r="L81" t="str">
            <v>KN</v>
          </cell>
          <cell r="Y81">
            <v>0</v>
          </cell>
          <cell r="Z81">
            <v>0</v>
          </cell>
          <cell r="AA81">
            <v>0</v>
          </cell>
          <cell r="AB81">
            <v>0</v>
          </cell>
          <cell r="AC81">
            <v>0</v>
          </cell>
          <cell r="AD81">
            <v>0</v>
          </cell>
          <cell r="AE81">
            <v>0</v>
          </cell>
          <cell r="AF81">
            <v>0</v>
          </cell>
        </row>
        <row r="82">
          <cell r="B82" t="str">
            <v>IN-KE-981004</v>
          </cell>
          <cell r="C82" t="str">
            <v>IN-981004</v>
          </cell>
          <cell r="D82" t="str">
            <v>IN-KE</v>
          </cell>
          <cell r="E82" t="str">
            <v>OTR-IN-KE</v>
          </cell>
          <cell r="F82" t="str">
            <v>OTR-KE</v>
          </cell>
          <cell r="G82">
            <v>981004</v>
          </cell>
          <cell r="H82" t="str">
            <v>OTR</v>
          </cell>
          <cell r="I82">
            <v>1999</v>
          </cell>
          <cell r="J82" t="str">
            <v>I</v>
          </cell>
          <cell r="K82" t="str">
            <v>IN</v>
          </cell>
          <cell r="L82" t="str">
            <v>KE</v>
          </cell>
          <cell r="Y82">
            <v>0</v>
          </cell>
          <cell r="Z82">
            <v>0</v>
          </cell>
          <cell r="AA82">
            <v>0</v>
          </cell>
          <cell r="AB82">
            <v>0</v>
          </cell>
          <cell r="AC82">
            <v>0</v>
          </cell>
          <cell r="AD82">
            <v>0</v>
          </cell>
          <cell r="AE82">
            <v>0</v>
          </cell>
          <cell r="AF82">
            <v>0</v>
          </cell>
        </row>
        <row r="83">
          <cell r="B83" t="str">
            <v>IN-KN-981004</v>
          </cell>
          <cell r="C83" t="str">
            <v>IN-981004</v>
          </cell>
          <cell r="D83" t="str">
            <v>IN-KN</v>
          </cell>
          <cell r="E83" t="str">
            <v>OTR-IN-KN</v>
          </cell>
          <cell r="F83" t="str">
            <v>OTR-KN</v>
          </cell>
          <cell r="G83">
            <v>981004</v>
          </cell>
          <cell r="H83" t="str">
            <v>OTR</v>
          </cell>
          <cell r="I83">
            <v>1999</v>
          </cell>
          <cell r="J83" t="str">
            <v>I</v>
          </cell>
          <cell r="K83" t="str">
            <v>IN</v>
          </cell>
          <cell r="L83" t="str">
            <v>KN</v>
          </cell>
          <cell r="Y83">
            <v>0</v>
          </cell>
          <cell r="Z83">
            <v>0</v>
          </cell>
          <cell r="AA83">
            <v>0</v>
          </cell>
          <cell r="AB83">
            <v>0</v>
          </cell>
          <cell r="AC83">
            <v>0</v>
          </cell>
          <cell r="AD83">
            <v>0</v>
          </cell>
          <cell r="AE83">
            <v>0</v>
          </cell>
          <cell r="AF83">
            <v>0</v>
          </cell>
        </row>
        <row r="84">
          <cell r="B84" t="str">
            <v>AD-KE-A99M401</v>
          </cell>
          <cell r="C84" t="str">
            <v>AD-A99M401</v>
          </cell>
          <cell r="D84" t="str">
            <v>AD-KE</v>
          </cell>
          <cell r="E84" t="str">
            <v>PRI-AD-KE</v>
          </cell>
          <cell r="F84" t="str">
            <v>PRI-KE</v>
          </cell>
          <cell r="G84" t="str">
            <v>A99M401</v>
          </cell>
          <cell r="H84" t="str">
            <v>PRI</v>
          </cell>
          <cell r="I84">
            <v>1999</v>
          </cell>
          <cell r="J84" t="str">
            <v>I</v>
          </cell>
          <cell r="K84" t="str">
            <v>AD</v>
          </cell>
          <cell r="L84" t="str">
            <v>KE</v>
          </cell>
          <cell r="Y84">
            <v>0</v>
          </cell>
          <cell r="Z84">
            <v>0</v>
          </cell>
          <cell r="AA84">
            <v>0</v>
          </cell>
          <cell r="AB84">
            <v>0</v>
          </cell>
          <cell r="AC84">
            <v>0</v>
          </cell>
          <cell r="AD84">
            <v>0</v>
          </cell>
          <cell r="AE84">
            <v>0</v>
          </cell>
          <cell r="AF84">
            <v>0</v>
          </cell>
        </row>
        <row r="85">
          <cell r="B85" t="str">
            <v>AD-KN-A99M401</v>
          </cell>
          <cell r="C85" t="str">
            <v>AD-A99M401</v>
          </cell>
          <cell r="D85" t="str">
            <v>AD-KN</v>
          </cell>
          <cell r="E85" t="str">
            <v>PRI-AD-KN</v>
          </cell>
          <cell r="F85" t="str">
            <v>PRI-KN</v>
          </cell>
          <cell r="G85" t="str">
            <v>A99M401</v>
          </cell>
          <cell r="H85" t="str">
            <v>PRI</v>
          </cell>
          <cell r="I85">
            <v>1999</v>
          </cell>
          <cell r="J85" t="str">
            <v>I</v>
          </cell>
          <cell r="K85" t="str">
            <v>AD</v>
          </cell>
          <cell r="L85" t="str">
            <v>KN</v>
          </cell>
          <cell r="Y85">
            <v>0</v>
          </cell>
          <cell r="Z85">
            <v>0</v>
          </cell>
          <cell r="AA85">
            <v>0</v>
          </cell>
          <cell r="AB85">
            <v>0</v>
          </cell>
          <cell r="AC85">
            <v>0</v>
          </cell>
          <cell r="AD85">
            <v>0</v>
          </cell>
          <cell r="AE85">
            <v>0</v>
          </cell>
          <cell r="AF85">
            <v>0</v>
          </cell>
        </row>
        <row r="86">
          <cell r="B86" t="str">
            <v>CO-KE-A99M401</v>
          </cell>
          <cell r="C86" t="str">
            <v>CO-A99M401</v>
          </cell>
          <cell r="D86" t="str">
            <v>CO-KE</v>
          </cell>
          <cell r="E86" t="str">
            <v>PRI-CO-KE</v>
          </cell>
          <cell r="F86" t="str">
            <v>PRI-KE</v>
          </cell>
          <cell r="G86" t="str">
            <v>A99M401</v>
          </cell>
          <cell r="H86" t="str">
            <v>PRI</v>
          </cell>
          <cell r="I86">
            <v>1999</v>
          </cell>
          <cell r="J86" t="str">
            <v>I</v>
          </cell>
          <cell r="K86" t="str">
            <v>CO</v>
          </cell>
          <cell r="L86" t="str">
            <v>KE</v>
          </cell>
          <cell r="Y86">
            <v>0</v>
          </cell>
          <cell r="Z86">
            <v>0</v>
          </cell>
          <cell r="AA86">
            <v>0</v>
          </cell>
          <cell r="AB86">
            <v>0</v>
          </cell>
          <cell r="AC86">
            <v>0</v>
          </cell>
          <cell r="AD86">
            <v>0</v>
          </cell>
          <cell r="AE86">
            <v>0</v>
          </cell>
          <cell r="AF86">
            <v>0</v>
          </cell>
        </row>
        <row r="87">
          <cell r="B87" t="str">
            <v>CO-KN-A99M401</v>
          </cell>
          <cell r="C87" t="str">
            <v>CO-A99M401</v>
          </cell>
          <cell r="D87" t="str">
            <v>CO-KN</v>
          </cell>
          <cell r="E87" t="str">
            <v>PRI-CO-KN</v>
          </cell>
          <cell r="F87" t="str">
            <v>PRI-KN</v>
          </cell>
          <cell r="G87" t="str">
            <v>A99M401</v>
          </cell>
          <cell r="H87" t="str">
            <v>PRI</v>
          </cell>
          <cell r="I87">
            <v>1999</v>
          </cell>
          <cell r="J87" t="str">
            <v>I</v>
          </cell>
          <cell r="K87" t="str">
            <v>CO</v>
          </cell>
          <cell r="L87" t="str">
            <v>KN</v>
          </cell>
          <cell r="Y87">
            <v>0</v>
          </cell>
          <cell r="Z87">
            <v>0</v>
          </cell>
          <cell r="AA87">
            <v>0</v>
          </cell>
          <cell r="AB87">
            <v>0</v>
          </cell>
          <cell r="AC87">
            <v>0</v>
          </cell>
          <cell r="AD87">
            <v>0</v>
          </cell>
          <cell r="AE87">
            <v>0</v>
          </cell>
          <cell r="AF87">
            <v>0</v>
          </cell>
        </row>
        <row r="88">
          <cell r="B88" t="str">
            <v>IN-KE-A99M401</v>
          </cell>
          <cell r="C88" t="str">
            <v>IN-A99M401</v>
          </cell>
          <cell r="D88" t="str">
            <v>IN-KE</v>
          </cell>
          <cell r="E88" t="str">
            <v>PRI-IN-KE</v>
          </cell>
          <cell r="F88" t="str">
            <v>PRI-KE</v>
          </cell>
          <cell r="G88" t="str">
            <v>A99M401</v>
          </cell>
          <cell r="H88" t="str">
            <v>PRI</v>
          </cell>
          <cell r="I88">
            <v>1999</v>
          </cell>
          <cell r="J88" t="str">
            <v>I</v>
          </cell>
          <cell r="K88" t="str">
            <v>IN</v>
          </cell>
          <cell r="L88" t="str">
            <v>KE</v>
          </cell>
          <cell r="Y88">
            <v>0</v>
          </cell>
          <cell r="Z88">
            <v>0</v>
          </cell>
          <cell r="AA88">
            <v>0</v>
          </cell>
          <cell r="AB88">
            <v>0</v>
          </cell>
          <cell r="AC88">
            <v>0</v>
          </cell>
          <cell r="AD88">
            <v>0</v>
          </cell>
          <cell r="AE88">
            <v>0</v>
          </cell>
          <cell r="AF88">
            <v>0</v>
          </cell>
        </row>
        <row r="89">
          <cell r="B89" t="str">
            <v>IN-KN-A99M401</v>
          </cell>
          <cell r="C89" t="str">
            <v>IN-A99M401</v>
          </cell>
          <cell r="D89" t="str">
            <v>IN-KN</v>
          </cell>
          <cell r="E89" t="str">
            <v>PRI-IN-KN</v>
          </cell>
          <cell r="F89" t="str">
            <v>PRI-KN</v>
          </cell>
          <cell r="G89" t="str">
            <v>A99M401</v>
          </cell>
          <cell r="H89" t="str">
            <v>PRI</v>
          </cell>
          <cell r="I89">
            <v>1999</v>
          </cell>
          <cell r="J89" t="str">
            <v>I</v>
          </cell>
          <cell r="K89" t="str">
            <v>IN</v>
          </cell>
          <cell r="L89" t="str">
            <v>KN</v>
          </cell>
          <cell r="Y89">
            <v>0</v>
          </cell>
          <cell r="Z89">
            <v>0</v>
          </cell>
          <cell r="AA89">
            <v>0</v>
          </cell>
          <cell r="AB89">
            <v>0</v>
          </cell>
          <cell r="AC89">
            <v>0</v>
          </cell>
          <cell r="AD89">
            <v>0</v>
          </cell>
          <cell r="AE89">
            <v>0</v>
          </cell>
          <cell r="AF89">
            <v>0</v>
          </cell>
        </row>
        <row r="90">
          <cell r="B90" t="str">
            <v>AD-KE-A99M402</v>
          </cell>
          <cell r="C90" t="str">
            <v>AD-A99M402</v>
          </cell>
          <cell r="D90" t="str">
            <v>AD-KE</v>
          </cell>
          <cell r="E90" t="str">
            <v>PRI-AD-KE</v>
          </cell>
          <cell r="F90" t="str">
            <v>PRI-KE</v>
          </cell>
          <cell r="G90" t="str">
            <v>A99M402</v>
          </cell>
          <cell r="H90" t="str">
            <v>PRI</v>
          </cell>
          <cell r="I90">
            <v>1999</v>
          </cell>
          <cell r="J90" t="str">
            <v>I</v>
          </cell>
          <cell r="K90" t="str">
            <v>AD</v>
          </cell>
          <cell r="L90" t="str">
            <v>KE</v>
          </cell>
          <cell r="Y90">
            <v>0</v>
          </cell>
          <cell r="Z90">
            <v>0</v>
          </cell>
          <cell r="AA90">
            <v>0</v>
          </cell>
          <cell r="AB90">
            <v>0</v>
          </cell>
          <cell r="AC90">
            <v>0</v>
          </cell>
          <cell r="AD90">
            <v>0</v>
          </cell>
          <cell r="AE90">
            <v>0</v>
          </cell>
          <cell r="AF90">
            <v>0</v>
          </cell>
        </row>
        <row r="91">
          <cell r="B91" t="str">
            <v>AD-KN-A99M402</v>
          </cell>
          <cell r="C91" t="str">
            <v>AD-A99M402</v>
          </cell>
          <cell r="D91" t="str">
            <v>AD-KN</v>
          </cell>
          <cell r="E91" t="str">
            <v>PRI-AD-KN</v>
          </cell>
          <cell r="F91" t="str">
            <v>PRI-KN</v>
          </cell>
          <cell r="G91" t="str">
            <v>A99M402</v>
          </cell>
          <cell r="H91" t="str">
            <v>PRI</v>
          </cell>
          <cell r="I91">
            <v>1999</v>
          </cell>
          <cell r="J91" t="str">
            <v>I</v>
          </cell>
          <cell r="K91" t="str">
            <v>AD</v>
          </cell>
          <cell r="L91" t="str">
            <v>KN</v>
          </cell>
          <cell r="Y91">
            <v>0</v>
          </cell>
          <cell r="Z91">
            <v>0</v>
          </cell>
          <cell r="AA91">
            <v>0</v>
          </cell>
          <cell r="AB91">
            <v>0</v>
          </cell>
          <cell r="AC91">
            <v>0</v>
          </cell>
          <cell r="AD91">
            <v>0</v>
          </cell>
          <cell r="AE91">
            <v>0</v>
          </cell>
          <cell r="AF91">
            <v>0</v>
          </cell>
        </row>
        <row r="92">
          <cell r="B92" t="str">
            <v>CO-KE-A99M402</v>
          </cell>
          <cell r="C92" t="str">
            <v>CO-A99M402</v>
          </cell>
          <cell r="D92" t="str">
            <v>CO-KE</v>
          </cell>
          <cell r="E92" t="str">
            <v>PRI-CO-KE</v>
          </cell>
          <cell r="F92" t="str">
            <v>PRI-KE</v>
          </cell>
          <cell r="G92" t="str">
            <v>A99M402</v>
          </cell>
          <cell r="H92" t="str">
            <v>PRI</v>
          </cell>
          <cell r="I92">
            <v>1999</v>
          </cell>
          <cell r="J92" t="str">
            <v>I</v>
          </cell>
          <cell r="K92" t="str">
            <v>CO</v>
          </cell>
          <cell r="L92" t="str">
            <v>KE</v>
          </cell>
          <cell r="Y92">
            <v>0</v>
          </cell>
          <cell r="Z92">
            <v>0</v>
          </cell>
          <cell r="AA92">
            <v>0</v>
          </cell>
          <cell r="AB92">
            <v>0</v>
          </cell>
          <cell r="AC92">
            <v>0</v>
          </cell>
          <cell r="AD92">
            <v>0</v>
          </cell>
          <cell r="AE92">
            <v>0</v>
          </cell>
          <cell r="AF92">
            <v>0</v>
          </cell>
        </row>
        <row r="93">
          <cell r="B93" t="str">
            <v>CO-KN-A99M402</v>
          </cell>
          <cell r="C93" t="str">
            <v>CO-A99M402</v>
          </cell>
          <cell r="D93" t="str">
            <v>CO-KN</v>
          </cell>
          <cell r="E93" t="str">
            <v>PRI-CO-KN</v>
          </cell>
          <cell r="F93" t="str">
            <v>PRI-KN</v>
          </cell>
          <cell r="G93" t="str">
            <v>A99M402</v>
          </cell>
          <cell r="H93" t="str">
            <v>PRI</v>
          </cell>
          <cell r="I93">
            <v>1999</v>
          </cell>
          <cell r="J93" t="str">
            <v>I</v>
          </cell>
          <cell r="K93" t="str">
            <v>CO</v>
          </cell>
          <cell r="L93" t="str">
            <v>KN</v>
          </cell>
          <cell r="Y93">
            <v>0</v>
          </cell>
          <cell r="Z93">
            <v>0</v>
          </cell>
          <cell r="AA93">
            <v>0</v>
          </cell>
          <cell r="AB93">
            <v>0</v>
          </cell>
          <cell r="AC93">
            <v>0</v>
          </cell>
          <cell r="AD93">
            <v>0</v>
          </cell>
          <cell r="AE93">
            <v>0</v>
          </cell>
          <cell r="AF93">
            <v>0</v>
          </cell>
        </row>
        <row r="94">
          <cell r="B94" t="str">
            <v>IN-KE-A99M402</v>
          </cell>
          <cell r="C94" t="str">
            <v>IN-A99M402</v>
          </cell>
          <cell r="D94" t="str">
            <v>IN-KE</v>
          </cell>
          <cell r="E94" t="str">
            <v>PRI-IN-KE</v>
          </cell>
          <cell r="F94" t="str">
            <v>PRI-KE</v>
          </cell>
          <cell r="G94" t="str">
            <v>A99M402</v>
          </cell>
          <cell r="H94" t="str">
            <v>PRI</v>
          </cell>
          <cell r="I94">
            <v>1999</v>
          </cell>
          <cell r="J94" t="str">
            <v>I</v>
          </cell>
          <cell r="K94" t="str">
            <v>IN</v>
          </cell>
          <cell r="L94" t="str">
            <v>KE</v>
          </cell>
          <cell r="Y94">
            <v>0</v>
          </cell>
          <cell r="Z94">
            <v>0</v>
          </cell>
          <cell r="AA94">
            <v>0</v>
          </cell>
          <cell r="AB94">
            <v>0</v>
          </cell>
          <cell r="AC94">
            <v>0</v>
          </cell>
          <cell r="AD94">
            <v>0</v>
          </cell>
          <cell r="AE94">
            <v>0</v>
          </cell>
          <cell r="AF94">
            <v>0</v>
          </cell>
        </row>
        <row r="95">
          <cell r="B95" t="str">
            <v>IN-KN-A99M402</v>
          </cell>
          <cell r="C95" t="str">
            <v>IN-A99M402</v>
          </cell>
          <cell r="D95" t="str">
            <v>IN-KN</v>
          </cell>
          <cell r="E95" t="str">
            <v>PRI-IN-KN</v>
          </cell>
          <cell r="F95" t="str">
            <v>PRI-KN</v>
          </cell>
          <cell r="G95" t="str">
            <v>A99M402</v>
          </cell>
          <cell r="H95" t="str">
            <v>PRI</v>
          </cell>
          <cell r="I95">
            <v>1999</v>
          </cell>
          <cell r="J95" t="str">
            <v>I</v>
          </cell>
          <cell r="K95" t="str">
            <v>IN</v>
          </cell>
          <cell r="L95" t="str">
            <v>KN</v>
          </cell>
          <cell r="Y95">
            <v>0</v>
          </cell>
          <cell r="Z95">
            <v>0</v>
          </cell>
          <cell r="AA95">
            <v>0</v>
          </cell>
          <cell r="AB95">
            <v>0</v>
          </cell>
          <cell r="AC95">
            <v>0</v>
          </cell>
          <cell r="AD95">
            <v>0</v>
          </cell>
          <cell r="AE95">
            <v>0</v>
          </cell>
          <cell r="AF95">
            <v>0</v>
          </cell>
        </row>
        <row r="96">
          <cell r="B96" t="str">
            <v>AD-KE-A99M403</v>
          </cell>
          <cell r="C96" t="str">
            <v>AD-A99M403</v>
          </cell>
          <cell r="D96" t="str">
            <v>AD-KE</v>
          </cell>
          <cell r="E96" t="str">
            <v>OTR-AD-KE</v>
          </cell>
          <cell r="F96" t="str">
            <v>OTR-KE</v>
          </cell>
          <cell r="G96" t="str">
            <v>A99M403</v>
          </cell>
          <cell r="H96" t="str">
            <v>OTR</v>
          </cell>
          <cell r="I96">
            <v>1999</v>
          </cell>
          <cell r="J96" t="str">
            <v>I</v>
          </cell>
          <cell r="K96" t="str">
            <v>AD</v>
          </cell>
          <cell r="L96" t="str">
            <v>KE</v>
          </cell>
          <cell r="Y96">
            <v>0</v>
          </cell>
          <cell r="Z96">
            <v>0</v>
          </cell>
          <cell r="AA96">
            <v>0</v>
          </cell>
          <cell r="AB96">
            <v>0</v>
          </cell>
          <cell r="AC96">
            <v>0</v>
          </cell>
          <cell r="AD96">
            <v>0</v>
          </cell>
          <cell r="AE96">
            <v>0</v>
          </cell>
          <cell r="AF96">
            <v>0</v>
          </cell>
        </row>
        <row r="97">
          <cell r="B97" t="str">
            <v>AD-KN-A99M403</v>
          </cell>
          <cell r="C97" t="str">
            <v>AD-A99M403</v>
          </cell>
          <cell r="D97" t="str">
            <v>AD-KN</v>
          </cell>
          <cell r="E97" t="str">
            <v>OTR-AD-KN</v>
          </cell>
          <cell r="F97" t="str">
            <v>OTR-KN</v>
          </cell>
          <cell r="G97" t="str">
            <v>A99M403</v>
          </cell>
          <cell r="H97" t="str">
            <v>OTR</v>
          </cell>
          <cell r="I97">
            <v>1999</v>
          </cell>
          <cell r="J97" t="str">
            <v>I</v>
          </cell>
          <cell r="K97" t="str">
            <v>AD</v>
          </cell>
          <cell r="L97" t="str">
            <v>KN</v>
          </cell>
          <cell r="Y97">
            <v>0</v>
          </cell>
          <cell r="Z97">
            <v>0</v>
          </cell>
          <cell r="AA97">
            <v>0</v>
          </cell>
          <cell r="AB97">
            <v>0</v>
          </cell>
          <cell r="AC97">
            <v>0</v>
          </cell>
          <cell r="AD97">
            <v>0</v>
          </cell>
          <cell r="AE97">
            <v>0</v>
          </cell>
          <cell r="AF97">
            <v>0</v>
          </cell>
        </row>
        <row r="98">
          <cell r="B98" t="str">
            <v>CO-KE-A99M403</v>
          </cell>
          <cell r="C98" t="str">
            <v>CO-A99M403</v>
          </cell>
          <cell r="D98" t="str">
            <v>CO-KE</v>
          </cell>
          <cell r="E98" t="str">
            <v>OTR-CO-KE</v>
          </cell>
          <cell r="F98" t="str">
            <v>OTR-KE</v>
          </cell>
          <cell r="G98" t="str">
            <v>A99M403</v>
          </cell>
          <cell r="H98" t="str">
            <v>OTR</v>
          </cell>
          <cell r="I98">
            <v>1999</v>
          </cell>
          <cell r="J98" t="str">
            <v>I</v>
          </cell>
          <cell r="K98" t="str">
            <v>CO</v>
          </cell>
          <cell r="L98" t="str">
            <v>KE</v>
          </cell>
          <cell r="Y98">
            <v>0</v>
          </cell>
          <cell r="Z98">
            <v>0</v>
          </cell>
          <cell r="AA98">
            <v>0</v>
          </cell>
          <cell r="AB98">
            <v>0</v>
          </cell>
          <cell r="AC98">
            <v>0</v>
          </cell>
          <cell r="AD98">
            <v>0</v>
          </cell>
          <cell r="AE98">
            <v>0</v>
          </cell>
          <cell r="AF98">
            <v>0</v>
          </cell>
        </row>
        <row r="99">
          <cell r="B99" t="str">
            <v>CO-KN-A99M403</v>
          </cell>
          <cell r="C99" t="str">
            <v>CO-A99M403</v>
          </cell>
          <cell r="D99" t="str">
            <v>CO-KN</v>
          </cell>
          <cell r="E99" t="str">
            <v>OTR-CO-KN</v>
          </cell>
          <cell r="F99" t="str">
            <v>OTR-KN</v>
          </cell>
          <cell r="G99" t="str">
            <v>A99M403</v>
          </cell>
          <cell r="H99" t="str">
            <v>OTR</v>
          </cell>
          <cell r="I99">
            <v>1999</v>
          </cell>
          <cell r="J99" t="str">
            <v>I</v>
          </cell>
          <cell r="K99" t="str">
            <v>CO</v>
          </cell>
          <cell r="L99" t="str">
            <v>KN</v>
          </cell>
          <cell r="Y99">
            <v>0</v>
          </cell>
          <cell r="Z99">
            <v>0</v>
          </cell>
          <cell r="AA99">
            <v>0</v>
          </cell>
          <cell r="AB99">
            <v>0</v>
          </cell>
          <cell r="AC99">
            <v>0</v>
          </cell>
          <cell r="AD99">
            <v>0</v>
          </cell>
          <cell r="AE99">
            <v>0</v>
          </cell>
          <cell r="AF99">
            <v>0</v>
          </cell>
        </row>
        <row r="100">
          <cell r="B100" t="str">
            <v>IN-KE-A99M403</v>
          </cell>
          <cell r="C100" t="str">
            <v>IN-A99M403</v>
          </cell>
          <cell r="D100" t="str">
            <v>IN-KE</v>
          </cell>
          <cell r="E100" t="str">
            <v>OTR-IN-KE</v>
          </cell>
          <cell r="F100" t="str">
            <v>OTR-KE</v>
          </cell>
          <cell r="G100" t="str">
            <v>A99M403</v>
          </cell>
          <cell r="H100" t="str">
            <v>OTR</v>
          </cell>
          <cell r="I100">
            <v>1999</v>
          </cell>
          <cell r="J100" t="str">
            <v>I</v>
          </cell>
          <cell r="K100" t="str">
            <v>IN</v>
          </cell>
          <cell r="L100" t="str">
            <v>KE</v>
          </cell>
          <cell r="Y100">
            <v>0</v>
          </cell>
          <cell r="Z100">
            <v>0</v>
          </cell>
          <cell r="AA100">
            <v>0</v>
          </cell>
          <cell r="AB100">
            <v>0</v>
          </cell>
          <cell r="AC100">
            <v>0</v>
          </cell>
          <cell r="AD100">
            <v>0</v>
          </cell>
          <cell r="AE100">
            <v>0</v>
          </cell>
          <cell r="AF100">
            <v>0</v>
          </cell>
        </row>
        <row r="101">
          <cell r="B101" t="str">
            <v>IN-KN-A99M403</v>
          </cell>
          <cell r="C101" t="str">
            <v>IN-A99M403</v>
          </cell>
          <cell r="D101" t="str">
            <v>IN-KN</v>
          </cell>
          <cell r="E101" t="str">
            <v>OTR-IN-KN</v>
          </cell>
          <cell r="F101" t="str">
            <v>OTR-KN</v>
          </cell>
          <cell r="G101" t="str">
            <v>A99M403</v>
          </cell>
          <cell r="H101" t="str">
            <v>OTR</v>
          </cell>
          <cell r="I101">
            <v>1999</v>
          </cell>
          <cell r="J101" t="str">
            <v>I</v>
          </cell>
          <cell r="K101" t="str">
            <v>IN</v>
          </cell>
          <cell r="L101" t="str">
            <v>KN</v>
          </cell>
          <cell r="Y101">
            <v>0</v>
          </cell>
          <cell r="Z101">
            <v>0</v>
          </cell>
          <cell r="AA101">
            <v>0</v>
          </cell>
          <cell r="AB101">
            <v>0</v>
          </cell>
          <cell r="AC101">
            <v>0</v>
          </cell>
          <cell r="AD101">
            <v>0</v>
          </cell>
          <cell r="AE101">
            <v>0</v>
          </cell>
          <cell r="AF101">
            <v>0</v>
          </cell>
        </row>
        <row r="102">
          <cell r="B102" t="str">
            <v>AD-KE-A99M406</v>
          </cell>
          <cell r="C102" t="str">
            <v>AD-A99M406</v>
          </cell>
          <cell r="D102" t="str">
            <v>AD-KE</v>
          </cell>
          <cell r="E102" t="str">
            <v>OTR-AD-KE</v>
          </cell>
          <cell r="F102" t="str">
            <v>OTR-KE</v>
          </cell>
          <cell r="G102" t="str">
            <v>A99M406</v>
          </cell>
          <cell r="H102" t="str">
            <v>OTR</v>
          </cell>
          <cell r="I102">
            <v>1999</v>
          </cell>
          <cell r="J102" t="str">
            <v>I</v>
          </cell>
          <cell r="K102" t="str">
            <v>AD</v>
          </cell>
          <cell r="L102" t="str">
            <v>KE</v>
          </cell>
          <cell r="Y102">
            <v>0</v>
          </cell>
          <cell r="Z102">
            <v>0</v>
          </cell>
          <cell r="AA102">
            <v>0</v>
          </cell>
          <cell r="AB102">
            <v>0</v>
          </cell>
          <cell r="AC102">
            <v>0</v>
          </cell>
          <cell r="AD102">
            <v>0</v>
          </cell>
          <cell r="AE102">
            <v>0</v>
          </cell>
          <cell r="AF102">
            <v>0</v>
          </cell>
        </row>
        <row r="103">
          <cell r="B103" t="str">
            <v>AD-KN-A99M406</v>
          </cell>
          <cell r="C103" t="str">
            <v>AD-A99M406</v>
          </cell>
          <cell r="D103" t="str">
            <v>AD-KN</v>
          </cell>
          <cell r="E103" t="str">
            <v>OTR-AD-KN</v>
          </cell>
          <cell r="F103" t="str">
            <v>OTR-KN</v>
          </cell>
          <cell r="G103" t="str">
            <v>A99M406</v>
          </cell>
          <cell r="H103" t="str">
            <v>OTR</v>
          </cell>
          <cell r="I103">
            <v>1999</v>
          </cell>
          <cell r="J103" t="str">
            <v>I</v>
          </cell>
          <cell r="K103" t="str">
            <v>AD</v>
          </cell>
          <cell r="L103" t="str">
            <v>KN</v>
          </cell>
          <cell r="Y103">
            <v>0</v>
          </cell>
          <cell r="Z103">
            <v>0</v>
          </cell>
          <cell r="AA103">
            <v>0</v>
          </cell>
          <cell r="AB103">
            <v>0</v>
          </cell>
          <cell r="AC103">
            <v>0</v>
          </cell>
          <cell r="AD103">
            <v>0</v>
          </cell>
          <cell r="AE103">
            <v>0</v>
          </cell>
          <cell r="AF103">
            <v>0</v>
          </cell>
        </row>
        <row r="104">
          <cell r="B104" t="str">
            <v>CO-KE-A99M406</v>
          </cell>
          <cell r="C104" t="str">
            <v>CO-A99M406</v>
          </cell>
          <cell r="D104" t="str">
            <v>CO-KE</v>
          </cell>
          <cell r="E104" t="str">
            <v>OTR-CO-KE</v>
          </cell>
          <cell r="F104" t="str">
            <v>OTR-KE</v>
          </cell>
          <cell r="G104" t="str">
            <v>A99M406</v>
          </cell>
          <cell r="H104" t="str">
            <v>OTR</v>
          </cell>
          <cell r="I104">
            <v>1999</v>
          </cell>
          <cell r="J104" t="str">
            <v>I</v>
          </cell>
          <cell r="K104" t="str">
            <v>CO</v>
          </cell>
          <cell r="L104" t="str">
            <v>KE</v>
          </cell>
          <cell r="Y104">
            <v>0</v>
          </cell>
          <cell r="Z104">
            <v>0</v>
          </cell>
          <cell r="AA104">
            <v>0</v>
          </cell>
          <cell r="AB104">
            <v>0</v>
          </cell>
          <cell r="AC104">
            <v>0</v>
          </cell>
          <cell r="AD104">
            <v>0</v>
          </cell>
          <cell r="AE104">
            <v>0</v>
          </cell>
          <cell r="AF104">
            <v>0</v>
          </cell>
        </row>
        <row r="105">
          <cell r="B105" t="str">
            <v>CO-KN-A99M406</v>
          </cell>
          <cell r="C105" t="str">
            <v>CO-A99M406</v>
          </cell>
          <cell r="D105" t="str">
            <v>CO-KN</v>
          </cell>
          <cell r="E105" t="str">
            <v>OTR-CO-KN</v>
          </cell>
          <cell r="F105" t="str">
            <v>OTR-KN</v>
          </cell>
          <cell r="G105" t="str">
            <v>A99M406</v>
          </cell>
          <cell r="H105" t="str">
            <v>OTR</v>
          </cell>
          <cell r="I105">
            <v>1999</v>
          </cell>
          <cell r="J105" t="str">
            <v>I</v>
          </cell>
          <cell r="K105" t="str">
            <v>CO</v>
          </cell>
          <cell r="L105" t="str">
            <v>KN</v>
          </cell>
          <cell r="Y105">
            <v>0</v>
          </cell>
          <cell r="Z105">
            <v>0</v>
          </cell>
          <cell r="AA105">
            <v>0</v>
          </cell>
          <cell r="AB105">
            <v>0</v>
          </cell>
          <cell r="AC105">
            <v>0</v>
          </cell>
          <cell r="AD105">
            <v>0</v>
          </cell>
          <cell r="AE105">
            <v>0</v>
          </cell>
          <cell r="AF105">
            <v>0</v>
          </cell>
        </row>
        <row r="106">
          <cell r="B106" t="str">
            <v>IN-KE-A99M406</v>
          </cell>
          <cell r="C106" t="str">
            <v>IN-A99M406</v>
          </cell>
          <cell r="D106" t="str">
            <v>IN-KE</v>
          </cell>
          <cell r="E106" t="str">
            <v>OTR-IN-KE</v>
          </cell>
          <cell r="F106" t="str">
            <v>OTR-KE</v>
          </cell>
          <cell r="G106" t="str">
            <v>A99M406</v>
          </cell>
          <cell r="H106" t="str">
            <v>OTR</v>
          </cell>
          <cell r="I106">
            <v>1999</v>
          </cell>
          <cell r="J106" t="str">
            <v>I</v>
          </cell>
          <cell r="K106" t="str">
            <v>IN</v>
          </cell>
          <cell r="L106" t="str">
            <v>KE</v>
          </cell>
          <cell r="Y106">
            <v>0</v>
          </cell>
          <cell r="Z106">
            <v>0</v>
          </cell>
          <cell r="AA106">
            <v>0</v>
          </cell>
          <cell r="AB106">
            <v>0</v>
          </cell>
          <cell r="AC106">
            <v>0</v>
          </cell>
          <cell r="AD106">
            <v>0</v>
          </cell>
          <cell r="AE106">
            <v>0</v>
          </cell>
          <cell r="AF106">
            <v>0</v>
          </cell>
        </row>
        <row r="107">
          <cell r="B107" t="str">
            <v>IN-KN-A99M406</v>
          </cell>
          <cell r="C107" t="str">
            <v>IN-A99M406</v>
          </cell>
          <cell r="D107" t="str">
            <v>IN-KN</v>
          </cell>
          <cell r="E107" t="str">
            <v>OTR-IN-KN</v>
          </cell>
          <cell r="F107" t="str">
            <v>OTR-KN</v>
          </cell>
          <cell r="G107" t="str">
            <v>A99M406</v>
          </cell>
          <cell r="H107" t="str">
            <v>OTR</v>
          </cell>
          <cell r="I107">
            <v>1999</v>
          </cell>
          <cell r="J107" t="str">
            <v>I</v>
          </cell>
          <cell r="K107" t="str">
            <v>IN</v>
          </cell>
          <cell r="L107" t="str">
            <v>KN</v>
          </cell>
          <cell r="Y107">
            <v>0</v>
          </cell>
          <cell r="Z107">
            <v>0</v>
          </cell>
          <cell r="AA107">
            <v>0</v>
          </cell>
          <cell r="AB107">
            <v>0</v>
          </cell>
          <cell r="AC107">
            <v>0</v>
          </cell>
          <cell r="AD107">
            <v>0</v>
          </cell>
          <cell r="AE107">
            <v>0</v>
          </cell>
          <cell r="AF107">
            <v>0</v>
          </cell>
        </row>
        <row r="108">
          <cell r="B108" t="str">
            <v>AD-KE-A99M407</v>
          </cell>
          <cell r="C108" t="str">
            <v>AD-A99M407</v>
          </cell>
          <cell r="D108" t="str">
            <v>AD-KE</v>
          </cell>
          <cell r="E108" t="str">
            <v>PRI-AD-KE</v>
          </cell>
          <cell r="F108" t="str">
            <v>PRI-KE</v>
          </cell>
          <cell r="G108" t="str">
            <v>A99M407</v>
          </cell>
          <cell r="H108" t="str">
            <v>PRI</v>
          </cell>
          <cell r="I108">
            <v>2000</v>
          </cell>
          <cell r="J108" t="str">
            <v>I</v>
          </cell>
          <cell r="K108" t="str">
            <v>AD</v>
          </cell>
          <cell r="L108" t="str">
            <v>KE</v>
          </cell>
          <cell r="Y108">
            <v>0</v>
          </cell>
          <cell r="Z108">
            <v>0</v>
          </cell>
          <cell r="AA108">
            <v>0</v>
          </cell>
          <cell r="AB108">
            <v>0</v>
          </cell>
          <cell r="AC108">
            <v>0</v>
          </cell>
          <cell r="AD108">
            <v>0</v>
          </cell>
          <cell r="AE108">
            <v>0</v>
          </cell>
          <cell r="AF108">
            <v>0</v>
          </cell>
        </row>
        <row r="109">
          <cell r="B109" t="str">
            <v>AD-KN-A99M407</v>
          </cell>
          <cell r="C109" t="str">
            <v>AD-A99M407</v>
          </cell>
          <cell r="D109" t="str">
            <v>AD-KN</v>
          </cell>
          <cell r="E109" t="str">
            <v>PRI-AD-KN</v>
          </cell>
          <cell r="F109" t="str">
            <v>PRI-KN</v>
          </cell>
          <cell r="G109" t="str">
            <v>A99M407</v>
          </cell>
          <cell r="H109" t="str">
            <v>PRI</v>
          </cell>
          <cell r="I109">
            <v>2000</v>
          </cell>
          <cell r="J109" t="str">
            <v>I</v>
          </cell>
          <cell r="K109" t="str">
            <v>AD</v>
          </cell>
          <cell r="L109" t="str">
            <v>KN</v>
          </cell>
          <cell r="Y109">
            <v>0</v>
          </cell>
          <cell r="Z109">
            <v>0</v>
          </cell>
          <cell r="AA109">
            <v>0</v>
          </cell>
          <cell r="AB109">
            <v>0</v>
          </cell>
          <cell r="AC109">
            <v>0</v>
          </cell>
          <cell r="AD109">
            <v>0</v>
          </cell>
          <cell r="AE109">
            <v>0</v>
          </cell>
          <cell r="AF109">
            <v>0</v>
          </cell>
        </row>
        <row r="110">
          <cell r="B110" t="str">
            <v>CO-KE-A99M407</v>
          </cell>
          <cell r="C110" t="str">
            <v>CO-A99M407</v>
          </cell>
          <cell r="D110" t="str">
            <v>CO-KE</v>
          </cell>
          <cell r="E110" t="str">
            <v>PRI-CO-KE</v>
          </cell>
          <cell r="F110" t="str">
            <v>PRI-KE</v>
          </cell>
          <cell r="G110" t="str">
            <v>A99M407</v>
          </cell>
          <cell r="H110" t="str">
            <v>PRI</v>
          </cell>
          <cell r="I110">
            <v>2000</v>
          </cell>
          <cell r="J110" t="str">
            <v>I</v>
          </cell>
          <cell r="K110" t="str">
            <v>CO</v>
          </cell>
          <cell r="L110" t="str">
            <v>KE</v>
          </cell>
          <cell r="Y110">
            <v>0</v>
          </cell>
          <cell r="Z110">
            <v>0</v>
          </cell>
          <cell r="AA110">
            <v>0</v>
          </cell>
          <cell r="AB110">
            <v>0</v>
          </cell>
          <cell r="AC110">
            <v>0</v>
          </cell>
          <cell r="AD110">
            <v>0</v>
          </cell>
          <cell r="AE110">
            <v>0</v>
          </cell>
          <cell r="AF110">
            <v>0</v>
          </cell>
        </row>
        <row r="111">
          <cell r="B111" t="str">
            <v>CO-KN-A99M407</v>
          </cell>
          <cell r="C111" t="str">
            <v>CO-A99M407</v>
          </cell>
          <cell r="D111" t="str">
            <v>CO-KN</v>
          </cell>
          <cell r="E111" t="str">
            <v>PRI-CO-KN</v>
          </cell>
          <cell r="F111" t="str">
            <v>PRI-KN</v>
          </cell>
          <cell r="G111" t="str">
            <v>A99M407</v>
          </cell>
          <cell r="H111" t="str">
            <v>PRI</v>
          </cell>
          <cell r="I111">
            <v>2000</v>
          </cell>
          <cell r="J111" t="str">
            <v>I</v>
          </cell>
          <cell r="K111" t="str">
            <v>CO</v>
          </cell>
          <cell r="L111" t="str">
            <v>KN</v>
          </cell>
          <cell r="Y111">
            <v>0</v>
          </cell>
          <cell r="Z111">
            <v>0</v>
          </cell>
          <cell r="AA111">
            <v>0</v>
          </cell>
          <cell r="AB111">
            <v>0</v>
          </cell>
          <cell r="AC111">
            <v>0</v>
          </cell>
          <cell r="AD111">
            <v>0</v>
          </cell>
          <cell r="AE111">
            <v>0</v>
          </cell>
          <cell r="AF111">
            <v>0</v>
          </cell>
        </row>
        <row r="112">
          <cell r="B112" t="str">
            <v>IN-KE-A99M407</v>
          </cell>
          <cell r="C112" t="str">
            <v>IN-A99M407</v>
          </cell>
          <cell r="D112" t="str">
            <v>IN-KE</v>
          </cell>
          <cell r="E112" t="str">
            <v>PRI-IN-KE</v>
          </cell>
          <cell r="F112" t="str">
            <v>PRI-KE</v>
          </cell>
          <cell r="G112" t="str">
            <v>A99M407</v>
          </cell>
          <cell r="H112" t="str">
            <v>PRI</v>
          </cell>
          <cell r="I112">
            <v>2000</v>
          </cell>
          <cell r="J112" t="str">
            <v>I</v>
          </cell>
          <cell r="K112" t="str">
            <v>IN</v>
          </cell>
          <cell r="L112" t="str">
            <v>KE</v>
          </cell>
          <cell r="Y112">
            <v>0</v>
          </cell>
          <cell r="Z112">
            <v>0</v>
          </cell>
          <cell r="AA112">
            <v>0</v>
          </cell>
          <cell r="AB112">
            <v>0</v>
          </cell>
          <cell r="AC112">
            <v>0</v>
          </cell>
          <cell r="AD112">
            <v>0</v>
          </cell>
          <cell r="AE112">
            <v>0</v>
          </cell>
          <cell r="AF112">
            <v>0</v>
          </cell>
        </row>
        <row r="113">
          <cell r="B113" t="str">
            <v>IN-KN-A99M407</v>
          </cell>
          <cell r="C113" t="str">
            <v>IN-A99M407</v>
          </cell>
          <cell r="D113" t="str">
            <v>IN-KN</v>
          </cell>
          <cell r="E113" t="str">
            <v>PRI-IN-KN</v>
          </cell>
          <cell r="F113" t="str">
            <v>PRI-KN</v>
          </cell>
          <cell r="G113" t="str">
            <v>A99M407</v>
          </cell>
          <cell r="H113" t="str">
            <v>PRI</v>
          </cell>
          <cell r="I113">
            <v>2000</v>
          </cell>
          <cell r="J113" t="str">
            <v>I</v>
          </cell>
          <cell r="K113" t="str">
            <v>IN</v>
          </cell>
          <cell r="L113" t="str">
            <v>KN</v>
          </cell>
          <cell r="Y113">
            <v>0</v>
          </cell>
          <cell r="Z113">
            <v>0</v>
          </cell>
          <cell r="AA113">
            <v>0</v>
          </cell>
          <cell r="AB113">
            <v>0</v>
          </cell>
          <cell r="AC113">
            <v>0</v>
          </cell>
          <cell r="AD113">
            <v>0</v>
          </cell>
          <cell r="AE113">
            <v>0</v>
          </cell>
          <cell r="AF113">
            <v>0</v>
          </cell>
        </row>
        <row r="114">
          <cell r="B114" t="str">
            <v>AD-KE-A00M201</v>
          </cell>
          <cell r="C114" t="str">
            <v>AD-A00M201</v>
          </cell>
          <cell r="D114" t="str">
            <v>AD-KE</v>
          </cell>
          <cell r="E114" t="str">
            <v>OTR-AD-KE</v>
          </cell>
          <cell r="F114" t="str">
            <v>OTR-KE</v>
          </cell>
          <cell r="G114" t="str">
            <v>A00M201</v>
          </cell>
          <cell r="H114" t="str">
            <v>OTR</v>
          </cell>
          <cell r="I114">
            <v>2000</v>
          </cell>
          <cell r="J114" t="str">
            <v>I</v>
          </cell>
          <cell r="K114" t="str">
            <v>AD</v>
          </cell>
          <cell r="L114" t="str">
            <v>KE</v>
          </cell>
          <cell r="Y114">
            <v>0</v>
          </cell>
          <cell r="Z114">
            <v>0</v>
          </cell>
          <cell r="AA114">
            <v>0</v>
          </cell>
          <cell r="AB114">
            <v>0</v>
          </cell>
          <cell r="AC114">
            <v>0</v>
          </cell>
          <cell r="AD114">
            <v>0</v>
          </cell>
          <cell r="AE114">
            <v>0</v>
          </cell>
          <cell r="AF114">
            <v>0</v>
          </cell>
        </row>
        <row r="115">
          <cell r="B115" t="str">
            <v>AD-KN-A00M201</v>
          </cell>
          <cell r="C115" t="str">
            <v>AD-A00M201</v>
          </cell>
          <cell r="D115" t="str">
            <v>AD-KN</v>
          </cell>
          <cell r="E115" t="str">
            <v>OTR-AD-KN</v>
          </cell>
          <cell r="F115" t="str">
            <v>OTR-KN</v>
          </cell>
          <cell r="G115" t="str">
            <v>A00M201</v>
          </cell>
          <cell r="H115" t="str">
            <v>OTR</v>
          </cell>
          <cell r="I115">
            <v>2000</v>
          </cell>
          <cell r="J115" t="str">
            <v>I</v>
          </cell>
          <cell r="K115" t="str">
            <v>AD</v>
          </cell>
          <cell r="L115" t="str">
            <v>KN</v>
          </cell>
          <cell r="Y115">
            <v>0</v>
          </cell>
          <cell r="Z115">
            <v>0</v>
          </cell>
          <cell r="AA115">
            <v>0</v>
          </cell>
          <cell r="AB115">
            <v>0</v>
          </cell>
          <cell r="AC115">
            <v>0</v>
          </cell>
          <cell r="AD115">
            <v>0</v>
          </cell>
          <cell r="AE115">
            <v>0</v>
          </cell>
          <cell r="AF115">
            <v>0</v>
          </cell>
        </row>
        <row r="116">
          <cell r="B116" t="str">
            <v>CO-KE-A00M201</v>
          </cell>
          <cell r="C116" t="str">
            <v>CO-A00M201</v>
          </cell>
          <cell r="D116" t="str">
            <v>CO-KE</v>
          </cell>
          <cell r="E116" t="str">
            <v>OTR-CO-KE</v>
          </cell>
          <cell r="F116" t="str">
            <v>OTR-KE</v>
          </cell>
          <cell r="G116" t="str">
            <v>A00M201</v>
          </cell>
          <cell r="H116" t="str">
            <v>OTR</v>
          </cell>
          <cell r="I116">
            <v>2000</v>
          </cell>
          <cell r="J116" t="str">
            <v>I</v>
          </cell>
          <cell r="K116" t="str">
            <v>CO</v>
          </cell>
          <cell r="L116" t="str">
            <v>KE</v>
          </cell>
          <cell r="Y116">
            <v>0</v>
          </cell>
          <cell r="Z116">
            <v>0</v>
          </cell>
          <cell r="AA116">
            <v>0</v>
          </cell>
          <cell r="AB116">
            <v>0</v>
          </cell>
          <cell r="AC116">
            <v>0</v>
          </cell>
          <cell r="AD116">
            <v>0</v>
          </cell>
          <cell r="AE116">
            <v>0</v>
          </cell>
          <cell r="AF116">
            <v>0</v>
          </cell>
        </row>
        <row r="117">
          <cell r="B117" t="str">
            <v>CO-KN-A00M201</v>
          </cell>
          <cell r="C117" t="str">
            <v>CO-A00M201</v>
          </cell>
          <cell r="D117" t="str">
            <v>CO-KN</v>
          </cell>
          <cell r="E117" t="str">
            <v>OTR-CO-KN</v>
          </cell>
          <cell r="F117" t="str">
            <v>OTR-KN</v>
          </cell>
          <cell r="G117" t="str">
            <v>A00M201</v>
          </cell>
          <cell r="H117" t="str">
            <v>OTR</v>
          </cell>
          <cell r="I117">
            <v>2000</v>
          </cell>
          <cell r="J117" t="str">
            <v>I</v>
          </cell>
          <cell r="K117" t="str">
            <v>CO</v>
          </cell>
          <cell r="L117" t="str">
            <v>KN</v>
          </cell>
          <cell r="Y117">
            <v>0</v>
          </cell>
          <cell r="Z117">
            <v>0</v>
          </cell>
          <cell r="AA117">
            <v>0</v>
          </cell>
          <cell r="AB117">
            <v>0</v>
          </cell>
          <cell r="AC117">
            <v>0</v>
          </cell>
          <cell r="AD117">
            <v>0</v>
          </cell>
          <cell r="AE117">
            <v>0</v>
          </cell>
          <cell r="AF117">
            <v>0</v>
          </cell>
        </row>
        <row r="118">
          <cell r="B118" t="str">
            <v>IN-KE-A00M201</v>
          </cell>
          <cell r="C118" t="str">
            <v>IN-A00M201</v>
          </cell>
          <cell r="D118" t="str">
            <v>IN-KE</v>
          </cell>
          <cell r="E118" t="str">
            <v>OTR-IN-KE</v>
          </cell>
          <cell r="F118" t="str">
            <v>OTR-KE</v>
          </cell>
          <cell r="G118" t="str">
            <v>A00M201</v>
          </cell>
          <cell r="H118" t="str">
            <v>OTR</v>
          </cell>
          <cell r="I118">
            <v>2000</v>
          </cell>
          <cell r="J118" t="str">
            <v>I</v>
          </cell>
          <cell r="K118" t="str">
            <v>IN</v>
          </cell>
          <cell r="L118" t="str">
            <v>KE</v>
          </cell>
          <cell r="Y118">
            <v>0</v>
          </cell>
          <cell r="Z118">
            <v>0</v>
          </cell>
          <cell r="AA118">
            <v>0</v>
          </cell>
          <cell r="AB118">
            <v>0</v>
          </cell>
          <cell r="AC118">
            <v>0</v>
          </cell>
          <cell r="AD118">
            <v>0</v>
          </cell>
          <cell r="AE118">
            <v>0</v>
          </cell>
          <cell r="AF118">
            <v>0</v>
          </cell>
        </row>
        <row r="119">
          <cell r="B119" t="str">
            <v>IN-KN-A00M201</v>
          </cell>
          <cell r="C119" t="str">
            <v>IN-A00M201</v>
          </cell>
          <cell r="D119" t="str">
            <v>IN-KN</v>
          </cell>
          <cell r="E119" t="str">
            <v>OTR-IN-KN</v>
          </cell>
          <cell r="F119" t="str">
            <v>OTR-KN</v>
          </cell>
          <cell r="G119" t="str">
            <v>A00M201</v>
          </cell>
          <cell r="H119" t="str">
            <v>OTR</v>
          </cell>
          <cell r="I119">
            <v>2000</v>
          </cell>
          <cell r="J119" t="str">
            <v>I</v>
          </cell>
          <cell r="K119" t="str">
            <v>IN</v>
          </cell>
          <cell r="L119" t="str">
            <v>KN</v>
          </cell>
          <cell r="Y119">
            <v>0</v>
          </cell>
          <cell r="Z119">
            <v>0</v>
          </cell>
          <cell r="AA119">
            <v>0</v>
          </cell>
          <cell r="AB119">
            <v>0</v>
          </cell>
          <cell r="AC119">
            <v>0</v>
          </cell>
          <cell r="AD119">
            <v>0</v>
          </cell>
          <cell r="AE119">
            <v>0</v>
          </cell>
          <cell r="AF119">
            <v>0</v>
          </cell>
        </row>
        <row r="120">
          <cell r="B120" t="str">
            <v>AD-KE-A00M202</v>
          </cell>
          <cell r="C120" t="str">
            <v>AD-A00M202</v>
          </cell>
          <cell r="D120" t="str">
            <v>AD-KE</v>
          </cell>
          <cell r="E120" t="str">
            <v>PRI-AD-KE</v>
          </cell>
          <cell r="F120" t="str">
            <v>PRI-KE</v>
          </cell>
          <cell r="G120" t="str">
            <v>A00M202</v>
          </cell>
          <cell r="H120" t="str">
            <v>PRI</v>
          </cell>
          <cell r="I120">
            <v>2001</v>
          </cell>
          <cell r="J120" t="str">
            <v>I</v>
          </cell>
          <cell r="K120" t="str">
            <v>AD</v>
          </cell>
          <cell r="L120" t="str">
            <v>KE</v>
          </cell>
          <cell r="Y120">
            <v>0</v>
          </cell>
          <cell r="Z120">
            <v>0</v>
          </cell>
          <cell r="AA120">
            <v>0</v>
          </cell>
          <cell r="AB120">
            <v>0</v>
          </cell>
          <cell r="AC120">
            <v>0</v>
          </cell>
          <cell r="AD120">
            <v>0</v>
          </cell>
          <cell r="AE120">
            <v>0</v>
          </cell>
          <cell r="AF120">
            <v>0</v>
          </cell>
        </row>
        <row r="121">
          <cell r="B121" t="str">
            <v>AD-KN-A00M202</v>
          </cell>
          <cell r="C121" t="str">
            <v>AD-A00M202</v>
          </cell>
          <cell r="D121" t="str">
            <v>AD-KN</v>
          </cell>
          <cell r="E121" t="str">
            <v>PRI-AD-KN</v>
          </cell>
          <cell r="F121" t="str">
            <v>PRI-KN</v>
          </cell>
          <cell r="G121" t="str">
            <v>A00M202</v>
          </cell>
          <cell r="H121" t="str">
            <v>PRI</v>
          </cell>
          <cell r="I121">
            <v>2001</v>
          </cell>
          <cell r="J121" t="str">
            <v>I</v>
          </cell>
          <cell r="K121" t="str">
            <v>AD</v>
          </cell>
          <cell r="L121" t="str">
            <v>KN</v>
          </cell>
          <cell r="Y121">
            <v>0</v>
          </cell>
          <cell r="Z121">
            <v>0</v>
          </cell>
          <cell r="AA121">
            <v>0</v>
          </cell>
          <cell r="AB121">
            <v>0</v>
          </cell>
          <cell r="AC121">
            <v>0</v>
          </cell>
          <cell r="AD121">
            <v>0</v>
          </cell>
          <cell r="AE121">
            <v>0</v>
          </cell>
          <cell r="AF121">
            <v>0</v>
          </cell>
        </row>
        <row r="122">
          <cell r="B122" t="str">
            <v>CO-KE-A00M202</v>
          </cell>
          <cell r="C122" t="str">
            <v>CO-A00M202</v>
          </cell>
          <cell r="D122" t="str">
            <v>CO-KE</v>
          </cell>
          <cell r="E122" t="str">
            <v>PRI-CO-KE</v>
          </cell>
          <cell r="F122" t="str">
            <v>PRI-KE</v>
          </cell>
          <cell r="G122" t="str">
            <v>A00M202</v>
          </cell>
          <cell r="H122" t="str">
            <v>PRI</v>
          </cell>
          <cell r="I122">
            <v>2001</v>
          </cell>
          <cell r="J122" t="str">
            <v>I</v>
          </cell>
          <cell r="K122" t="str">
            <v>CO</v>
          </cell>
          <cell r="L122" t="str">
            <v>KE</v>
          </cell>
          <cell r="Y122">
            <v>0</v>
          </cell>
          <cell r="Z122">
            <v>0</v>
          </cell>
          <cell r="AA122">
            <v>0</v>
          </cell>
          <cell r="AB122">
            <v>0</v>
          </cell>
          <cell r="AC122">
            <v>0</v>
          </cell>
          <cell r="AD122">
            <v>0</v>
          </cell>
          <cell r="AE122">
            <v>0</v>
          </cell>
          <cell r="AF122">
            <v>0</v>
          </cell>
        </row>
        <row r="123">
          <cell r="B123" t="str">
            <v>CO-KN-A00M202</v>
          </cell>
          <cell r="C123" t="str">
            <v>CO-A00M202</v>
          </cell>
          <cell r="D123" t="str">
            <v>CO-KN</v>
          </cell>
          <cell r="E123" t="str">
            <v>PRI-CO-KN</v>
          </cell>
          <cell r="F123" t="str">
            <v>PRI-KN</v>
          </cell>
          <cell r="G123" t="str">
            <v>A00M202</v>
          </cell>
          <cell r="H123" t="str">
            <v>PRI</v>
          </cell>
          <cell r="I123">
            <v>2001</v>
          </cell>
          <cell r="J123" t="str">
            <v>I</v>
          </cell>
          <cell r="K123" t="str">
            <v>CO</v>
          </cell>
          <cell r="L123" t="str">
            <v>KN</v>
          </cell>
          <cell r="Y123">
            <v>0</v>
          </cell>
          <cell r="Z123">
            <v>0</v>
          </cell>
          <cell r="AA123">
            <v>0</v>
          </cell>
          <cell r="AB123">
            <v>0</v>
          </cell>
          <cell r="AC123">
            <v>0</v>
          </cell>
          <cell r="AD123">
            <v>0</v>
          </cell>
          <cell r="AE123">
            <v>0</v>
          </cell>
          <cell r="AF123">
            <v>0</v>
          </cell>
        </row>
        <row r="124">
          <cell r="B124" t="str">
            <v>IN-KE-A00M202</v>
          </cell>
          <cell r="C124" t="str">
            <v>IN-A00M202</v>
          </cell>
          <cell r="D124" t="str">
            <v>IN-KE</v>
          </cell>
          <cell r="E124" t="str">
            <v>PRI-IN-KE</v>
          </cell>
          <cell r="F124" t="str">
            <v>PRI-KE</v>
          </cell>
          <cell r="G124" t="str">
            <v>A00M202</v>
          </cell>
          <cell r="H124" t="str">
            <v>PRI</v>
          </cell>
          <cell r="I124">
            <v>2001</v>
          </cell>
          <cell r="J124" t="str">
            <v>I</v>
          </cell>
          <cell r="K124" t="str">
            <v>IN</v>
          </cell>
          <cell r="L124" t="str">
            <v>KE</v>
          </cell>
          <cell r="Y124">
            <v>0</v>
          </cell>
          <cell r="Z124">
            <v>0</v>
          </cell>
          <cell r="AA124">
            <v>0</v>
          </cell>
          <cell r="AB124">
            <v>0</v>
          </cell>
          <cell r="AC124">
            <v>0</v>
          </cell>
          <cell r="AD124">
            <v>0</v>
          </cell>
          <cell r="AE124">
            <v>0</v>
          </cell>
          <cell r="AF124">
            <v>0</v>
          </cell>
        </row>
        <row r="125">
          <cell r="B125" t="str">
            <v>IN-KN-A00M202</v>
          </cell>
          <cell r="C125" t="str">
            <v>IN-A00M202</v>
          </cell>
          <cell r="D125" t="str">
            <v>IN-KN</v>
          </cell>
          <cell r="E125" t="str">
            <v>PRI-IN-KN</v>
          </cell>
          <cell r="F125" t="str">
            <v>PRI-KN</v>
          </cell>
          <cell r="G125" t="str">
            <v>A00M202</v>
          </cell>
          <cell r="H125" t="str">
            <v>PRI</v>
          </cell>
          <cell r="I125">
            <v>2001</v>
          </cell>
          <cell r="J125" t="str">
            <v>I</v>
          </cell>
          <cell r="K125" t="str">
            <v>IN</v>
          </cell>
          <cell r="L125" t="str">
            <v>KN</v>
          </cell>
          <cell r="M125">
            <v>180</v>
          </cell>
          <cell r="N125">
            <v>51</v>
          </cell>
          <cell r="O125">
            <v>34</v>
          </cell>
          <cell r="Y125">
            <v>1393.32</v>
          </cell>
          <cell r="Z125">
            <v>265</v>
          </cell>
          <cell r="AA125">
            <v>0</v>
          </cell>
          <cell r="AB125">
            <v>1658.32</v>
          </cell>
          <cell r="AC125">
            <v>265</v>
          </cell>
          <cell r="AD125">
            <v>1658.32</v>
          </cell>
          <cell r="AE125">
            <v>0</v>
          </cell>
          <cell r="AF125">
            <v>-12.597443277</v>
          </cell>
        </row>
        <row r="126">
          <cell r="B126" t="str">
            <v>AD-KE-A00M401</v>
          </cell>
          <cell r="C126" t="str">
            <v>AD-A00M401</v>
          </cell>
          <cell r="D126" t="str">
            <v>AD-KE</v>
          </cell>
          <cell r="E126" t="str">
            <v>OTR-AD-KE</v>
          </cell>
          <cell r="F126" t="str">
            <v>OTR-KE</v>
          </cell>
          <cell r="G126" t="str">
            <v>A00M401</v>
          </cell>
          <cell r="H126" t="str">
            <v>OTR</v>
          </cell>
          <cell r="I126">
            <v>2001</v>
          </cell>
          <cell r="J126" t="str">
            <v>I</v>
          </cell>
          <cell r="K126" t="str">
            <v>AD</v>
          </cell>
          <cell r="L126" t="str">
            <v>KE</v>
          </cell>
          <cell r="M126">
            <v>-326</v>
          </cell>
          <cell r="N126">
            <v>314</v>
          </cell>
          <cell r="Y126">
            <v>322.2</v>
          </cell>
          <cell r="Z126">
            <v>-12</v>
          </cell>
          <cell r="AA126">
            <v>0</v>
          </cell>
          <cell r="AB126">
            <v>310.2</v>
          </cell>
          <cell r="AC126">
            <v>-12</v>
          </cell>
          <cell r="AD126">
            <v>310.2</v>
          </cell>
          <cell r="AE126">
            <v>0</v>
          </cell>
          <cell r="AF126">
            <v>-5.3913831832000003</v>
          </cell>
        </row>
        <row r="127">
          <cell r="B127" t="str">
            <v>AD-KN-A00M401</v>
          </cell>
          <cell r="C127" t="str">
            <v>AD-A00M401</v>
          </cell>
          <cell r="D127" t="str">
            <v>AD-KN</v>
          </cell>
          <cell r="E127" t="str">
            <v>OTR-AD-KN</v>
          </cell>
          <cell r="F127" t="str">
            <v>OTR-KN</v>
          </cell>
          <cell r="G127" t="str">
            <v>A00M401</v>
          </cell>
          <cell r="H127" t="str">
            <v>OTR</v>
          </cell>
          <cell r="I127">
            <v>2001</v>
          </cell>
          <cell r="J127" t="str">
            <v>I</v>
          </cell>
          <cell r="K127" t="str">
            <v>AD</v>
          </cell>
          <cell r="L127" t="str">
            <v>KN</v>
          </cell>
          <cell r="M127">
            <v>2.9</v>
          </cell>
          <cell r="N127">
            <v>5.6</v>
          </cell>
          <cell r="Y127">
            <v>0</v>
          </cell>
          <cell r="Z127">
            <v>8.5</v>
          </cell>
          <cell r="AA127">
            <v>0</v>
          </cell>
          <cell r="AB127">
            <v>8.5</v>
          </cell>
          <cell r="AC127">
            <v>8.5</v>
          </cell>
          <cell r="AD127">
            <v>8.5</v>
          </cell>
          <cell r="AE127">
            <v>0</v>
          </cell>
          <cell r="AF127">
            <v>-0.32753460188</v>
          </cell>
        </row>
        <row r="128">
          <cell r="B128" t="str">
            <v>CO-KE-A00M401</v>
          </cell>
          <cell r="C128" t="str">
            <v>CO-A00M401</v>
          </cell>
          <cell r="D128" t="str">
            <v>CO-KE</v>
          </cell>
          <cell r="E128" t="str">
            <v>OTR-CO-KE</v>
          </cell>
          <cell r="F128" t="str">
            <v>OTR-KE</v>
          </cell>
          <cell r="G128" t="str">
            <v>A00M401</v>
          </cell>
          <cell r="H128" t="str">
            <v>OTR</v>
          </cell>
          <cell r="I128">
            <v>2001</v>
          </cell>
          <cell r="J128" t="str">
            <v>I</v>
          </cell>
          <cell r="K128" t="str">
            <v>CO</v>
          </cell>
          <cell r="L128" t="str">
            <v>KE</v>
          </cell>
          <cell r="Y128">
            <v>0</v>
          </cell>
          <cell r="Z128">
            <v>0</v>
          </cell>
          <cell r="AA128">
            <v>0</v>
          </cell>
          <cell r="AB128">
            <v>0</v>
          </cell>
          <cell r="AC128">
            <v>0</v>
          </cell>
          <cell r="AD128">
            <v>0</v>
          </cell>
          <cell r="AE128">
            <v>0</v>
          </cell>
          <cell r="AF128">
            <v>0</v>
          </cell>
        </row>
        <row r="129">
          <cell r="B129" t="str">
            <v>CO-KN-A00M401</v>
          </cell>
          <cell r="C129" t="str">
            <v>CO-A00M401</v>
          </cell>
          <cell r="D129" t="str">
            <v>CO-KN</v>
          </cell>
          <cell r="E129" t="str">
            <v>OTR-CO-KN</v>
          </cell>
          <cell r="F129" t="str">
            <v>OTR-KN</v>
          </cell>
          <cell r="G129" t="str">
            <v>A00M401</v>
          </cell>
          <cell r="H129" t="str">
            <v>OTR</v>
          </cell>
          <cell r="I129">
            <v>2001</v>
          </cell>
          <cell r="J129" t="str">
            <v>I</v>
          </cell>
          <cell r="K129" t="str">
            <v>CO</v>
          </cell>
          <cell r="L129" t="str">
            <v>KN</v>
          </cell>
          <cell r="Y129">
            <v>0</v>
          </cell>
          <cell r="Z129">
            <v>0</v>
          </cell>
          <cell r="AA129">
            <v>0</v>
          </cell>
          <cell r="AB129">
            <v>0</v>
          </cell>
          <cell r="AC129">
            <v>0</v>
          </cell>
          <cell r="AD129">
            <v>0</v>
          </cell>
          <cell r="AE129">
            <v>0</v>
          </cell>
          <cell r="AF129">
            <v>0</v>
          </cell>
        </row>
        <row r="130">
          <cell r="B130" t="str">
            <v>IN-KE-A00M401</v>
          </cell>
          <cell r="C130" t="str">
            <v>IN-A00M401</v>
          </cell>
          <cell r="D130" t="str">
            <v>IN-KE</v>
          </cell>
          <cell r="E130" t="str">
            <v>OTR-IN-KE</v>
          </cell>
          <cell r="F130" t="str">
            <v>OTR-KE</v>
          </cell>
          <cell r="G130" t="str">
            <v>A00M401</v>
          </cell>
          <cell r="H130" t="str">
            <v>OTR</v>
          </cell>
          <cell r="I130">
            <v>2001</v>
          </cell>
          <cell r="J130" t="str">
            <v>I</v>
          </cell>
          <cell r="K130" t="str">
            <v>IN</v>
          </cell>
          <cell r="L130" t="str">
            <v>KE</v>
          </cell>
          <cell r="Y130">
            <v>0</v>
          </cell>
          <cell r="Z130">
            <v>0</v>
          </cell>
          <cell r="AA130">
            <v>0</v>
          </cell>
          <cell r="AB130">
            <v>0</v>
          </cell>
          <cell r="AC130">
            <v>0</v>
          </cell>
          <cell r="AD130">
            <v>0</v>
          </cell>
          <cell r="AE130">
            <v>0</v>
          </cell>
          <cell r="AF130">
            <v>0</v>
          </cell>
        </row>
        <row r="131">
          <cell r="B131" t="str">
            <v>IN-KN-A00M401</v>
          </cell>
          <cell r="C131" t="str">
            <v>IN-A00M401</v>
          </cell>
          <cell r="D131" t="str">
            <v>IN-KN</v>
          </cell>
          <cell r="E131" t="str">
            <v>OTR-IN-KN</v>
          </cell>
          <cell r="F131" t="str">
            <v>OTR-KN</v>
          </cell>
          <cell r="G131" t="str">
            <v>A00M401</v>
          </cell>
          <cell r="H131" t="str">
            <v>OTR</v>
          </cell>
          <cell r="I131">
            <v>2001</v>
          </cell>
          <cell r="J131" t="str">
            <v>I</v>
          </cell>
          <cell r="K131" t="str">
            <v>IN</v>
          </cell>
          <cell r="L131" t="str">
            <v>KN</v>
          </cell>
          <cell r="N131">
            <v>4.5</v>
          </cell>
          <cell r="O131">
            <v>5.0999999999999996</v>
          </cell>
          <cell r="Y131">
            <v>1.37</v>
          </cell>
          <cell r="Z131">
            <v>9.6</v>
          </cell>
          <cell r="AA131">
            <v>0</v>
          </cell>
          <cell r="AB131">
            <v>10.969999999999999</v>
          </cell>
          <cell r="AC131">
            <v>9.6</v>
          </cell>
          <cell r="AD131">
            <v>10.969999999999999</v>
          </cell>
          <cell r="AE131">
            <v>0</v>
          </cell>
          <cell r="AF131">
            <v>-0.53641664946000001</v>
          </cell>
        </row>
        <row r="132">
          <cell r="B132" t="str">
            <v>AD-KE-A00M405</v>
          </cell>
          <cell r="C132" t="str">
            <v>AD-A00M405</v>
          </cell>
          <cell r="D132" t="str">
            <v>AD-KE</v>
          </cell>
          <cell r="E132" t="str">
            <v>OTR-AD-KE</v>
          </cell>
          <cell r="F132" t="str">
            <v>OTR-KE</v>
          </cell>
          <cell r="G132" t="str">
            <v>A00M405</v>
          </cell>
          <cell r="H132" t="str">
            <v>OTR</v>
          </cell>
          <cell r="I132">
            <v>2001</v>
          </cell>
          <cell r="J132" t="str">
            <v>I</v>
          </cell>
          <cell r="K132" t="str">
            <v>AD</v>
          </cell>
          <cell r="L132" t="str">
            <v>KE</v>
          </cell>
          <cell r="Y132">
            <v>0</v>
          </cell>
          <cell r="Z132">
            <v>0</v>
          </cell>
          <cell r="AA132">
            <v>0</v>
          </cell>
          <cell r="AB132">
            <v>0</v>
          </cell>
          <cell r="AC132">
            <v>0</v>
          </cell>
          <cell r="AD132">
            <v>0</v>
          </cell>
          <cell r="AE132">
            <v>0</v>
          </cell>
          <cell r="AF132">
            <v>0</v>
          </cell>
        </row>
        <row r="133">
          <cell r="B133" t="str">
            <v>AD-KN-A00M405</v>
          </cell>
          <cell r="C133" t="str">
            <v>AD-A00M405</v>
          </cell>
          <cell r="D133" t="str">
            <v>AD-KN</v>
          </cell>
          <cell r="E133" t="str">
            <v>OTR-AD-KN</v>
          </cell>
          <cell r="F133" t="str">
            <v>OTR-KN</v>
          </cell>
          <cell r="G133" t="str">
            <v>A00M405</v>
          </cell>
          <cell r="H133" t="str">
            <v>OTR</v>
          </cell>
          <cell r="I133">
            <v>2001</v>
          </cell>
          <cell r="J133" t="str">
            <v>I</v>
          </cell>
          <cell r="K133" t="str">
            <v>AD</v>
          </cell>
          <cell r="L133" t="str">
            <v>KN</v>
          </cell>
          <cell r="Y133">
            <v>210.44</v>
          </cell>
          <cell r="Z133">
            <v>0</v>
          </cell>
          <cell r="AA133">
            <v>0</v>
          </cell>
          <cell r="AB133">
            <v>210.44</v>
          </cell>
          <cell r="AC133">
            <v>0</v>
          </cell>
          <cell r="AD133">
            <v>210.44</v>
          </cell>
          <cell r="AE133">
            <v>0</v>
          </cell>
          <cell r="AF133">
            <v>0</v>
          </cell>
        </row>
        <row r="134">
          <cell r="B134" t="str">
            <v>CO-KE-A00M405</v>
          </cell>
          <cell r="C134" t="str">
            <v>CO-A00M405</v>
          </cell>
          <cell r="D134" t="str">
            <v>CO-KE</v>
          </cell>
          <cell r="E134" t="str">
            <v>OTR-CO-KE</v>
          </cell>
          <cell r="F134" t="str">
            <v>OTR-KE</v>
          </cell>
          <cell r="G134" t="str">
            <v>A00M405</v>
          </cell>
          <cell r="H134" t="str">
            <v>OTR</v>
          </cell>
          <cell r="I134">
            <v>2001</v>
          </cell>
          <cell r="J134" t="str">
            <v>I</v>
          </cell>
          <cell r="K134" t="str">
            <v>CO</v>
          </cell>
          <cell r="L134" t="str">
            <v>KE</v>
          </cell>
          <cell r="Y134">
            <v>0</v>
          </cell>
          <cell r="Z134">
            <v>0</v>
          </cell>
          <cell r="AA134">
            <v>0</v>
          </cell>
          <cell r="AB134">
            <v>0</v>
          </cell>
          <cell r="AC134">
            <v>0</v>
          </cell>
          <cell r="AD134">
            <v>0</v>
          </cell>
          <cell r="AE134">
            <v>0</v>
          </cell>
          <cell r="AF134">
            <v>0</v>
          </cell>
        </row>
        <row r="135">
          <cell r="B135" t="str">
            <v>CO-KN-A00M405</v>
          </cell>
          <cell r="C135" t="str">
            <v>CO-A00M405</v>
          </cell>
          <cell r="D135" t="str">
            <v>CO-KN</v>
          </cell>
          <cell r="E135" t="str">
            <v>OTR-CO-KN</v>
          </cell>
          <cell r="F135" t="str">
            <v>OTR-KN</v>
          </cell>
          <cell r="G135" t="str">
            <v>A00M405</v>
          </cell>
          <cell r="H135" t="str">
            <v>OTR</v>
          </cell>
          <cell r="I135">
            <v>2001</v>
          </cell>
          <cell r="J135" t="str">
            <v>I</v>
          </cell>
          <cell r="K135" t="str">
            <v>CO</v>
          </cell>
          <cell r="L135" t="str">
            <v>KN</v>
          </cell>
          <cell r="M135">
            <v>3.4</v>
          </cell>
          <cell r="N135">
            <v>2.2000000000000002</v>
          </cell>
          <cell r="O135">
            <v>19.2</v>
          </cell>
          <cell r="P135">
            <v>2.2000000000000002</v>
          </cell>
          <cell r="R135">
            <v>-15</v>
          </cell>
          <cell r="S135">
            <v>0</v>
          </cell>
          <cell r="T135">
            <v>32</v>
          </cell>
          <cell r="Y135">
            <v>59.88</v>
          </cell>
          <cell r="Z135">
            <v>44</v>
          </cell>
          <cell r="AA135">
            <v>0</v>
          </cell>
          <cell r="AB135">
            <v>103.88</v>
          </cell>
          <cell r="AC135">
            <v>11.999999999999996</v>
          </cell>
          <cell r="AD135">
            <v>71.88</v>
          </cell>
          <cell r="AE135">
            <v>32</v>
          </cell>
          <cell r="AF135">
            <v>-0.12399301265999974</v>
          </cell>
        </row>
        <row r="136">
          <cell r="B136" t="str">
            <v>IN-KE-A00M405</v>
          </cell>
          <cell r="C136" t="str">
            <v>IN-A00M405</v>
          </cell>
          <cell r="D136" t="str">
            <v>IN-KE</v>
          </cell>
          <cell r="E136" t="str">
            <v>OTR-IN-KE</v>
          </cell>
          <cell r="F136" t="str">
            <v>OTR-KE</v>
          </cell>
          <cell r="G136" t="str">
            <v>A00M405</v>
          </cell>
          <cell r="H136" t="str">
            <v>OTR</v>
          </cell>
          <cell r="I136">
            <v>2001</v>
          </cell>
          <cell r="J136" t="str">
            <v>I</v>
          </cell>
          <cell r="K136" t="str">
            <v>IN</v>
          </cell>
          <cell r="L136" t="str">
            <v>KE</v>
          </cell>
          <cell r="Y136">
            <v>0</v>
          </cell>
          <cell r="Z136">
            <v>0</v>
          </cell>
          <cell r="AA136">
            <v>0</v>
          </cell>
          <cell r="AB136">
            <v>0</v>
          </cell>
          <cell r="AC136">
            <v>0</v>
          </cell>
          <cell r="AD136">
            <v>0</v>
          </cell>
          <cell r="AE136">
            <v>0</v>
          </cell>
          <cell r="AF136">
            <v>0</v>
          </cell>
        </row>
        <row r="137">
          <cell r="B137" t="str">
            <v>IN-KN-A00M405</v>
          </cell>
          <cell r="C137" t="str">
            <v>IN-A00M405</v>
          </cell>
          <cell r="D137" t="str">
            <v>IN-KN</v>
          </cell>
          <cell r="E137" t="str">
            <v>OTR-IN-KN</v>
          </cell>
          <cell r="F137" t="str">
            <v>OTR-KN</v>
          </cell>
          <cell r="G137" t="str">
            <v>A00M405</v>
          </cell>
          <cell r="H137" t="str">
            <v>OTR</v>
          </cell>
          <cell r="I137">
            <v>2001</v>
          </cell>
          <cell r="J137" t="str">
            <v>I</v>
          </cell>
          <cell r="K137" t="str">
            <v>IN</v>
          </cell>
          <cell r="L137" t="str">
            <v>KN</v>
          </cell>
          <cell r="N137">
            <v>1.6</v>
          </cell>
          <cell r="O137">
            <v>26.6</v>
          </cell>
          <cell r="P137">
            <v>2.9</v>
          </cell>
          <cell r="R137">
            <v>-25.1</v>
          </cell>
          <cell r="S137">
            <v>1</v>
          </cell>
          <cell r="T137">
            <v>23</v>
          </cell>
          <cell r="Y137">
            <v>51.54</v>
          </cell>
          <cell r="Z137">
            <v>30</v>
          </cell>
          <cell r="AA137">
            <v>0</v>
          </cell>
          <cell r="AB137">
            <v>81.539999999999992</v>
          </cell>
          <cell r="AC137">
            <v>7</v>
          </cell>
          <cell r="AD137">
            <v>58.54</v>
          </cell>
          <cell r="AE137">
            <v>23</v>
          </cell>
          <cell r="AF137">
            <v>0.41794329535000024</v>
          </cell>
        </row>
        <row r="138">
          <cell r="B138" t="str">
            <v>AD-KE-A00M406</v>
          </cell>
          <cell r="C138" t="str">
            <v>AD-A00M406</v>
          </cell>
          <cell r="D138" t="str">
            <v>AD-KE</v>
          </cell>
          <cell r="E138" t="str">
            <v>OTR-AD-KE</v>
          </cell>
          <cell r="F138" t="str">
            <v>OTR-KE</v>
          </cell>
          <cell r="G138" t="str">
            <v>A00M406</v>
          </cell>
          <cell r="H138" t="str">
            <v>OTR</v>
          </cell>
          <cell r="I138">
            <v>2001</v>
          </cell>
          <cell r="J138" t="str">
            <v>I</v>
          </cell>
          <cell r="K138" t="str">
            <v>AD</v>
          </cell>
          <cell r="L138" t="str">
            <v>KE</v>
          </cell>
          <cell r="Y138">
            <v>0</v>
          </cell>
          <cell r="Z138">
            <v>0</v>
          </cell>
          <cell r="AA138">
            <v>0</v>
          </cell>
          <cell r="AB138">
            <v>0</v>
          </cell>
          <cell r="AC138">
            <v>0</v>
          </cell>
          <cell r="AD138">
            <v>0</v>
          </cell>
          <cell r="AE138">
            <v>0</v>
          </cell>
          <cell r="AF138">
            <v>0</v>
          </cell>
        </row>
        <row r="139">
          <cell r="B139" t="str">
            <v>AD-KN-A00M406</v>
          </cell>
          <cell r="C139" t="str">
            <v>AD-A00M406</v>
          </cell>
          <cell r="D139" t="str">
            <v>AD-KN</v>
          </cell>
          <cell r="E139" t="str">
            <v>OTR-AD-KN</v>
          </cell>
          <cell r="F139" t="str">
            <v>OTR-KN</v>
          </cell>
          <cell r="G139" t="str">
            <v>A00M406</v>
          </cell>
          <cell r="H139" t="str">
            <v>OTR</v>
          </cell>
          <cell r="I139">
            <v>2001</v>
          </cell>
          <cell r="J139" t="str">
            <v>I</v>
          </cell>
          <cell r="K139" t="str">
            <v>AD</v>
          </cell>
          <cell r="L139" t="str">
            <v>KN</v>
          </cell>
          <cell r="Q139">
            <v>0</v>
          </cell>
          <cell r="R139">
            <v>388.2</v>
          </cell>
          <cell r="Y139">
            <v>11.31</v>
          </cell>
          <cell r="Z139">
            <v>388.2</v>
          </cell>
          <cell r="AA139">
            <v>0</v>
          </cell>
          <cell r="AB139">
            <v>399.51</v>
          </cell>
          <cell r="AC139">
            <v>388.2</v>
          </cell>
          <cell r="AD139">
            <v>399.51</v>
          </cell>
          <cell r="AE139">
            <v>0</v>
          </cell>
          <cell r="AF139">
            <v>-45.004150301640003</v>
          </cell>
        </row>
        <row r="140">
          <cell r="B140" t="str">
            <v>CO-KE-A00M406</v>
          </cell>
          <cell r="C140" t="str">
            <v>CO-A00M406</v>
          </cell>
          <cell r="D140" t="str">
            <v>CO-KE</v>
          </cell>
          <cell r="E140" t="str">
            <v>OTR-CO-KE</v>
          </cell>
          <cell r="F140" t="str">
            <v>OTR-KE</v>
          </cell>
          <cell r="G140" t="str">
            <v>A00M406</v>
          </cell>
          <cell r="H140" t="str">
            <v>OTR</v>
          </cell>
          <cell r="I140">
            <v>2001</v>
          </cell>
          <cell r="J140" t="str">
            <v>I</v>
          </cell>
          <cell r="K140" t="str">
            <v>CO</v>
          </cell>
          <cell r="L140" t="str">
            <v>KE</v>
          </cell>
          <cell r="Y140">
            <v>0</v>
          </cell>
          <cell r="Z140">
            <v>0</v>
          </cell>
          <cell r="AA140">
            <v>0</v>
          </cell>
          <cell r="AB140">
            <v>0</v>
          </cell>
          <cell r="AC140">
            <v>0</v>
          </cell>
          <cell r="AD140">
            <v>0</v>
          </cell>
          <cell r="AE140">
            <v>0</v>
          </cell>
          <cell r="AF140">
            <v>0</v>
          </cell>
        </row>
        <row r="141">
          <cell r="B141" t="str">
            <v>CO-KN-A00M406</v>
          </cell>
          <cell r="C141" t="str">
            <v>CO-A00M406</v>
          </cell>
          <cell r="D141" t="str">
            <v>CO-KN</v>
          </cell>
          <cell r="E141" t="str">
            <v>OTR-CO-KN</v>
          </cell>
          <cell r="F141" t="str">
            <v>OTR-KN</v>
          </cell>
          <cell r="G141" t="str">
            <v>A00M406</v>
          </cell>
          <cell r="H141" t="str">
            <v>OTR</v>
          </cell>
          <cell r="I141">
            <v>2001</v>
          </cell>
          <cell r="J141" t="str">
            <v>I</v>
          </cell>
          <cell r="K141" t="str">
            <v>CO</v>
          </cell>
          <cell r="L141" t="str">
            <v>KN</v>
          </cell>
          <cell r="Y141">
            <v>0</v>
          </cell>
          <cell r="Z141">
            <v>0</v>
          </cell>
          <cell r="AA141">
            <v>0</v>
          </cell>
          <cell r="AB141">
            <v>0</v>
          </cell>
          <cell r="AC141">
            <v>0</v>
          </cell>
          <cell r="AD141">
            <v>0</v>
          </cell>
          <cell r="AE141">
            <v>0</v>
          </cell>
          <cell r="AF141">
            <v>0</v>
          </cell>
        </row>
        <row r="142">
          <cell r="B142" t="str">
            <v>IN-KE-A00M406</v>
          </cell>
          <cell r="C142" t="str">
            <v>IN-A00M406</v>
          </cell>
          <cell r="D142" t="str">
            <v>IN-KE</v>
          </cell>
          <cell r="E142" t="str">
            <v>OTR-IN-KE</v>
          </cell>
          <cell r="F142" t="str">
            <v>OTR-KE</v>
          </cell>
          <cell r="G142" t="str">
            <v>A00M406</v>
          </cell>
          <cell r="H142" t="str">
            <v>OTR</v>
          </cell>
          <cell r="I142">
            <v>2001</v>
          </cell>
          <cell r="J142" t="str">
            <v>I</v>
          </cell>
          <cell r="K142" t="str">
            <v>IN</v>
          </cell>
          <cell r="L142" t="str">
            <v>KE</v>
          </cell>
          <cell r="Y142">
            <v>0</v>
          </cell>
          <cell r="Z142">
            <v>0</v>
          </cell>
          <cell r="AA142">
            <v>0</v>
          </cell>
          <cell r="AB142">
            <v>0</v>
          </cell>
          <cell r="AC142">
            <v>0</v>
          </cell>
          <cell r="AD142">
            <v>0</v>
          </cell>
          <cell r="AE142">
            <v>0</v>
          </cell>
          <cell r="AF142">
            <v>0</v>
          </cell>
        </row>
        <row r="143">
          <cell r="B143" t="str">
            <v>IN-KN-A00M406</v>
          </cell>
          <cell r="C143" t="str">
            <v>IN-A00M406</v>
          </cell>
          <cell r="D143" t="str">
            <v>IN-KN</v>
          </cell>
          <cell r="E143" t="str">
            <v>OTR-IN-KN</v>
          </cell>
          <cell r="F143" t="str">
            <v>OTR-KN</v>
          </cell>
          <cell r="G143" t="str">
            <v>A00M406</v>
          </cell>
          <cell r="H143" t="str">
            <v>OTR</v>
          </cell>
          <cell r="I143">
            <v>2001</v>
          </cell>
          <cell r="J143" t="str">
            <v>I</v>
          </cell>
          <cell r="K143" t="str">
            <v>IN</v>
          </cell>
          <cell r="L143" t="str">
            <v>KN</v>
          </cell>
          <cell r="M143">
            <v>0.4</v>
          </cell>
          <cell r="N143">
            <v>0.5</v>
          </cell>
          <cell r="O143">
            <v>5</v>
          </cell>
          <cell r="P143">
            <v>47.1</v>
          </cell>
          <cell r="Q143">
            <v>5.7</v>
          </cell>
          <cell r="R143">
            <v>2.9</v>
          </cell>
          <cell r="Y143">
            <v>19.760000000000002</v>
          </cell>
          <cell r="Z143">
            <v>61.6</v>
          </cell>
          <cell r="AA143">
            <v>0</v>
          </cell>
          <cell r="AB143">
            <v>81.36</v>
          </cell>
          <cell r="AC143">
            <v>61.6</v>
          </cell>
          <cell r="AD143">
            <v>81.36</v>
          </cell>
          <cell r="AE143">
            <v>0</v>
          </cell>
          <cell r="AF143">
            <v>-5.5127892020599996</v>
          </cell>
        </row>
        <row r="144">
          <cell r="B144" t="str">
            <v>AD-KE-A00M101</v>
          </cell>
          <cell r="C144" t="str">
            <v>AD-A00M101</v>
          </cell>
          <cell r="D144" t="str">
            <v>AD-KE</v>
          </cell>
          <cell r="E144" t="str">
            <v>DIV-AD-KE</v>
          </cell>
          <cell r="F144" t="str">
            <v>DIV-KE</v>
          </cell>
          <cell r="G144" t="str">
            <v>A00M101</v>
          </cell>
          <cell r="H144" t="str">
            <v>DIV</v>
          </cell>
          <cell r="I144">
            <v>2000</v>
          </cell>
          <cell r="J144" t="str">
            <v>I</v>
          </cell>
          <cell r="K144" t="str">
            <v>AD</v>
          </cell>
          <cell r="L144" t="str">
            <v>KE</v>
          </cell>
          <cell r="Y144">
            <v>0</v>
          </cell>
          <cell r="Z144">
            <v>0</v>
          </cell>
          <cell r="AA144">
            <v>0</v>
          </cell>
          <cell r="AB144">
            <v>0</v>
          </cell>
          <cell r="AC144">
            <v>0</v>
          </cell>
          <cell r="AD144">
            <v>0</v>
          </cell>
          <cell r="AE144">
            <v>0</v>
          </cell>
          <cell r="AF144">
            <v>0</v>
          </cell>
        </row>
        <row r="145">
          <cell r="B145" t="str">
            <v>AD-KN-A00M101</v>
          </cell>
          <cell r="C145" t="str">
            <v>AD-A00M101</v>
          </cell>
          <cell r="D145" t="str">
            <v>AD-KN</v>
          </cell>
          <cell r="E145" t="str">
            <v>DIV-AD-KN</v>
          </cell>
          <cell r="F145" t="str">
            <v>DIV-KN</v>
          </cell>
          <cell r="G145" t="str">
            <v>A00M101</v>
          </cell>
          <cell r="H145" t="str">
            <v>DIV</v>
          </cell>
          <cell r="I145">
            <v>2000</v>
          </cell>
          <cell r="J145" t="str">
            <v>I</v>
          </cell>
          <cell r="K145" t="str">
            <v>AD</v>
          </cell>
          <cell r="L145" t="str">
            <v>KN</v>
          </cell>
          <cell r="Y145">
            <v>0</v>
          </cell>
          <cell r="Z145">
            <v>0</v>
          </cell>
          <cell r="AA145">
            <v>0</v>
          </cell>
          <cell r="AB145">
            <v>0</v>
          </cell>
          <cell r="AC145">
            <v>0</v>
          </cell>
          <cell r="AD145">
            <v>0</v>
          </cell>
          <cell r="AE145">
            <v>0</v>
          </cell>
          <cell r="AF145">
            <v>0</v>
          </cell>
        </row>
        <row r="146">
          <cell r="B146" t="str">
            <v>CO-KE-A00M101</v>
          </cell>
          <cell r="C146" t="str">
            <v>CO-A00M101</v>
          </cell>
          <cell r="D146" t="str">
            <v>CO-KE</v>
          </cell>
          <cell r="E146" t="str">
            <v>DIV-CO-KE</v>
          </cell>
          <cell r="F146" t="str">
            <v>DIV-KE</v>
          </cell>
          <cell r="G146" t="str">
            <v>A00M101</v>
          </cell>
          <cell r="H146" t="str">
            <v>DIV</v>
          </cell>
          <cell r="I146">
            <v>2000</v>
          </cell>
          <cell r="J146" t="str">
            <v>I</v>
          </cell>
          <cell r="K146" t="str">
            <v>CO</v>
          </cell>
          <cell r="L146" t="str">
            <v>KE</v>
          </cell>
          <cell r="Y146">
            <v>0</v>
          </cell>
          <cell r="Z146">
            <v>0</v>
          </cell>
          <cell r="AA146">
            <v>0</v>
          </cell>
          <cell r="AB146">
            <v>0</v>
          </cell>
          <cell r="AC146">
            <v>0</v>
          </cell>
          <cell r="AD146">
            <v>0</v>
          </cell>
          <cell r="AE146">
            <v>0</v>
          </cell>
          <cell r="AF146">
            <v>0</v>
          </cell>
        </row>
        <row r="147">
          <cell r="B147" t="str">
            <v>CO-KN-A00M101</v>
          </cell>
          <cell r="C147" t="str">
            <v>CO-A00M101</v>
          </cell>
          <cell r="D147" t="str">
            <v>CO-KN</v>
          </cell>
          <cell r="E147" t="str">
            <v>DIV-CO-KN</v>
          </cell>
          <cell r="F147" t="str">
            <v>DIV-KN</v>
          </cell>
          <cell r="G147" t="str">
            <v>A00M101</v>
          </cell>
          <cell r="H147" t="str">
            <v>DIV</v>
          </cell>
          <cell r="I147">
            <v>2000</v>
          </cell>
          <cell r="J147" t="str">
            <v>I</v>
          </cell>
          <cell r="K147" t="str">
            <v>CO</v>
          </cell>
          <cell r="L147" t="str">
            <v>KN</v>
          </cell>
          <cell r="Y147">
            <v>0</v>
          </cell>
          <cell r="Z147">
            <v>0</v>
          </cell>
          <cell r="AA147">
            <v>0</v>
          </cell>
          <cell r="AB147">
            <v>0</v>
          </cell>
          <cell r="AC147">
            <v>0</v>
          </cell>
          <cell r="AD147">
            <v>0</v>
          </cell>
          <cell r="AE147">
            <v>0</v>
          </cell>
          <cell r="AF147">
            <v>0</v>
          </cell>
        </row>
        <row r="148">
          <cell r="B148" t="str">
            <v>IN-KE-A00M101</v>
          </cell>
          <cell r="C148" t="str">
            <v>IN-A00M101</v>
          </cell>
          <cell r="D148" t="str">
            <v>IN-KE</v>
          </cell>
          <cell r="E148" t="str">
            <v>DIV-IN-KE</v>
          </cell>
          <cell r="F148" t="str">
            <v>DIV-KE</v>
          </cell>
          <cell r="G148" t="str">
            <v>A00M101</v>
          </cell>
          <cell r="H148" t="str">
            <v>DIV</v>
          </cell>
          <cell r="I148">
            <v>2000</v>
          </cell>
          <cell r="J148" t="str">
            <v>I</v>
          </cell>
          <cell r="K148" t="str">
            <v>IN</v>
          </cell>
          <cell r="L148" t="str">
            <v>KE</v>
          </cell>
          <cell r="Y148">
            <v>0</v>
          </cell>
          <cell r="Z148">
            <v>0</v>
          </cell>
          <cell r="AA148">
            <v>0</v>
          </cell>
          <cell r="AB148">
            <v>0</v>
          </cell>
          <cell r="AC148">
            <v>0</v>
          </cell>
          <cell r="AD148">
            <v>0</v>
          </cell>
          <cell r="AE148">
            <v>0</v>
          </cell>
          <cell r="AF148">
            <v>0</v>
          </cell>
        </row>
        <row r="149">
          <cell r="B149" t="str">
            <v>IN-KN-A00M101</v>
          </cell>
          <cell r="C149" t="str">
            <v>IN-A00M101</v>
          </cell>
          <cell r="D149" t="str">
            <v>IN-KN</v>
          </cell>
          <cell r="E149" t="str">
            <v>DIV-IN-KN</v>
          </cell>
          <cell r="F149" t="str">
            <v>DIV-KN</v>
          </cell>
          <cell r="G149" t="str">
            <v>A00M101</v>
          </cell>
          <cell r="H149" t="str">
            <v>DIV</v>
          </cell>
          <cell r="I149">
            <v>2000</v>
          </cell>
          <cell r="J149" t="str">
            <v>I</v>
          </cell>
          <cell r="K149" t="str">
            <v>IN</v>
          </cell>
          <cell r="L149" t="str">
            <v>KN</v>
          </cell>
          <cell r="Y149">
            <v>0</v>
          </cell>
          <cell r="Z149">
            <v>0</v>
          </cell>
          <cell r="AA149">
            <v>0</v>
          </cell>
          <cell r="AB149">
            <v>0</v>
          </cell>
          <cell r="AC149">
            <v>0</v>
          </cell>
          <cell r="AD149">
            <v>0</v>
          </cell>
          <cell r="AE149">
            <v>0</v>
          </cell>
          <cell r="AF149">
            <v>0</v>
          </cell>
        </row>
        <row r="150">
          <cell r="B150" t="str">
            <v>AD-KE-A00M102</v>
          </cell>
          <cell r="C150" t="str">
            <v>AD-A00M102</v>
          </cell>
          <cell r="D150" t="str">
            <v>AD-KE</v>
          </cell>
          <cell r="E150" t="str">
            <v>DIV-AD-KE</v>
          </cell>
          <cell r="F150" t="str">
            <v>DIV-KE</v>
          </cell>
          <cell r="G150" t="str">
            <v>A00M102</v>
          </cell>
          <cell r="H150" t="str">
            <v>DIV</v>
          </cell>
          <cell r="I150">
            <v>2001</v>
          </cell>
          <cell r="J150" t="str">
            <v>I</v>
          </cell>
          <cell r="K150" t="str">
            <v>AD</v>
          </cell>
          <cell r="L150" t="str">
            <v>KE</v>
          </cell>
          <cell r="Y150">
            <v>0</v>
          </cell>
          <cell r="Z150">
            <v>0</v>
          </cell>
          <cell r="AA150">
            <v>0</v>
          </cell>
          <cell r="AB150">
            <v>0</v>
          </cell>
          <cell r="AC150">
            <v>0</v>
          </cell>
          <cell r="AD150">
            <v>0</v>
          </cell>
          <cell r="AE150">
            <v>0</v>
          </cell>
          <cell r="AF150">
            <v>0</v>
          </cell>
        </row>
        <row r="151">
          <cell r="B151" t="str">
            <v>AD-KN-A00M102</v>
          </cell>
          <cell r="C151" t="str">
            <v>AD-A00M102</v>
          </cell>
          <cell r="D151" t="str">
            <v>AD-KN</v>
          </cell>
          <cell r="E151" t="str">
            <v>DIV-AD-KN</v>
          </cell>
          <cell r="F151" t="str">
            <v>DIV-KN</v>
          </cell>
          <cell r="G151" t="str">
            <v>A00M102</v>
          </cell>
          <cell r="H151" t="str">
            <v>DIV</v>
          </cell>
          <cell r="I151">
            <v>2001</v>
          </cell>
          <cell r="J151" t="str">
            <v>I</v>
          </cell>
          <cell r="K151" t="str">
            <v>AD</v>
          </cell>
          <cell r="L151" t="str">
            <v>KN</v>
          </cell>
          <cell r="Y151">
            <v>0</v>
          </cell>
          <cell r="Z151">
            <v>0</v>
          </cell>
          <cell r="AA151">
            <v>0</v>
          </cell>
          <cell r="AB151">
            <v>0</v>
          </cell>
          <cell r="AC151">
            <v>0</v>
          </cell>
          <cell r="AD151">
            <v>0</v>
          </cell>
          <cell r="AE151">
            <v>0</v>
          </cell>
          <cell r="AF151">
            <v>0</v>
          </cell>
        </row>
        <row r="152">
          <cell r="B152" t="str">
            <v>CO-KE-A00M102</v>
          </cell>
          <cell r="C152" t="str">
            <v>CO-A00M102</v>
          </cell>
          <cell r="D152" t="str">
            <v>CO-KE</v>
          </cell>
          <cell r="E152" t="str">
            <v>DIV-CO-KE</v>
          </cell>
          <cell r="F152" t="str">
            <v>DIV-KE</v>
          </cell>
          <cell r="G152" t="str">
            <v>A00M102</v>
          </cell>
          <cell r="H152" t="str">
            <v>DIV</v>
          </cell>
          <cell r="I152">
            <v>2001</v>
          </cell>
          <cell r="J152" t="str">
            <v>I</v>
          </cell>
          <cell r="K152" t="str">
            <v>CO</v>
          </cell>
          <cell r="L152" t="str">
            <v>KE</v>
          </cell>
          <cell r="Y152">
            <v>0</v>
          </cell>
          <cell r="Z152">
            <v>0</v>
          </cell>
          <cell r="AA152">
            <v>0</v>
          </cell>
          <cell r="AB152">
            <v>0</v>
          </cell>
          <cell r="AC152">
            <v>0</v>
          </cell>
          <cell r="AD152">
            <v>0</v>
          </cell>
          <cell r="AE152">
            <v>0</v>
          </cell>
          <cell r="AF152">
            <v>0</v>
          </cell>
        </row>
        <row r="153">
          <cell r="B153" t="str">
            <v>CO-KN-A00M102</v>
          </cell>
          <cell r="C153" t="str">
            <v>CO-A00M102</v>
          </cell>
          <cell r="D153" t="str">
            <v>CO-KN</v>
          </cell>
          <cell r="E153" t="str">
            <v>DIV-CO-KN</v>
          </cell>
          <cell r="F153" t="str">
            <v>DIV-KN</v>
          </cell>
          <cell r="G153" t="str">
            <v>A00M102</v>
          </cell>
          <cell r="H153" t="str">
            <v>DIV</v>
          </cell>
          <cell r="I153">
            <v>2001</v>
          </cell>
          <cell r="J153" t="str">
            <v>I</v>
          </cell>
          <cell r="K153" t="str">
            <v>CO</v>
          </cell>
          <cell r="L153" t="str">
            <v>KN</v>
          </cell>
          <cell r="Y153">
            <v>0</v>
          </cell>
          <cell r="Z153">
            <v>0</v>
          </cell>
          <cell r="AA153">
            <v>0</v>
          </cell>
          <cell r="AB153">
            <v>0</v>
          </cell>
          <cell r="AC153">
            <v>0</v>
          </cell>
          <cell r="AD153">
            <v>0</v>
          </cell>
          <cell r="AE153">
            <v>0</v>
          </cell>
          <cell r="AF153">
            <v>0</v>
          </cell>
        </row>
        <row r="154">
          <cell r="B154" t="str">
            <v>IN-KE-A00M102</v>
          </cell>
          <cell r="C154" t="str">
            <v>IN-A00M102</v>
          </cell>
          <cell r="D154" t="str">
            <v>IN-KE</v>
          </cell>
          <cell r="E154" t="str">
            <v>DIV-IN-KE</v>
          </cell>
          <cell r="F154" t="str">
            <v>DIV-KE</v>
          </cell>
          <cell r="G154" t="str">
            <v>A00M102</v>
          </cell>
          <cell r="H154" t="str">
            <v>DIV</v>
          </cell>
          <cell r="I154">
            <v>2001</v>
          </cell>
          <cell r="J154" t="str">
            <v>I</v>
          </cell>
          <cell r="K154" t="str">
            <v>IN</v>
          </cell>
          <cell r="L154" t="str">
            <v>KE</v>
          </cell>
          <cell r="Y154">
            <v>0</v>
          </cell>
          <cell r="Z154">
            <v>0</v>
          </cell>
          <cell r="AA154">
            <v>0</v>
          </cell>
          <cell r="AB154">
            <v>0</v>
          </cell>
          <cell r="AC154">
            <v>0</v>
          </cell>
          <cell r="AD154">
            <v>0</v>
          </cell>
          <cell r="AE154">
            <v>0</v>
          </cell>
          <cell r="AF154">
            <v>0</v>
          </cell>
        </row>
        <row r="155">
          <cell r="B155" t="str">
            <v>IN-KN-A00M102</v>
          </cell>
          <cell r="C155" t="str">
            <v>IN-A00M102</v>
          </cell>
          <cell r="D155" t="str">
            <v>IN-KN</v>
          </cell>
          <cell r="E155" t="str">
            <v>DIV-IN-KN</v>
          </cell>
          <cell r="F155" t="str">
            <v>DIV-KN</v>
          </cell>
          <cell r="G155" t="str">
            <v>A00M102</v>
          </cell>
          <cell r="H155" t="str">
            <v>DIV</v>
          </cell>
          <cell r="I155">
            <v>2001</v>
          </cell>
          <cell r="J155" t="str">
            <v>I</v>
          </cell>
          <cell r="K155" t="str">
            <v>IN</v>
          </cell>
          <cell r="L155" t="str">
            <v>KN</v>
          </cell>
          <cell r="N155">
            <v>4</v>
          </cell>
          <cell r="O155">
            <v>37</v>
          </cell>
          <cell r="Y155">
            <v>26.4</v>
          </cell>
          <cell r="Z155">
            <v>41</v>
          </cell>
          <cell r="AA155">
            <v>0</v>
          </cell>
          <cell r="AB155">
            <v>67.400000000000006</v>
          </cell>
          <cell r="AC155">
            <v>41</v>
          </cell>
          <cell r="AD155">
            <v>67.400000000000006</v>
          </cell>
          <cell r="AE155">
            <v>0</v>
          </cell>
          <cell r="AF155">
            <v>-2.8997147195999999</v>
          </cell>
        </row>
        <row r="156">
          <cell r="B156" t="str">
            <v>AD-KE-A00M103</v>
          </cell>
          <cell r="C156" t="str">
            <v>AD-A00M103</v>
          </cell>
          <cell r="D156" t="str">
            <v>AD-KE</v>
          </cell>
          <cell r="E156" t="str">
            <v>DIV-AD-KE</v>
          </cell>
          <cell r="F156" t="str">
            <v>DIV-KE</v>
          </cell>
          <cell r="G156" t="str">
            <v>A00M103</v>
          </cell>
          <cell r="H156" t="str">
            <v>DIV</v>
          </cell>
          <cell r="I156">
            <v>2001</v>
          </cell>
          <cell r="J156" t="str">
            <v>I</v>
          </cell>
          <cell r="K156" t="str">
            <v>AD</v>
          </cell>
          <cell r="L156" t="str">
            <v>KE</v>
          </cell>
          <cell r="Y156">
            <v>0</v>
          </cell>
          <cell r="Z156">
            <v>0</v>
          </cell>
          <cell r="AA156">
            <v>0</v>
          </cell>
          <cell r="AB156">
            <v>0</v>
          </cell>
          <cell r="AC156">
            <v>0</v>
          </cell>
          <cell r="AD156">
            <v>0</v>
          </cell>
          <cell r="AE156">
            <v>0</v>
          </cell>
          <cell r="AF156">
            <v>0</v>
          </cell>
        </row>
        <row r="157">
          <cell r="B157" t="str">
            <v>AD-KN-A00M103</v>
          </cell>
          <cell r="C157" t="str">
            <v>AD-A00M103</v>
          </cell>
          <cell r="D157" t="str">
            <v>AD-KN</v>
          </cell>
          <cell r="E157" t="str">
            <v>DIV-AD-KN</v>
          </cell>
          <cell r="F157" t="str">
            <v>DIV-KN</v>
          </cell>
          <cell r="G157" t="str">
            <v>A00M103</v>
          </cell>
          <cell r="H157" t="str">
            <v>DIV</v>
          </cell>
          <cell r="I157">
            <v>2001</v>
          </cell>
          <cell r="J157" t="str">
            <v>I</v>
          </cell>
          <cell r="K157" t="str">
            <v>AD</v>
          </cell>
          <cell r="L157" t="str">
            <v>KN</v>
          </cell>
          <cell r="Y157">
            <v>0</v>
          </cell>
          <cell r="Z157">
            <v>0</v>
          </cell>
          <cell r="AA157">
            <v>0</v>
          </cell>
          <cell r="AB157">
            <v>0</v>
          </cell>
          <cell r="AC157">
            <v>0</v>
          </cell>
          <cell r="AD157">
            <v>0</v>
          </cell>
          <cell r="AE157">
            <v>0</v>
          </cell>
          <cell r="AF157">
            <v>0</v>
          </cell>
        </row>
        <row r="158">
          <cell r="B158" t="str">
            <v>CO-KE-A00M103</v>
          </cell>
          <cell r="C158" t="str">
            <v>CO-A00M103</v>
          </cell>
          <cell r="D158" t="str">
            <v>CO-KE</v>
          </cell>
          <cell r="E158" t="str">
            <v>DIV-CO-KE</v>
          </cell>
          <cell r="F158" t="str">
            <v>DIV-KE</v>
          </cell>
          <cell r="G158" t="str">
            <v>A00M103</v>
          </cell>
          <cell r="H158" t="str">
            <v>DIV</v>
          </cell>
          <cell r="I158">
            <v>2001</v>
          </cell>
          <cell r="J158" t="str">
            <v>I</v>
          </cell>
          <cell r="K158" t="str">
            <v>CO</v>
          </cell>
          <cell r="L158" t="str">
            <v>KE</v>
          </cell>
          <cell r="Y158">
            <v>0</v>
          </cell>
          <cell r="Z158">
            <v>0</v>
          </cell>
          <cell r="AA158">
            <v>0</v>
          </cell>
          <cell r="AB158">
            <v>0</v>
          </cell>
          <cell r="AC158">
            <v>0</v>
          </cell>
          <cell r="AD158">
            <v>0</v>
          </cell>
          <cell r="AE158">
            <v>0</v>
          </cell>
          <cell r="AF158">
            <v>0</v>
          </cell>
        </row>
        <row r="159">
          <cell r="B159" t="str">
            <v>CO-KN-A00M103</v>
          </cell>
          <cell r="C159" t="str">
            <v>CO-A00M103</v>
          </cell>
          <cell r="D159" t="str">
            <v>CO-KN</v>
          </cell>
          <cell r="E159" t="str">
            <v>DIV-CO-KN</v>
          </cell>
          <cell r="F159" t="str">
            <v>DIV-KN</v>
          </cell>
          <cell r="G159" t="str">
            <v>A00M103</v>
          </cell>
          <cell r="H159" t="str">
            <v>DIV</v>
          </cell>
          <cell r="I159">
            <v>2001</v>
          </cell>
          <cell r="J159" t="str">
            <v>I</v>
          </cell>
          <cell r="K159" t="str">
            <v>CO</v>
          </cell>
          <cell r="L159" t="str">
            <v>KN</v>
          </cell>
          <cell r="Y159">
            <v>0</v>
          </cell>
          <cell r="Z159">
            <v>0</v>
          </cell>
          <cell r="AA159">
            <v>0</v>
          </cell>
          <cell r="AB159">
            <v>0</v>
          </cell>
          <cell r="AC159">
            <v>0</v>
          </cell>
          <cell r="AD159">
            <v>0</v>
          </cell>
          <cell r="AE159">
            <v>0</v>
          </cell>
          <cell r="AF159">
            <v>0</v>
          </cell>
        </row>
        <row r="160">
          <cell r="B160" t="str">
            <v>IN-KE-A00M103</v>
          </cell>
          <cell r="C160" t="str">
            <v>IN-A00M103</v>
          </cell>
          <cell r="D160" t="str">
            <v>IN-KE</v>
          </cell>
          <cell r="E160" t="str">
            <v>DIV-IN-KE</v>
          </cell>
          <cell r="F160" t="str">
            <v>DIV-KE</v>
          </cell>
          <cell r="G160" t="str">
            <v>A00M103</v>
          </cell>
          <cell r="H160" t="str">
            <v>DIV</v>
          </cell>
          <cell r="I160">
            <v>2001</v>
          </cell>
          <cell r="J160" t="str">
            <v>I</v>
          </cell>
          <cell r="K160" t="str">
            <v>IN</v>
          </cell>
          <cell r="L160" t="str">
            <v>KE</v>
          </cell>
          <cell r="Y160">
            <v>0</v>
          </cell>
          <cell r="Z160">
            <v>0</v>
          </cell>
          <cell r="AA160">
            <v>0</v>
          </cell>
          <cell r="AB160">
            <v>0</v>
          </cell>
          <cell r="AC160">
            <v>0</v>
          </cell>
          <cell r="AD160">
            <v>0</v>
          </cell>
          <cell r="AE160">
            <v>0</v>
          </cell>
          <cell r="AF160">
            <v>0</v>
          </cell>
        </row>
        <row r="161">
          <cell r="B161" t="str">
            <v>IN-KN-A00M103</v>
          </cell>
          <cell r="C161" t="str">
            <v>IN-A00M103</v>
          </cell>
          <cell r="D161" t="str">
            <v>IN-KN</v>
          </cell>
          <cell r="E161" t="str">
            <v>DIV-IN-KN</v>
          </cell>
          <cell r="F161" t="str">
            <v>DIV-KN</v>
          </cell>
          <cell r="G161" t="str">
            <v>A00M103</v>
          </cell>
          <cell r="H161" t="str">
            <v>DIV</v>
          </cell>
          <cell r="I161">
            <v>2001</v>
          </cell>
          <cell r="J161" t="str">
            <v>I</v>
          </cell>
          <cell r="K161" t="str">
            <v>IN</v>
          </cell>
          <cell r="L161" t="str">
            <v>KN</v>
          </cell>
          <cell r="N161">
            <v>3</v>
          </cell>
          <cell r="O161">
            <v>23.2</v>
          </cell>
          <cell r="P161">
            <v>4</v>
          </cell>
          <cell r="Q161">
            <v>4</v>
          </cell>
          <cell r="Y161">
            <v>0</v>
          </cell>
          <cell r="Z161">
            <v>34.200000000000003</v>
          </cell>
          <cell r="AA161">
            <v>0</v>
          </cell>
          <cell r="AB161">
            <v>34.200000000000003</v>
          </cell>
          <cell r="AC161">
            <v>34.200000000000003</v>
          </cell>
          <cell r="AD161">
            <v>34.200000000000003</v>
          </cell>
          <cell r="AE161">
            <v>0</v>
          </cell>
          <cell r="AF161">
            <v>-2.5760525693199998</v>
          </cell>
        </row>
        <row r="162">
          <cell r="B162" t="str">
            <v>AD-KE-A00M301</v>
          </cell>
          <cell r="C162" t="str">
            <v>AD-A00M301</v>
          </cell>
          <cell r="D162" t="str">
            <v>AD-KE</v>
          </cell>
          <cell r="E162" t="str">
            <v>DIV-AD-KE</v>
          </cell>
          <cell r="F162" t="str">
            <v>DIV-KE</v>
          </cell>
          <cell r="G162" t="str">
            <v>A00M301</v>
          </cell>
          <cell r="H162" t="str">
            <v>DIV</v>
          </cell>
          <cell r="I162">
            <v>2001</v>
          </cell>
          <cell r="J162" t="str">
            <v>I</v>
          </cell>
          <cell r="K162" t="str">
            <v>AD</v>
          </cell>
          <cell r="L162" t="str">
            <v>KE</v>
          </cell>
          <cell r="Y162">
            <v>74.599999999999994</v>
          </cell>
          <cell r="Z162">
            <v>0</v>
          </cell>
          <cell r="AA162">
            <v>0</v>
          </cell>
          <cell r="AB162">
            <v>74.599999999999994</v>
          </cell>
          <cell r="AC162">
            <v>0</v>
          </cell>
          <cell r="AD162">
            <v>74.599999999999994</v>
          </cell>
          <cell r="AE162">
            <v>0</v>
          </cell>
          <cell r="AF162">
            <v>0</v>
          </cell>
        </row>
        <row r="163">
          <cell r="B163" t="str">
            <v>AD-KN-A00M301</v>
          </cell>
          <cell r="C163" t="str">
            <v>AD-A00M301</v>
          </cell>
          <cell r="D163" t="str">
            <v>AD-KN</v>
          </cell>
          <cell r="E163" t="str">
            <v>DIV-AD-KN</v>
          </cell>
          <cell r="F163" t="str">
            <v>DIV-KN</v>
          </cell>
          <cell r="G163" t="str">
            <v>A00M301</v>
          </cell>
          <cell r="H163" t="str">
            <v>DIV</v>
          </cell>
          <cell r="I163">
            <v>2001</v>
          </cell>
          <cell r="J163" t="str">
            <v>I</v>
          </cell>
          <cell r="K163" t="str">
            <v>AD</v>
          </cell>
          <cell r="L163" t="str">
            <v>KN</v>
          </cell>
          <cell r="Y163">
            <v>84.54</v>
          </cell>
          <cell r="Z163">
            <v>0</v>
          </cell>
          <cell r="AA163">
            <v>0</v>
          </cell>
          <cell r="AB163">
            <v>84.54</v>
          </cell>
          <cell r="AC163">
            <v>0</v>
          </cell>
          <cell r="AD163">
            <v>84.54</v>
          </cell>
          <cell r="AE163">
            <v>0</v>
          </cell>
          <cell r="AF163">
            <v>0</v>
          </cell>
        </row>
        <row r="164">
          <cell r="B164" t="str">
            <v>CO-KE-A00M301</v>
          </cell>
          <cell r="C164" t="str">
            <v>CO-A00M301</v>
          </cell>
          <cell r="D164" t="str">
            <v>CO-KE</v>
          </cell>
          <cell r="E164" t="str">
            <v>DIV-CO-KE</v>
          </cell>
          <cell r="F164" t="str">
            <v>DIV-KE</v>
          </cell>
          <cell r="G164" t="str">
            <v>A00M301</v>
          </cell>
          <cell r="H164" t="str">
            <v>DIV</v>
          </cell>
          <cell r="I164">
            <v>2001</v>
          </cell>
          <cell r="J164" t="str">
            <v>I</v>
          </cell>
          <cell r="K164" t="str">
            <v>CO</v>
          </cell>
          <cell r="L164" t="str">
            <v>KE</v>
          </cell>
          <cell r="Y164">
            <v>0</v>
          </cell>
          <cell r="Z164">
            <v>0</v>
          </cell>
          <cell r="AA164">
            <v>0</v>
          </cell>
          <cell r="AB164">
            <v>0</v>
          </cell>
          <cell r="AC164">
            <v>0</v>
          </cell>
          <cell r="AD164">
            <v>0</v>
          </cell>
          <cell r="AE164">
            <v>0</v>
          </cell>
          <cell r="AF164">
            <v>0</v>
          </cell>
        </row>
        <row r="165">
          <cell r="B165" t="str">
            <v>CO-KN-A00M301</v>
          </cell>
          <cell r="C165" t="str">
            <v>CO-A00M301</v>
          </cell>
          <cell r="D165" t="str">
            <v>CO-KN</v>
          </cell>
          <cell r="E165" t="str">
            <v>DIV-CO-KN</v>
          </cell>
          <cell r="F165" t="str">
            <v>DIV-KN</v>
          </cell>
          <cell r="G165" t="str">
            <v>A00M301</v>
          </cell>
          <cell r="H165" t="str">
            <v>DIV</v>
          </cell>
          <cell r="I165">
            <v>2001</v>
          </cell>
          <cell r="J165" t="str">
            <v>I</v>
          </cell>
          <cell r="K165" t="str">
            <v>CO</v>
          </cell>
          <cell r="L165" t="str">
            <v>KN</v>
          </cell>
          <cell r="N165">
            <v>1.8</v>
          </cell>
          <cell r="O165">
            <v>7.8</v>
          </cell>
          <cell r="Y165">
            <v>23.79</v>
          </cell>
          <cell r="Z165">
            <v>9.6</v>
          </cell>
          <cell r="AA165">
            <v>0</v>
          </cell>
          <cell r="AB165">
            <v>33.39</v>
          </cell>
          <cell r="AC165">
            <v>9.6</v>
          </cell>
          <cell r="AD165">
            <v>33.39</v>
          </cell>
          <cell r="AE165">
            <v>0</v>
          </cell>
          <cell r="AF165">
            <v>-0.64441995155999998</v>
          </cell>
        </row>
        <row r="166">
          <cell r="B166" t="str">
            <v>IN-KE-A00M301</v>
          </cell>
          <cell r="C166" t="str">
            <v>IN-A00M301</v>
          </cell>
          <cell r="D166" t="str">
            <v>IN-KE</v>
          </cell>
          <cell r="E166" t="str">
            <v>DIV-IN-KE</v>
          </cell>
          <cell r="F166" t="str">
            <v>DIV-KE</v>
          </cell>
          <cell r="G166" t="str">
            <v>A00M301</v>
          </cell>
          <cell r="H166" t="str">
            <v>DIV</v>
          </cell>
          <cell r="I166">
            <v>2001</v>
          </cell>
          <cell r="J166" t="str">
            <v>I</v>
          </cell>
          <cell r="K166" t="str">
            <v>IN</v>
          </cell>
          <cell r="L166" t="str">
            <v>KE</v>
          </cell>
          <cell r="Y166">
            <v>0</v>
          </cell>
          <cell r="Z166">
            <v>0</v>
          </cell>
          <cell r="AA166">
            <v>0</v>
          </cell>
          <cell r="AB166">
            <v>0</v>
          </cell>
          <cell r="AC166">
            <v>0</v>
          </cell>
          <cell r="AD166">
            <v>0</v>
          </cell>
          <cell r="AE166">
            <v>0</v>
          </cell>
          <cell r="AF166">
            <v>0</v>
          </cell>
        </row>
        <row r="167">
          <cell r="B167" t="str">
            <v>IN-KN-A00M301</v>
          </cell>
          <cell r="C167" t="str">
            <v>IN-A00M301</v>
          </cell>
          <cell r="D167" t="str">
            <v>IN-KN</v>
          </cell>
          <cell r="E167" t="str">
            <v>DIV-IN-KN</v>
          </cell>
          <cell r="F167" t="str">
            <v>DIV-KN</v>
          </cell>
          <cell r="G167" t="str">
            <v>A00M301</v>
          </cell>
          <cell r="H167" t="str">
            <v>DIV</v>
          </cell>
          <cell r="I167">
            <v>2001</v>
          </cell>
          <cell r="J167" t="str">
            <v>I</v>
          </cell>
          <cell r="K167" t="str">
            <v>IN</v>
          </cell>
          <cell r="L167" t="str">
            <v>KN</v>
          </cell>
          <cell r="N167">
            <v>0.5</v>
          </cell>
          <cell r="O167">
            <v>3.6</v>
          </cell>
          <cell r="Y167">
            <v>6.76</v>
          </cell>
          <cell r="Z167">
            <v>4.0999999999999996</v>
          </cell>
          <cell r="AA167">
            <v>0</v>
          </cell>
          <cell r="AB167">
            <v>10.86</v>
          </cell>
          <cell r="AC167">
            <v>4.0999999999999996</v>
          </cell>
          <cell r="AD167">
            <v>10.86</v>
          </cell>
          <cell r="AE167">
            <v>0</v>
          </cell>
          <cell r="AF167">
            <v>-0.28597134966000004</v>
          </cell>
        </row>
        <row r="168">
          <cell r="B168" t="str">
            <v>AD-KE-A00M302</v>
          </cell>
          <cell r="C168" t="str">
            <v>AD-A00M302</v>
          </cell>
          <cell r="D168" t="str">
            <v>AD-KE</v>
          </cell>
          <cell r="E168" t="str">
            <v>DIV-AD-KE</v>
          </cell>
          <cell r="F168" t="str">
            <v>DIV-KE</v>
          </cell>
          <cell r="G168" t="str">
            <v>A00M302</v>
          </cell>
          <cell r="H168" t="str">
            <v>DIV</v>
          </cell>
          <cell r="I168">
            <v>2001</v>
          </cell>
          <cell r="J168" t="str">
            <v>I</v>
          </cell>
          <cell r="K168" t="str">
            <v>AD</v>
          </cell>
          <cell r="L168" t="str">
            <v>KE</v>
          </cell>
          <cell r="Y168">
            <v>0</v>
          </cell>
          <cell r="Z168">
            <v>0</v>
          </cell>
          <cell r="AA168">
            <v>0</v>
          </cell>
          <cell r="AB168">
            <v>0</v>
          </cell>
          <cell r="AC168">
            <v>0</v>
          </cell>
          <cell r="AD168">
            <v>0</v>
          </cell>
          <cell r="AE168">
            <v>0</v>
          </cell>
          <cell r="AF168">
            <v>0</v>
          </cell>
        </row>
        <row r="169">
          <cell r="B169" t="str">
            <v>AD-KN-A00M302</v>
          </cell>
          <cell r="C169" t="str">
            <v>AD-A00M302</v>
          </cell>
          <cell r="D169" t="str">
            <v>AD-KN</v>
          </cell>
          <cell r="E169" t="str">
            <v>DIV-AD-KN</v>
          </cell>
          <cell r="F169" t="str">
            <v>DIV-KN</v>
          </cell>
          <cell r="G169" t="str">
            <v>A00M302</v>
          </cell>
          <cell r="H169" t="str">
            <v>DIV</v>
          </cell>
          <cell r="I169">
            <v>2001</v>
          </cell>
          <cell r="J169" t="str">
            <v>I</v>
          </cell>
          <cell r="K169" t="str">
            <v>AD</v>
          </cell>
          <cell r="L169" t="str">
            <v>KN</v>
          </cell>
          <cell r="O169">
            <v>10.6</v>
          </cell>
          <cell r="P169">
            <v>-0.3</v>
          </cell>
          <cell r="Y169">
            <v>44.2</v>
          </cell>
          <cell r="Z169">
            <v>10.299999999999999</v>
          </cell>
          <cell r="AA169">
            <v>0</v>
          </cell>
          <cell r="AB169">
            <v>54.5</v>
          </cell>
          <cell r="AC169">
            <v>10.299999999999999</v>
          </cell>
          <cell r="AD169">
            <v>54.5</v>
          </cell>
          <cell r="AE169">
            <v>0</v>
          </cell>
          <cell r="AF169">
            <v>-0.76415061590999989</v>
          </cell>
        </row>
        <row r="170">
          <cell r="B170" t="str">
            <v>CO-KE-A00M302</v>
          </cell>
          <cell r="C170" t="str">
            <v>CO-A00M302</v>
          </cell>
          <cell r="D170" t="str">
            <v>CO-KE</v>
          </cell>
          <cell r="E170" t="str">
            <v>DIV-CO-KE</v>
          </cell>
          <cell r="F170" t="str">
            <v>DIV-KE</v>
          </cell>
          <cell r="G170" t="str">
            <v>A00M302</v>
          </cell>
          <cell r="H170" t="str">
            <v>DIV</v>
          </cell>
          <cell r="I170">
            <v>2001</v>
          </cell>
          <cell r="J170" t="str">
            <v>I</v>
          </cell>
          <cell r="K170" t="str">
            <v>CO</v>
          </cell>
          <cell r="L170" t="str">
            <v>KE</v>
          </cell>
          <cell r="Y170">
            <v>0</v>
          </cell>
          <cell r="Z170">
            <v>0</v>
          </cell>
          <cell r="AA170">
            <v>0</v>
          </cell>
          <cell r="AB170">
            <v>0</v>
          </cell>
          <cell r="AC170">
            <v>0</v>
          </cell>
          <cell r="AD170">
            <v>0</v>
          </cell>
          <cell r="AE170">
            <v>0</v>
          </cell>
          <cell r="AF170">
            <v>0</v>
          </cell>
        </row>
        <row r="171">
          <cell r="B171" t="str">
            <v>CO-KN-A00M302</v>
          </cell>
          <cell r="C171" t="str">
            <v>CO-A00M302</v>
          </cell>
          <cell r="D171" t="str">
            <v>CO-KN</v>
          </cell>
          <cell r="E171" t="str">
            <v>DIV-CO-KN</v>
          </cell>
          <cell r="F171" t="str">
            <v>DIV-KN</v>
          </cell>
          <cell r="G171" t="str">
            <v>A00M302</v>
          </cell>
          <cell r="H171" t="str">
            <v>DIV</v>
          </cell>
          <cell r="I171">
            <v>2001</v>
          </cell>
          <cell r="J171" t="str">
            <v>I</v>
          </cell>
          <cell r="K171" t="str">
            <v>CO</v>
          </cell>
          <cell r="L171" t="str">
            <v>KN</v>
          </cell>
          <cell r="M171">
            <v>-85.45</v>
          </cell>
          <cell r="O171">
            <v>0.9</v>
          </cell>
          <cell r="P171">
            <v>98.2</v>
          </cell>
          <cell r="Y171">
            <v>81.53</v>
          </cell>
          <cell r="Z171">
            <v>13.650000000000006</v>
          </cell>
          <cell r="AA171">
            <v>0</v>
          </cell>
          <cell r="AB171">
            <v>95.18</v>
          </cell>
          <cell r="AC171">
            <v>13.650000000000006</v>
          </cell>
          <cell r="AD171">
            <v>95.18</v>
          </cell>
          <cell r="AE171">
            <v>0</v>
          </cell>
          <cell r="AF171">
            <v>-4.934619359680001</v>
          </cell>
        </row>
        <row r="172">
          <cell r="B172" t="str">
            <v>IN-KE-A00M302</v>
          </cell>
          <cell r="C172" t="str">
            <v>IN-A00M302</v>
          </cell>
          <cell r="D172" t="str">
            <v>IN-KE</v>
          </cell>
          <cell r="E172" t="str">
            <v>DIV-IN-KE</v>
          </cell>
          <cell r="F172" t="str">
            <v>DIV-KE</v>
          </cell>
          <cell r="G172" t="str">
            <v>A00M302</v>
          </cell>
          <cell r="H172" t="str">
            <v>DIV</v>
          </cell>
          <cell r="I172">
            <v>2001</v>
          </cell>
          <cell r="J172" t="str">
            <v>I</v>
          </cell>
          <cell r="K172" t="str">
            <v>IN</v>
          </cell>
          <cell r="L172" t="str">
            <v>KE</v>
          </cell>
          <cell r="Y172">
            <v>0</v>
          </cell>
          <cell r="Z172">
            <v>0</v>
          </cell>
          <cell r="AA172">
            <v>0</v>
          </cell>
          <cell r="AB172">
            <v>0</v>
          </cell>
          <cell r="AC172">
            <v>0</v>
          </cell>
          <cell r="AD172">
            <v>0</v>
          </cell>
          <cell r="AE172">
            <v>0</v>
          </cell>
          <cell r="AF172">
            <v>0</v>
          </cell>
        </row>
        <row r="173">
          <cell r="B173" t="str">
            <v>IN-KN-A00M302</v>
          </cell>
          <cell r="C173" t="str">
            <v>IN-A00M302</v>
          </cell>
          <cell r="D173" t="str">
            <v>IN-KN</v>
          </cell>
          <cell r="E173" t="str">
            <v>DIV-IN-KN</v>
          </cell>
          <cell r="F173" t="str">
            <v>DIV-KN</v>
          </cell>
          <cell r="G173" t="str">
            <v>A00M302</v>
          </cell>
          <cell r="H173" t="str">
            <v>DIV</v>
          </cell>
          <cell r="I173">
            <v>2001</v>
          </cell>
          <cell r="J173" t="str">
            <v>I</v>
          </cell>
          <cell r="K173" t="str">
            <v>IN</v>
          </cell>
          <cell r="L173" t="str">
            <v>KN</v>
          </cell>
          <cell r="N173">
            <v>0.6</v>
          </cell>
          <cell r="O173">
            <v>4.0999999999999996</v>
          </cell>
          <cell r="P173">
            <v>3.8</v>
          </cell>
          <cell r="Y173">
            <v>21.9</v>
          </cell>
          <cell r="Z173">
            <v>8.5</v>
          </cell>
          <cell r="AA173">
            <v>0</v>
          </cell>
          <cell r="AB173">
            <v>30.4</v>
          </cell>
          <cell r="AC173">
            <v>8.5</v>
          </cell>
          <cell r="AD173">
            <v>30.4</v>
          </cell>
          <cell r="AE173">
            <v>0</v>
          </cell>
          <cell r="AF173">
            <v>-0.66746631081999996</v>
          </cell>
        </row>
        <row r="174">
          <cell r="B174" t="str">
            <v>AD-KE-A00M303</v>
          </cell>
          <cell r="C174" t="str">
            <v>AD-A00M303</v>
          </cell>
          <cell r="D174" t="str">
            <v>AD-KE</v>
          </cell>
          <cell r="E174" t="str">
            <v>DIV-AD-KE</v>
          </cell>
          <cell r="F174" t="str">
            <v>DIV-KE</v>
          </cell>
          <cell r="G174" t="str">
            <v>A00M303</v>
          </cell>
          <cell r="H174" t="str">
            <v>DIV</v>
          </cell>
          <cell r="I174">
            <v>2001</v>
          </cell>
          <cell r="J174" t="str">
            <v>I</v>
          </cell>
          <cell r="K174" t="str">
            <v>AD</v>
          </cell>
          <cell r="L174" t="str">
            <v>KE</v>
          </cell>
          <cell r="U174">
            <v>20.5</v>
          </cell>
          <cell r="Y174">
            <v>0</v>
          </cell>
          <cell r="Z174">
            <v>20.5</v>
          </cell>
          <cell r="AA174">
            <v>0</v>
          </cell>
          <cell r="AB174">
            <v>20.5</v>
          </cell>
          <cell r="AC174">
            <v>0</v>
          </cell>
          <cell r="AD174">
            <v>0</v>
          </cell>
          <cell r="AE174">
            <v>20.5</v>
          </cell>
          <cell r="AF174">
            <v>0</v>
          </cell>
        </row>
        <row r="175">
          <cell r="B175" t="str">
            <v>AD-KN-A00M303</v>
          </cell>
          <cell r="C175" t="str">
            <v>AD-A00M303</v>
          </cell>
          <cell r="D175" t="str">
            <v>AD-KN</v>
          </cell>
          <cell r="E175" t="str">
            <v>DIV-AD-KN</v>
          </cell>
          <cell r="F175" t="str">
            <v>DIV-KN</v>
          </cell>
          <cell r="G175" t="str">
            <v>A00M303</v>
          </cell>
          <cell r="H175" t="str">
            <v>DIV</v>
          </cell>
          <cell r="I175">
            <v>2001</v>
          </cell>
          <cell r="J175" t="str">
            <v>I</v>
          </cell>
          <cell r="K175" t="str">
            <v>AD</v>
          </cell>
          <cell r="L175" t="str">
            <v>KN</v>
          </cell>
          <cell r="M175">
            <v>0.6</v>
          </cell>
          <cell r="P175">
            <v>0.2</v>
          </cell>
          <cell r="Q175">
            <v>-0.2</v>
          </cell>
          <cell r="R175">
            <v>0.2</v>
          </cell>
          <cell r="S175">
            <v>0</v>
          </cell>
          <cell r="T175">
            <v>134</v>
          </cell>
          <cell r="Y175">
            <v>0.74</v>
          </cell>
          <cell r="Z175">
            <v>134.80000000000001</v>
          </cell>
          <cell r="AA175">
            <v>0</v>
          </cell>
          <cell r="AB175">
            <v>135.54000000000002</v>
          </cell>
          <cell r="AC175">
            <v>0.8</v>
          </cell>
          <cell r="AD175">
            <v>1.54</v>
          </cell>
          <cell r="AE175">
            <v>134</v>
          </cell>
          <cell r="AF175">
            <v>-4.9657432960000004E-2</v>
          </cell>
        </row>
        <row r="176">
          <cell r="B176" t="str">
            <v>CO-KE-A00M303</v>
          </cell>
          <cell r="C176" t="str">
            <v>CO-A00M303</v>
          </cell>
          <cell r="D176" t="str">
            <v>CO-KE</v>
          </cell>
          <cell r="E176" t="str">
            <v>DIV-CO-KE</v>
          </cell>
          <cell r="F176" t="str">
            <v>DIV-KE</v>
          </cell>
          <cell r="G176" t="str">
            <v>A00M303</v>
          </cell>
          <cell r="H176" t="str">
            <v>DIV</v>
          </cell>
          <cell r="I176">
            <v>2001</v>
          </cell>
          <cell r="J176" t="str">
            <v>I</v>
          </cell>
          <cell r="K176" t="str">
            <v>CO</v>
          </cell>
          <cell r="L176" t="str">
            <v>KE</v>
          </cell>
          <cell r="Y176">
            <v>0</v>
          </cell>
          <cell r="Z176">
            <v>0</v>
          </cell>
          <cell r="AA176">
            <v>0</v>
          </cell>
          <cell r="AB176">
            <v>0</v>
          </cell>
          <cell r="AC176">
            <v>0</v>
          </cell>
          <cell r="AD176">
            <v>0</v>
          </cell>
          <cell r="AE176">
            <v>0</v>
          </cell>
          <cell r="AF176">
            <v>0</v>
          </cell>
        </row>
        <row r="177">
          <cell r="B177" t="str">
            <v>CO-KN-A00M303</v>
          </cell>
          <cell r="C177" t="str">
            <v>CO-A00M303</v>
          </cell>
          <cell r="D177" t="str">
            <v>CO-KN</v>
          </cell>
          <cell r="E177" t="str">
            <v>DIV-CO-KN</v>
          </cell>
          <cell r="F177" t="str">
            <v>DIV-KN</v>
          </cell>
          <cell r="G177" t="str">
            <v>A00M303</v>
          </cell>
          <cell r="H177" t="str">
            <v>DIV</v>
          </cell>
          <cell r="I177">
            <v>2001</v>
          </cell>
          <cell r="J177" t="str">
            <v>I</v>
          </cell>
          <cell r="K177" t="str">
            <v>CO</v>
          </cell>
          <cell r="L177" t="str">
            <v>KN</v>
          </cell>
          <cell r="Y177">
            <v>0</v>
          </cell>
          <cell r="Z177">
            <v>0</v>
          </cell>
          <cell r="AA177">
            <v>0</v>
          </cell>
          <cell r="AB177">
            <v>0</v>
          </cell>
          <cell r="AC177">
            <v>0</v>
          </cell>
          <cell r="AD177">
            <v>0</v>
          </cell>
          <cell r="AE177">
            <v>0</v>
          </cell>
          <cell r="AF177">
            <v>0</v>
          </cell>
        </row>
        <row r="178">
          <cell r="B178" t="str">
            <v>IN-KE-A00M303</v>
          </cell>
          <cell r="C178" t="str">
            <v>IN-A00M303</v>
          </cell>
          <cell r="D178" t="str">
            <v>IN-KE</v>
          </cell>
          <cell r="E178" t="str">
            <v>DIV-IN-KE</v>
          </cell>
          <cell r="F178" t="str">
            <v>DIV-KE</v>
          </cell>
          <cell r="G178" t="str">
            <v>A00M303</v>
          </cell>
          <cell r="H178" t="str">
            <v>DIV</v>
          </cell>
          <cell r="I178">
            <v>2001</v>
          </cell>
          <cell r="J178" t="str">
            <v>I</v>
          </cell>
          <cell r="K178" t="str">
            <v>IN</v>
          </cell>
          <cell r="L178" t="str">
            <v>KE</v>
          </cell>
          <cell r="Y178">
            <v>0</v>
          </cell>
          <cell r="Z178">
            <v>0</v>
          </cell>
          <cell r="AA178">
            <v>0</v>
          </cell>
          <cell r="AB178">
            <v>0</v>
          </cell>
          <cell r="AC178">
            <v>0</v>
          </cell>
          <cell r="AD178">
            <v>0</v>
          </cell>
          <cell r="AE178">
            <v>0</v>
          </cell>
          <cell r="AF178">
            <v>0</v>
          </cell>
        </row>
        <row r="179">
          <cell r="B179" t="str">
            <v>IN-KN-A00M303</v>
          </cell>
          <cell r="C179" t="str">
            <v>IN-A00M303</v>
          </cell>
          <cell r="D179" t="str">
            <v>IN-KN</v>
          </cell>
          <cell r="E179" t="str">
            <v>DIV-IN-KN</v>
          </cell>
          <cell r="F179" t="str">
            <v>DIV-KN</v>
          </cell>
          <cell r="G179" t="str">
            <v>A00M303</v>
          </cell>
          <cell r="H179" t="str">
            <v>DIV</v>
          </cell>
          <cell r="I179">
            <v>2001</v>
          </cell>
          <cell r="J179" t="str">
            <v>I</v>
          </cell>
          <cell r="K179" t="str">
            <v>IN</v>
          </cell>
          <cell r="L179" t="str">
            <v>KN</v>
          </cell>
          <cell r="N179">
            <v>0.4</v>
          </cell>
          <cell r="O179">
            <v>4.7</v>
          </cell>
          <cell r="P179">
            <v>4</v>
          </cell>
          <cell r="Q179">
            <v>1.6</v>
          </cell>
          <cell r="R179">
            <v>4</v>
          </cell>
          <cell r="S179">
            <v>2</v>
          </cell>
          <cell r="T179">
            <v>2</v>
          </cell>
          <cell r="U179">
            <v>2</v>
          </cell>
          <cell r="Y179">
            <v>7.38</v>
          </cell>
          <cell r="Z179">
            <v>20.700000000000003</v>
          </cell>
          <cell r="AA179">
            <v>0</v>
          </cell>
          <cell r="AB179">
            <v>28.080000000000002</v>
          </cell>
          <cell r="AC179">
            <v>16.700000000000003</v>
          </cell>
          <cell r="AD179">
            <v>24.080000000000002</v>
          </cell>
          <cell r="AE179">
            <v>4</v>
          </cell>
          <cell r="AF179">
            <v>-1.7226340476400002</v>
          </cell>
        </row>
        <row r="180">
          <cell r="B180" t="str">
            <v>AD-KE-A00M304</v>
          </cell>
          <cell r="C180" t="str">
            <v>AD-A00M304</v>
          </cell>
          <cell r="D180" t="str">
            <v>AD-KE</v>
          </cell>
          <cell r="E180" t="str">
            <v>DIV-AD-KE</v>
          </cell>
          <cell r="F180" t="str">
            <v>DIV-KE</v>
          </cell>
          <cell r="G180" t="str">
            <v>A00M304</v>
          </cell>
          <cell r="H180" t="str">
            <v>DIV</v>
          </cell>
          <cell r="I180">
            <v>2000</v>
          </cell>
          <cell r="J180" t="str">
            <v>I</v>
          </cell>
          <cell r="K180" t="str">
            <v>AD</v>
          </cell>
          <cell r="L180" t="str">
            <v>KE</v>
          </cell>
          <cell r="Y180">
            <v>0</v>
          </cell>
          <cell r="Z180">
            <v>0</v>
          </cell>
          <cell r="AA180">
            <v>0</v>
          </cell>
          <cell r="AB180">
            <v>0</v>
          </cell>
          <cell r="AC180">
            <v>0</v>
          </cell>
          <cell r="AD180">
            <v>0</v>
          </cell>
          <cell r="AE180">
            <v>0</v>
          </cell>
          <cell r="AF180">
            <v>0</v>
          </cell>
        </row>
        <row r="181">
          <cell r="B181" t="str">
            <v>AD-KN-A00M304</v>
          </cell>
          <cell r="C181" t="str">
            <v>AD-A00M304</v>
          </cell>
          <cell r="D181" t="str">
            <v>AD-KN</v>
          </cell>
          <cell r="E181" t="str">
            <v>DIV-AD-KN</v>
          </cell>
          <cell r="F181" t="str">
            <v>DIV-KN</v>
          </cell>
          <cell r="G181" t="str">
            <v>A00M304</v>
          </cell>
          <cell r="H181" t="str">
            <v>DIV</v>
          </cell>
          <cell r="I181">
            <v>2000</v>
          </cell>
          <cell r="J181" t="str">
            <v>I</v>
          </cell>
          <cell r="K181" t="str">
            <v>AD</v>
          </cell>
          <cell r="L181" t="str">
            <v>KN</v>
          </cell>
          <cell r="Y181">
            <v>0</v>
          </cell>
          <cell r="Z181">
            <v>0</v>
          </cell>
          <cell r="AA181">
            <v>0</v>
          </cell>
          <cell r="AB181">
            <v>0</v>
          </cell>
          <cell r="AC181">
            <v>0</v>
          </cell>
          <cell r="AD181">
            <v>0</v>
          </cell>
          <cell r="AE181">
            <v>0</v>
          </cell>
          <cell r="AF181">
            <v>0</v>
          </cell>
        </row>
        <row r="182">
          <cell r="B182" t="str">
            <v>CO-KE-A00M304</v>
          </cell>
          <cell r="C182" t="str">
            <v>CO-A00M304</v>
          </cell>
          <cell r="D182" t="str">
            <v>CO-KE</v>
          </cell>
          <cell r="E182" t="str">
            <v>DIV-CO-KE</v>
          </cell>
          <cell r="F182" t="str">
            <v>DIV-KE</v>
          </cell>
          <cell r="G182" t="str">
            <v>A00M304</v>
          </cell>
          <cell r="H182" t="str">
            <v>DIV</v>
          </cell>
          <cell r="I182">
            <v>2000</v>
          </cell>
          <cell r="J182" t="str">
            <v>I</v>
          </cell>
          <cell r="K182" t="str">
            <v>CO</v>
          </cell>
          <cell r="L182" t="str">
            <v>KE</v>
          </cell>
          <cell r="Y182">
            <v>0</v>
          </cell>
          <cell r="Z182">
            <v>0</v>
          </cell>
          <cell r="AA182">
            <v>0</v>
          </cell>
          <cell r="AB182">
            <v>0</v>
          </cell>
          <cell r="AC182">
            <v>0</v>
          </cell>
          <cell r="AD182">
            <v>0</v>
          </cell>
          <cell r="AE182">
            <v>0</v>
          </cell>
          <cell r="AF182">
            <v>0</v>
          </cell>
        </row>
        <row r="183">
          <cell r="B183" t="str">
            <v>CO-KN-A00M304</v>
          </cell>
          <cell r="C183" t="str">
            <v>CO-A00M304</v>
          </cell>
          <cell r="D183" t="str">
            <v>CO-KN</v>
          </cell>
          <cell r="E183" t="str">
            <v>DIV-CO-KN</v>
          </cell>
          <cell r="F183" t="str">
            <v>DIV-KN</v>
          </cell>
          <cell r="G183" t="str">
            <v>A00M304</v>
          </cell>
          <cell r="H183" t="str">
            <v>DIV</v>
          </cell>
          <cell r="I183">
            <v>2000</v>
          </cell>
          <cell r="J183" t="str">
            <v>I</v>
          </cell>
          <cell r="K183" t="str">
            <v>CO</v>
          </cell>
          <cell r="L183" t="str">
            <v>KN</v>
          </cell>
          <cell r="Y183">
            <v>0</v>
          </cell>
          <cell r="Z183">
            <v>0</v>
          </cell>
          <cell r="AA183">
            <v>0</v>
          </cell>
          <cell r="AB183">
            <v>0</v>
          </cell>
          <cell r="AC183">
            <v>0</v>
          </cell>
          <cell r="AD183">
            <v>0</v>
          </cell>
          <cell r="AE183">
            <v>0</v>
          </cell>
          <cell r="AF183">
            <v>0</v>
          </cell>
        </row>
        <row r="184">
          <cell r="B184" t="str">
            <v>IN-KE-A00M304</v>
          </cell>
          <cell r="C184" t="str">
            <v>IN-A00M304</v>
          </cell>
          <cell r="D184" t="str">
            <v>IN-KE</v>
          </cell>
          <cell r="E184" t="str">
            <v>DIV-IN-KE</v>
          </cell>
          <cell r="F184" t="str">
            <v>DIV-KE</v>
          </cell>
          <cell r="G184" t="str">
            <v>A00M304</v>
          </cell>
          <cell r="H184" t="str">
            <v>DIV</v>
          </cell>
          <cell r="I184">
            <v>2000</v>
          </cell>
          <cell r="J184" t="str">
            <v>I</v>
          </cell>
          <cell r="K184" t="str">
            <v>IN</v>
          </cell>
          <cell r="L184" t="str">
            <v>KE</v>
          </cell>
          <cell r="Y184">
            <v>0</v>
          </cell>
          <cell r="Z184">
            <v>0</v>
          </cell>
          <cell r="AA184">
            <v>0</v>
          </cell>
          <cell r="AB184">
            <v>0</v>
          </cell>
          <cell r="AC184">
            <v>0</v>
          </cell>
          <cell r="AD184">
            <v>0</v>
          </cell>
          <cell r="AE184">
            <v>0</v>
          </cell>
          <cell r="AF184">
            <v>0</v>
          </cell>
        </row>
        <row r="185">
          <cell r="B185" t="str">
            <v>IN-KN-A00M304</v>
          </cell>
          <cell r="C185" t="str">
            <v>IN-A00M304</v>
          </cell>
          <cell r="D185" t="str">
            <v>IN-KN</v>
          </cell>
          <cell r="E185" t="str">
            <v>DIV-IN-KN</v>
          </cell>
          <cell r="F185" t="str">
            <v>DIV-KN</v>
          </cell>
          <cell r="G185" t="str">
            <v>A00M304</v>
          </cell>
          <cell r="H185" t="str">
            <v>DIV</v>
          </cell>
          <cell r="I185">
            <v>2000</v>
          </cell>
          <cell r="J185" t="str">
            <v>I</v>
          </cell>
          <cell r="K185" t="str">
            <v>IN</v>
          </cell>
          <cell r="L185" t="str">
            <v>KN</v>
          </cell>
          <cell r="Y185">
            <v>0</v>
          </cell>
          <cell r="Z185">
            <v>0</v>
          </cell>
          <cell r="AA185">
            <v>0</v>
          </cell>
          <cell r="AB185">
            <v>0</v>
          </cell>
          <cell r="AC185">
            <v>0</v>
          </cell>
          <cell r="AD185">
            <v>0</v>
          </cell>
          <cell r="AE185">
            <v>0</v>
          </cell>
          <cell r="AF185">
            <v>0</v>
          </cell>
        </row>
        <row r="186">
          <cell r="B186" t="str">
            <v>AD-KE-A00M305</v>
          </cell>
          <cell r="C186" t="str">
            <v>AD-A00M305</v>
          </cell>
          <cell r="D186" t="str">
            <v>AD-KE</v>
          </cell>
          <cell r="E186" t="str">
            <v>DIV-AD-KE</v>
          </cell>
          <cell r="F186" t="str">
            <v>DIV-KE</v>
          </cell>
          <cell r="G186" t="str">
            <v>A00M305</v>
          </cell>
          <cell r="H186" t="str">
            <v>DIV</v>
          </cell>
          <cell r="I186">
            <v>2001</v>
          </cell>
          <cell r="J186" t="str">
            <v>I</v>
          </cell>
          <cell r="K186" t="str">
            <v>AD</v>
          </cell>
          <cell r="L186" t="str">
            <v>KE</v>
          </cell>
          <cell r="Y186">
            <v>0</v>
          </cell>
          <cell r="Z186">
            <v>0</v>
          </cell>
          <cell r="AA186">
            <v>0</v>
          </cell>
          <cell r="AB186">
            <v>0</v>
          </cell>
          <cell r="AC186">
            <v>0</v>
          </cell>
          <cell r="AD186">
            <v>0</v>
          </cell>
          <cell r="AE186">
            <v>0</v>
          </cell>
          <cell r="AF186">
            <v>0</v>
          </cell>
        </row>
        <row r="187">
          <cell r="B187" t="str">
            <v>AD-KN-A00M305</v>
          </cell>
          <cell r="C187" t="str">
            <v>AD-A00M305</v>
          </cell>
          <cell r="D187" t="str">
            <v>AD-KN</v>
          </cell>
          <cell r="E187" t="str">
            <v>DIV-AD-KN</v>
          </cell>
          <cell r="F187" t="str">
            <v>DIV-KN</v>
          </cell>
          <cell r="G187" t="str">
            <v>A00M305</v>
          </cell>
          <cell r="H187" t="str">
            <v>DIV</v>
          </cell>
          <cell r="I187">
            <v>2001</v>
          </cell>
          <cell r="J187" t="str">
            <v>I</v>
          </cell>
          <cell r="K187" t="str">
            <v>AD</v>
          </cell>
          <cell r="L187" t="str">
            <v>KN</v>
          </cell>
          <cell r="Y187">
            <v>0</v>
          </cell>
          <cell r="Z187">
            <v>0</v>
          </cell>
          <cell r="AA187">
            <v>0</v>
          </cell>
          <cell r="AB187">
            <v>0</v>
          </cell>
          <cell r="AC187">
            <v>0</v>
          </cell>
          <cell r="AD187">
            <v>0</v>
          </cell>
          <cell r="AE187">
            <v>0</v>
          </cell>
          <cell r="AF187">
            <v>0</v>
          </cell>
        </row>
        <row r="188">
          <cell r="B188" t="str">
            <v>CO-KE-A00M305</v>
          </cell>
          <cell r="C188" t="str">
            <v>CO-A00M305</v>
          </cell>
          <cell r="D188" t="str">
            <v>CO-KE</v>
          </cell>
          <cell r="E188" t="str">
            <v>DIV-CO-KE</v>
          </cell>
          <cell r="F188" t="str">
            <v>DIV-KE</v>
          </cell>
          <cell r="G188" t="str">
            <v>A00M305</v>
          </cell>
          <cell r="H188" t="str">
            <v>DIV</v>
          </cell>
          <cell r="I188">
            <v>2001</v>
          </cell>
          <cell r="J188" t="str">
            <v>I</v>
          </cell>
          <cell r="K188" t="str">
            <v>CO</v>
          </cell>
          <cell r="L188" t="str">
            <v>KE</v>
          </cell>
          <cell r="Y188">
            <v>0</v>
          </cell>
          <cell r="Z188">
            <v>0</v>
          </cell>
          <cell r="AA188">
            <v>0</v>
          </cell>
          <cell r="AB188">
            <v>0</v>
          </cell>
          <cell r="AC188">
            <v>0</v>
          </cell>
          <cell r="AD188">
            <v>0</v>
          </cell>
          <cell r="AE188">
            <v>0</v>
          </cell>
          <cell r="AF188">
            <v>0</v>
          </cell>
        </row>
        <row r="189">
          <cell r="B189" t="str">
            <v>CO-KN-A00M305</v>
          </cell>
          <cell r="C189" t="str">
            <v>CO-A00M305</v>
          </cell>
          <cell r="D189" t="str">
            <v>CO-KN</v>
          </cell>
          <cell r="E189" t="str">
            <v>DIV-CO-KN</v>
          </cell>
          <cell r="F189" t="str">
            <v>DIV-KN</v>
          </cell>
          <cell r="G189" t="str">
            <v>A00M305</v>
          </cell>
          <cell r="H189" t="str">
            <v>DIV</v>
          </cell>
          <cell r="I189">
            <v>2001</v>
          </cell>
          <cell r="J189" t="str">
            <v>I</v>
          </cell>
          <cell r="K189" t="str">
            <v>CO</v>
          </cell>
          <cell r="L189" t="str">
            <v>KN</v>
          </cell>
          <cell r="N189">
            <v>41.95</v>
          </cell>
          <cell r="O189">
            <v>6.1</v>
          </cell>
          <cell r="Y189">
            <v>59.89</v>
          </cell>
          <cell r="Z189">
            <v>48.050000000000004</v>
          </cell>
          <cell r="AA189">
            <v>0</v>
          </cell>
          <cell r="AB189">
            <v>107.94</v>
          </cell>
          <cell r="AC189">
            <v>48.050000000000004</v>
          </cell>
          <cell r="AD189">
            <v>107.94</v>
          </cell>
          <cell r="AE189">
            <v>0</v>
          </cell>
          <cell r="AF189">
            <v>-1.9077908253300002</v>
          </cell>
        </row>
        <row r="190">
          <cell r="B190" t="str">
            <v>IN-KE-A00M305</v>
          </cell>
          <cell r="C190" t="str">
            <v>IN-A00M305</v>
          </cell>
          <cell r="D190" t="str">
            <v>IN-KE</v>
          </cell>
          <cell r="E190" t="str">
            <v>DIV-IN-KE</v>
          </cell>
          <cell r="F190" t="str">
            <v>DIV-KE</v>
          </cell>
          <cell r="G190" t="str">
            <v>A00M305</v>
          </cell>
          <cell r="H190" t="str">
            <v>DIV</v>
          </cell>
          <cell r="I190">
            <v>2001</v>
          </cell>
          <cell r="J190" t="str">
            <v>I</v>
          </cell>
          <cell r="K190" t="str">
            <v>IN</v>
          </cell>
          <cell r="L190" t="str">
            <v>KE</v>
          </cell>
          <cell r="Y190">
            <v>0</v>
          </cell>
          <cell r="Z190">
            <v>0</v>
          </cell>
          <cell r="AA190">
            <v>0</v>
          </cell>
          <cell r="AB190">
            <v>0</v>
          </cell>
          <cell r="AC190">
            <v>0</v>
          </cell>
          <cell r="AD190">
            <v>0</v>
          </cell>
          <cell r="AE190">
            <v>0</v>
          </cell>
          <cell r="AF190">
            <v>0</v>
          </cell>
        </row>
        <row r="191">
          <cell r="B191" t="str">
            <v>IN-KN-A00M305</v>
          </cell>
          <cell r="C191" t="str">
            <v>IN-A00M305</v>
          </cell>
          <cell r="D191" t="str">
            <v>IN-KN</v>
          </cell>
          <cell r="E191" t="str">
            <v>DIV-IN-KN</v>
          </cell>
          <cell r="F191" t="str">
            <v>DIV-KN</v>
          </cell>
          <cell r="G191" t="str">
            <v>A00M305</v>
          </cell>
          <cell r="H191" t="str">
            <v>DIV</v>
          </cell>
          <cell r="I191">
            <v>2001</v>
          </cell>
          <cell r="J191" t="str">
            <v>I</v>
          </cell>
          <cell r="K191" t="str">
            <v>IN</v>
          </cell>
          <cell r="L191" t="str">
            <v>KN</v>
          </cell>
          <cell r="N191">
            <v>3.5</v>
          </cell>
          <cell r="O191">
            <v>3.3</v>
          </cell>
          <cell r="Y191">
            <v>23.04</v>
          </cell>
          <cell r="Z191">
            <v>6.8</v>
          </cell>
          <cell r="AA191">
            <v>0</v>
          </cell>
          <cell r="AB191">
            <v>29.84</v>
          </cell>
          <cell r="AC191">
            <v>6.8</v>
          </cell>
          <cell r="AD191">
            <v>29.84</v>
          </cell>
          <cell r="AE191">
            <v>0</v>
          </cell>
          <cell r="AF191">
            <v>-0.36746141117999997</v>
          </cell>
        </row>
        <row r="192">
          <cell r="B192" t="str">
            <v>AD-KE-A00M306</v>
          </cell>
          <cell r="C192" t="str">
            <v>AD-A00M306</v>
          </cell>
          <cell r="D192" t="str">
            <v>AD-KE</v>
          </cell>
          <cell r="E192" t="str">
            <v>DIV-AD-KE</v>
          </cell>
          <cell r="F192" t="str">
            <v>DIV-KE</v>
          </cell>
          <cell r="G192" t="str">
            <v>A00M306</v>
          </cell>
          <cell r="H192" t="str">
            <v>DIV</v>
          </cell>
          <cell r="I192">
            <v>2000</v>
          </cell>
          <cell r="J192" t="str">
            <v>I</v>
          </cell>
          <cell r="K192" t="str">
            <v>AD</v>
          </cell>
          <cell r="L192" t="str">
            <v>KE</v>
          </cell>
          <cell r="Y192">
            <v>0</v>
          </cell>
          <cell r="Z192">
            <v>0</v>
          </cell>
          <cell r="AA192">
            <v>0</v>
          </cell>
          <cell r="AB192">
            <v>0</v>
          </cell>
          <cell r="AC192">
            <v>0</v>
          </cell>
          <cell r="AD192">
            <v>0</v>
          </cell>
          <cell r="AE192">
            <v>0</v>
          </cell>
          <cell r="AF192">
            <v>0</v>
          </cell>
        </row>
        <row r="193">
          <cell r="B193" t="str">
            <v>AD-KN-A00M306</v>
          </cell>
          <cell r="C193" t="str">
            <v>AD-A00M306</v>
          </cell>
          <cell r="D193" t="str">
            <v>AD-KN</v>
          </cell>
          <cell r="E193" t="str">
            <v>DIV-AD-KN</v>
          </cell>
          <cell r="F193" t="str">
            <v>DIV-KN</v>
          </cell>
          <cell r="G193" t="str">
            <v>A00M306</v>
          </cell>
          <cell r="H193" t="str">
            <v>DIV</v>
          </cell>
          <cell r="I193">
            <v>2000</v>
          </cell>
          <cell r="J193" t="str">
            <v>I</v>
          </cell>
          <cell r="K193" t="str">
            <v>AD</v>
          </cell>
          <cell r="L193" t="str">
            <v>KN</v>
          </cell>
          <cell r="Y193">
            <v>0</v>
          </cell>
          <cell r="Z193">
            <v>0</v>
          </cell>
          <cell r="AA193">
            <v>0</v>
          </cell>
          <cell r="AB193">
            <v>0</v>
          </cell>
          <cell r="AC193">
            <v>0</v>
          </cell>
          <cell r="AD193">
            <v>0</v>
          </cell>
          <cell r="AE193">
            <v>0</v>
          </cell>
          <cell r="AF193">
            <v>0</v>
          </cell>
        </row>
        <row r="194">
          <cell r="B194" t="str">
            <v>CO-KE-A00M306</v>
          </cell>
          <cell r="C194" t="str">
            <v>CO-A00M306</v>
          </cell>
          <cell r="D194" t="str">
            <v>CO-KE</v>
          </cell>
          <cell r="E194" t="str">
            <v>DIV-CO-KE</v>
          </cell>
          <cell r="F194" t="str">
            <v>DIV-KE</v>
          </cell>
          <cell r="G194" t="str">
            <v>A00M306</v>
          </cell>
          <cell r="H194" t="str">
            <v>DIV</v>
          </cell>
          <cell r="I194">
            <v>2000</v>
          </cell>
          <cell r="J194" t="str">
            <v>I</v>
          </cell>
          <cell r="K194" t="str">
            <v>CO</v>
          </cell>
          <cell r="L194" t="str">
            <v>KE</v>
          </cell>
          <cell r="Y194">
            <v>0</v>
          </cell>
          <cell r="Z194">
            <v>0</v>
          </cell>
          <cell r="AA194">
            <v>0</v>
          </cell>
          <cell r="AB194">
            <v>0</v>
          </cell>
          <cell r="AC194">
            <v>0</v>
          </cell>
          <cell r="AD194">
            <v>0</v>
          </cell>
          <cell r="AE194">
            <v>0</v>
          </cell>
          <cell r="AF194">
            <v>0</v>
          </cell>
        </row>
        <row r="195">
          <cell r="B195" t="str">
            <v>CO-KN-A00M306</v>
          </cell>
          <cell r="C195" t="str">
            <v>CO-A00M306</v>
          </cell>
          <cell r="D195" t="str">
            <v>CO-KN</v>
          </cell>
          <cell r="E195" t="str">
            <v>DIV-CO-KN</v>
          </cell>
          <cell r="F195" t="str">
            <v>DIV-KN</v>
          </cell>
          <cell r="G195" t="str">
            <v>A00M306</v>
          </cell>
          <cell r="H195" t="str">
            <v>DIV</v>
          </cell>
          <cell r="I195">
            <v>2000</v>
          </cell>
          <cell r="J195" t="str">
            <v>I</v>
          </cell>
          <cell r="K195" t="str">
            <v>CO</v>
          </cell>
          <cell r="L195" t="str">
            <v>KN</v>
          </cell>
          <cell r="Y195">
            <v>0</v>
          </cell>
          <cell r="Z195">
            <v>0</v>
          </cell>
          <cell r="AA195">
            <v>0</v>
          </cell>
          <cell r="AB195">
            <v>0</v>
          </cell>
          <cell r="AC195">
            <v>0</v>
          </cell>
          <cell r="AD195">
            <v>0</v>
          </cell>
          <cell r="AE195">
            <v>0</v>
          </cell>
          <cell r="AF195">
            <v>0</v>
          </cell>
        </row>
        <row r="196">
          <cell r="B196" t="str">
            <v>IN-KE-A00M306</v>
          </cell>
          <cell r="C196" t="str">
            <v>IN-A00M306</v>
          </cell>
          <cell r="D196" t="str">
            <v>IN-KE</v>
          </cell>
          <cell r="E196" t="str">
            <v>DIV-IN-KE</v>
          </cell>
          <cell r="F196" t="str">
            <v>DIV-KE</v>
          </cell>
          <cell r="G196" t="str">
            <v>A00M306</v>
          </cell>
          <cell r="H196" t="str">
            <v>DIV</v>
          </cell>
          <cell r="I196">
            <v>2000</v>
          </cell>
          <cell r="J196" t="str">
            <v>I</v>
          </cell>
          <cell r="K196" t="str">
            <v>IN</v>
          </cell>
          <cell r="L196" t="str">
            <v>KE</v>
          </cell>
          <cell r="Y196">
            <v>0</v>
          </cell>
          <cell r="Z196">
            <v>0</v>
          </cell>
          <cell r="AA196">
            <v>0</v>
          </cell>
          <cell r="AB196">
            <v>0</v>
          </cell>
          <cell r="AC196">
            <v>0</v>
          </cell>
          <cell r="AD196">
            <v>0</v>
          </cell>
          <cell r="AE196">
            <v>0</v>
          </cell>
          <cell r="AF196">
            <v>0</v>
          </cell>
        </row>
        <row r="197">
          <cell r="B197" t="str">
            <v>IN-KN-A00M306</v>
          </cell>
          <cell r="C197" t="str">
            <v>IN-A00M306</v>
          </cell>
          <cell r="D197" t="str">
            <v>IN-KN</v>
          </cell>
          <cell r="E197" t="str">
            <v>DIV-IN-KN</v>
          </cell>
          <cell r="F197" t="str">
            <v>DIV-KN</v>
          </cell>
          <cell r="G197" t="str">
            <v>A00M306</v>
          </cell>
          <cell r="H197" t="str">
            <v>DIV</v>
          </cell>
          <cell r="I197">
            <v>2000</v>
          </cell>
          <cell r="J197" t="str">
            <v>I</v>
          </cell>
          <cell r="K197" t="str">
            <v>IN</v>
          </cell>
          <cell r="L197" t="str">
            <v>KN</v>
          </cell>
          <cell r="Y197">
            <v>0</v>
          </cell>
          <cell r="Z197">
            <v>0</v>
          </cell>
          <cell r="AA197">
            <v>0</v>
          </cell>
          <cell r="AB197">
            <v>0</v>
          </cell>
          <cell r="AC197">
            <v>0</v>
          </cell>
          <cell r="AD197">
            <v>0</v>
          </cell>
          <cell r="AE197">
            <v>0</v>
          </cell>
          <cell r="AF197">
            <v>0</v>
          </cell>
        </row>
        <row r="198">
          <cell r="B198" t="str">
            <v>AD-KE-A00M310</v>
          </cell>
          <cell r="C198" t="str">
            <v>AD-A00M310</v>
          </cell>
          <cell r="D198" t="str">
            <v>AD-KE</v>
          </cell>
          <cell r="E198" t="str">
            <v>DIV-AD-KE</v>
          </cell>
          <cell r="F198" t="str">
            <v>DIV-KE</v>
          </cell>
          <cell r="G198" t="str">
            <v>A00M310</v>
          </cell>
          <cell r="H198" t="str">
            <v>DIV</v>
          </cell>
          <cell r="I198">
            <v>2001</v>
          </cell>
          <cell r="J198" t="str">
            <v>I</v>
          </cell>
          <cell r="K198" t="str">
            <v>AD</v>
          </cell>
          <cell r="L198" t="str">
            <v>KE</v>
          </cell>
          <cell r="Y198">
            <v>0</v>
          </cell>
          <cell r="Z198">
            <v>0</v>
          </cell>
          <cell r="AA198">
            <v>0</v>
          </cell>
          <cell r="AB198">
            <v>0</v>
          </cell>
          <cell r="AC198">
            <v>0</v>
          </cell>
          <cell r="AD198">
            <v>0</v>
          </cell>
          <cell r="AE198">
            <v>0</v>
          </cell>
          <cell r="AF198">
            <v>0</v>
          </cell>
        </row>
        <row r="199">
          <cell r="B199" t="str">
            <v>AD-KN-A00M310</v>
          </cell>
          <cell r="C199" t="str">
            <v>AD-A00M310</v>
          </cell>
          <cell r="D199" t="str">
            <v>AD-KN</v>
          </cell>
          <cell r="E199" t="str">
            <v>DIV-AD-KN</v>
          </cell>
          <cell r="F199" t="str">
            <v>DIV-KN</v>
          </cell>
          <cell r="G199" t="str">
            <v>A00M310</v>
          </cell>
          <cell r="H199" t="str">
            <v>DIV</v>
          </cell>
          <cell r="I199">
            <v>2001</v>
          </cell>
          <cell r="J199" t="str">
            <v>I</v>
          </cell>
          <cell r="K199" t="str">
            <v>AD</v>
          </cell>
          <cell r="L199" t="str">
            <v>KN</v>
          </cell>
          <cell r="O199">
            <v>16.100000000000001</v>
          </cell>
          <cell r="Y199">
            <v>0</v>
          </cell>
          <cell r="Z199">
            <v>16.100000000000001</v>
          </cell>
          <cell r="AA199">
            <v>0</v>
          </cell>
          <cell r="AB199">
            <v>16.100000000000001</v>
          </cell>
          <cell r="AC199">
            <v>16.100000000000001</v>
          </cell>
          <cell r="AD199">
            <v>16.100000000000001</v>
          </cell>
          <cell r="AE199">
            <v>0</v>
          </cell>
          <cell r="AF199">
            <v>-1.2014996523600001</v>
          </cell>
        </row>
        <row r="200">
          <cell r="B200" t="str">
            <v>CO-KE-A00M310</v>
          </cell>
          <cell r="C200" t="str">
            <v>CO-A00M310</v>
          </cell>
          <cell r="D200" t="str">
            <v>CO-KE</v>
          </cell>
          <cell r="E200" t="str">
            <v>DIV-CO-KE</v>
          </cell>
          <cell r="F200" t="str">
            <v>DIV-KE</v>
          </cell>
          <cell r="G200" t="str">
            <v>A00M310</v>
          </cell>
          <cell r="H200" t="str">
            <v>DIV</v>
          </cell>
          <cell r="I200">
            <v>2001</v>
          </cell>
          <cell r="J200" t="str">
            <v>I</v>
          </cell>
          <cell r="K200" t="str">
            <v>CO</v>
          </cell>
          <cell r="L200" t="str">
            <v>KE</v>
          </cell>
          <cell r="Y200">
            <v>0</v>
          </cell>
          <cell r="Z200">
            <v>0</v>
          </cell>
          <cell r="AA200">
            <v>0</v>
          </cell>
          <cell r="AB200">
            <v>0</v>
          </cell>
          <cell r="AC200">
            <v>0</v>
          </cell>
          <cell r="AD200">
            <v>0</v>
          </cell>
          <cell r="AE200">
            <v>0</v>
          </cell>
          <cell r="AF200">
            <v>0</v>
          </cell>
        </row>
        <row r="201">
          <cell r="B201" t="str">
            <v>CO-KN-A00M310</v>
          </cell>
          <cell r="C201" t="str">
            <v>CO-A00M310</v>
          </cell>
          <cell r="D201" t="str">
            <v>CO-KN</v>
          </cell>
          <cell r="E201" t="str">
            <v>DIV-CO-KN</v>
          </cell>
          <cell r="F201" t="str">
            <v>DIV-KN</v>
          </cell>
          <cell r="G201" t="str">
            <v>A00M310</v>
          </cell>
          <cell r="H201" t="str">
            <v>DIV</v>
          </cell>
          <cell r="I201">
            <v>2001</v>
          </cell>
          <cell r="J201" t="str">
            <v>I</v>
          </cell>
          <cell r="K201" t="str">
            <v>CO</v>
          </cell>
          <cell r="L201" t="str">
            <v>KN</v>
          </cell>
          <cell r="M201">
            <v>11.5</v>
          </cell>
          <cell r="N201">
            <v>2.2999999999999998</v>
          </cell>
          <cell r="O201">
            <v>2</v>
          </cell>
          <cell r="Y201">
            <v>50.89</v>
          </cell>
          <cell r="Z201">
            <v>15.8</v>
          </cell>
          <cell r="AA201">
            <v>0</v>
          </cell>
          <cell r="AB201">
            <v>66.69</v>
          </cell>
          <cell r="AC201">
            <v>15.8</v>
          </cell>
          <cell r="AD201">
            <v>66.69</v>
          </cell>
          <cell r="AE201">
            <v>0</v>
          </cell>
          <cell r="AF201">
            <v>-0.75880084198000008</v>
          </cell>
        </row>
        <row r="202">
          <cell r="B202" t="str">
            <v>IN-KE-A00M310</v>
          </cell>
          <cell r="C202" t="str">
            <v>IN-A00M310</v>
          </cell>
          <cell r="D202" t="str">
            <v>IN-KE</v>
          </cell>
          <cell r="E202" t="str">
            <v>DIV-IN-KE</v>
          </cell>
          <cell r="F202" t="str">
            <v>DIV-KE</v>
          </cell>
          <cell r="G202" t="str">
            <v>A00M310</v>
          </cell>
          <cell r="H202" t="str">
            <v>DIV</v>
          </cell>
          <cell r="I202">
            <v>2001</v>
          </cell>
          <cell r="J202" t="str">
            <v>I</v>
          </cell>
          <cell r="K202" t="str">
            <v>IN</v>
          </cell>
          <cell r="L202" t="str">
            <v>KE</v>
          </cell>
          <cell r="Y202">
            <v>0</v>
          </cell>
          <cell r="Z202">
            <v>0</v>
          </cell>
          <cell r="AA202">
            <v>0</v>
          </cell>
          <cell r="AB202">
            <v>0</v>
          </cell>
          <cell r="AC202">
            <v>0</v>
          </cell>
          <cell r="AD202">
            <v>0</v>
          </cell>
          <cell r="AE202">
            <v>0</v>
          </cell>
          <cell r="AF202">
            <v>0</v>
          </cell>
        </row>
        <row r="203">
          <cell r="B203" t="str">
            <v>IN-KN-A00M310</v>
          </cell>
          <cell r="C203" t="str">
            <v>IN-A00M310</v>
          </cell>
          <cell r="D203" t="str">
            <v>IN-KN</v>
          </cell>
          <cell r="E203" t="str">
            <v>DIV-IN-KN</v>
          </cell>
          <cell r="F203" t="str">
            <v>DIV-KN</v>
          </cell>
          <cell r="G203" t="str">
            <v>A00M310</v>
          </cell>
          <cell r="H203" t="str">
            <v>DIV</v>
          </cell>
          <cell r="I203">
            <v>2001</v>
          </cell>
          <cell r="J203" t="str">
            <v>I</v>
          </cell>
          <cell r="K203" t="str">
            <v>IN</v>
          </cell>
          <cell r="L203" t="str">
            <v>KN</v>
          </cell>
          <cell r="N203">
            <v>1.5</v>
          </cell>
          <cell r="O203">
            <v>7.5</v>
          </cell>
          <cell r="Y203">
            <v>27.7</v>
          </cell>
          <cell r="Z203">
            <v>9</v>
          </cell>
          <cell r="AA203">
            <v>0</v>
          </cell>
          <cell r="AB203">
            <v>36.700000000000003</v>
          </cell>
          <cell r="AC203">
            <v>9</v>
          </cell>
          <cell r="AD203">
            <v>36.700000000000003</v>
          </cell>
          <cell r="AE203">
            <v>0</v>
          </cell>
          <cell r="AF203">
            <v>-0.61164393390000005</v>
          </cell>
        </row>
        <row r="204">
          <cell r="B204" t="str">
            <v>AD-KE-A00M312</v>
          </cell>
          <cell r="C204" t="str">
            <v>AD-A00M312</v>
          </cell>
          <cell r="D204" t="str">
            <v>AD-KE</v>
          </cell>
          <cell r="E204" t="str">
            <v>DIV-AD-KE</v>
          </cell>
          <cell r="F204" t="str">
            <v>DIV-KE</v>
          </cell>
          <cell r="G204" t="str">
            <v>A00M312</v>
          </cell>
          <cell r="H204" t="str">
            <v>DIV</v>
          </cell>
          <cell r="I204">
            <v>2001</v>
          </cell>
          <cell r="J204" t="str">
            <v>I</v>
          </cell>
          <cell r="K204" t="str">
            <v>AD</v>
          </cell>
          <cell r="L204" t="str">
            <v>KE</v>
          </cell>
          <cell r="Y204">
            <v>0</v>
          </cell>
          <cell r="Z204">
            <v>0</v>
          </cell>
          <cell r="AA204">
            <v>0</v>
          </cell>
          <cell r="AB204">
            <v>0</v>
          </cell>
          <cell r="AC204">
            <v>0</v>
          </cell>
          <cell r="AD204">
            <v>0</v>
          </cell>
          <cell r="AE204">
            <v>0</v>
          </cell>
          <cell r="AF204">
            <v>0</v>
          </cell>
        </row>
        <row r="205">
          <cell r="B205" t="str">
            <v>AD-KN-A00M312</v>
          </cell>
          <cell r="C205" t="str">
            <v>AD-A00M312</v>
          </cell>
          <cell r="D205" t="str">
            <v>AD-KN</v>
          </cell>
          <cell r="E205" t="str">
            <v>DIV-AD-KN</v>
          </cell>
          <cell r="F205" t="str">
            <v>DIV-KN</v>
          </cell>
          <cell r="G205" t="str">
            <v>A00M312</v>
          </cell>
          <cell r="H205" t="str">
            <v>DIV</v>
          </cell>
          <cell r="I205">
            <v>2001</v>
          </cell>
          <cell r="J205" t="str">
            <v>I</v>
          </cell>
          <cell r="K205" t="str">
            <v>AD</v>
          </cell>
          <cell r="L205" t="str">
            <v>KN</v>
          </cell>
          <cell r="P205">
            <v>1</v>
          </cell>
          <cell r="Q205">
            <v>56.8</v>
          </cell>
          <cell r="R205">
            <v>-53.5</v>
          </cell>
          <cell r="S205">
            <v>0.9</v>
          </cell>
          <cell r="T205">
            <v>145.9</v>
          </cell>
          <cell r="U205">
            <v>4</v>
          </cell>
          <cell r="Y205">
            <v>0</v>
          </cell>
          <cell r="Z205">
            <v>155.1</v>
          </cell>
          <cell r="AA205">
            <v>0</v>
          </cell>
          <cell r="AB205">
            <v>155.1</v>
          </cell>
          <cell r="AC205">
            <v>5.1999999999999975</v>
          </cell>
          <cell r="AD205">
            <v>5.1999999999999975</v>
          </cell>
          <cell r="AE205">
            <v>149.9</v>
          </cell>
          <cell r="AF205">
            <v>0.51354445768000057</v>
          </cell>
        </row>
        <row r="206">
          <cell r="B206" t="str">
            <v>CO-KE-A00M312</v>
          </cell>
          <cell r="C206" t="str">
            <v>CO-A00M312</v>
          </cell>
          <cell r="D206" t="str">
            <v>CO-KE</v>
          </cell>
          <cell r="E206" t="str">
            <v>DIV-CO-KE</v>
          </cell>
          <cell r="F206" t="str">
            <v>DIV-KE</v>
          </cell>
          <cell r="G206" t="str">
            <v>A00M312</v>
          </cell>
          <cell r="H206" t="str">
            <v>DIV</v>
          </cell>
          <cell r="I206">
            <v>2001</v>
          </cell>
          <cell r="J206" t="str">
            <v>I</v>
          </cell>
          <cell r="K206" t="str">
            <v>CO</v>
          </cell>
          <cell r="L206" t="str">
            <v>KE</v>
          </cell>
          <cell r="Y206">
            <v>0</v>
          </cell>
          <cell r="Z206">
            <v>0</v>
          </cell>
          <cell r="AA206">
            <v>0</v>
          </cell>
          <cell r="AB206">
            <v>0</v>
          </cell>
          <cell r="AC206">
            <v>0</v>
          </cell>
          <cell r="AD206">
            <v>0</v>
          </cell>
          <cell r="AE206">
            <v>0</v>
          </cell>
          <cell r="AF206">
            <v>0</v>
          </cell>
        </row>
        <row r="207">
          <cell r="B207" t="str">
            <v>CO-KN-A00M312</v>
          </cell>
          <cell r="C207" t="str">
            <v>CO-A00M312</v>
          </cell>
          <cell r="D207" t="str">
            <v>CO-KN</v>
          </cell>
          <cell r="E207" t="str">
            <v>DIV-CO-KN</v>
          </cell>
          <cell r="F207" t="str">
            <v>DIV-KN</v>
          </cell>
          <cell r="G207" t="str">
            <v>A00M312</v>
          </cell>
          <cell r="H207" t="str">
            <v>DIV</v>
          </cell>
          <cell r="I207">
            <v>2001</v>
          </cell>
          <cell r="J207" t="str">
            <v>I</v>
          </cell>
          <cell r="K207" t="str">
            <v>CO</v>
          </cell>
          <cell r="L207" t="str">
            <v>KN</v>
          </cell>
          <cell r="S207">
            <v>0</v>
          </cell>
          <cell r="T207">
            <v>15</v>
          </cell>
          <cell r="U207">
            <v>32</v>
          </cell>
          <cell r="Y207">
            <v>0</v>
          </cell>
          <cell r="Z207">
            <v>47</v>
          </cell>
          <cell r="AA207">
            <v>0</v>
          </cell>
          <cell r="AB207">
            <v>47</v>
          </cell>
          <cell r="AC207">
            <v>0</v>
          </cell>
          <cell r="AD207">
            <v>0</v>
          </cell>
          <cell r="AE207">
            <v>47</v>
          </cell>
          <cell r="AF207">
            <v>0</v>
          </cell>
        </row>
        <row r="208">
          <cell r="B208" t="str">
            <v>IN-KE-A00M312</v>
          </cell>
          <cell r="C208" t="str">
            <v>IN-A00M312</v>
          </cell>
          <cell r="D208" t="str">
            <v>IN-KE</v>
          </cell>
          <cell r="E208" t="str">
            <v>DIV-IN-KE</v>
          </cell>
          <cell r="F208" t="str">
            <v>DIV-KE</v>
          </cell>
          <cell r="G208" t="str">
            <v>A00M312</v>
          </cell>
          <cell r="H208" t="str">
            <v>DIV</v>
          </cell>
          <cell r="I208">
            <v>2001</v>
          </cell>
          <cell r="J208" t="str">
            <v>I</v>
          </cell>
          <cell r="K208" t="str">
            <v>IN</v>
          </cell>
          <cell r="L208" t="str">
            <v>KE</v>
          </cell>
          <cell r="Y208">
            <v>0</v>
          </cell>
          <cell r="Z208">
            <v>0</v>
          </cell>
          <cell r="AA208">
            <v>0</v>
          </cell>
          <cell r="AB208">
            <v>0</v>
          </cell>
          <cell r="AC208">
            <v>0</v>
          </cell>
          <cell r="AD208">
            <v>0</v>
          </cell>
          <cell r="AE208">
            <v>0</v>
          </cell>
          <cell r="AF208">
            <v>0</v>
          </cell>
        </row>
        <row r="209">
          <cell r="B209" t="str">
            <v>IN-KN-A00M312</v>
          </cell>
          <cell r="C209" t="str">
            <v>IN-A00M312</v>
          </cell>
          <cell r="D209" t="str">
            <v>IN-KN</v>
          </cell>
          <cell r="E209" t="str">
            <v>DIV-IN-KN</v>
          </cell>
          <cell r="F209" t="str">
            <v>DIV-KN</v>
          </cell>
          <cell r="G209" t="str">
            <v>A00M312</v>
          </cell>
          <cell r="H209" t="str">
            <v>DIV</v>
          </cell>
          <cell r="I209">
            <v>2001</v>
          </cell>
          <cell r="J209" t="str">
            <v>I</v>
          </cell>
          <cell r="K209" t="str">
            <v>IN</v>
          </cell>
          <cell r="L209" t="str">
            <v>KN</v>
          </cell>
          <cell r="O209">
            <v>2.78</v>
          </cell>
          <cell r="P209">
            <v>2</v>
          </cell>
          <cell r="Q209">
            <v>2.5</v>
          </cell>
          <cell r="R209">
            <v>3.2</v>
          </cell>
          <cell r="S209">
            <v>1.7</v>
          </cell>
          <cell r="T209">
            <v>4.2</v>
          </cell>
          <cell r="U209">
            <v>1.5</v>
          </cell>
          <cell r="Y209">
            <v>1.69</v>
          </cell>
          <cell r="Z209">
            <v>17.88</v>
          </cell>
          <cell r="AA209">
            <v>0</v>
          </cell>
          <cell r="AB209">
            <v>19.57</v>
          </cell>
          <cell r="AC209">
            <v>12.18</v>
          </cell>
          <cell r="AD209">
            <v>13.87</v>
          </cell>
          <cell r="AE209">
            <v>5.6999999999999993</v>
          </cell>
          <cell r="AF209">
            <v>-1.3219981996580001</v>
          </cell>
        </row>
        <row r="210">
          <cell r="B210" t="str">
            <v>AD-KE-A00M313</v>
          </cell>
          <cell r="C210" t="str">
            <v>AD-A00M313</v>
          </cell>
          <cell r="D210" t="str">
            <v>AD-KE</v>
          </cell>
          <cell r="E210" t="str">
            <v>DIV-AD-KE</v>
          </cell>
          <cell r="F210" t="str">
            <v>DIV-KE</v>
          </cell>
          <cell r="G210" t="str">
            <v>A00M313</v>
          </cell>
          <cell r="H210" t="str">
            <v>DIV</v>
          </cell>
          <cell r="I210">
            <v>2001</v>
          </cell>
          <cell r="J210" t="str">
            <v>I</v>
          </cell>
          <cell r="K210" t="str">
            <v>AD</v>
          </cell>
          <cell r="L210" t="str">
            <v>KE</v>
          </cell>
          <cell r="Y210">
            <v>0</v>
          </cell>
          <cell r="Z210">
            <v>0</v>
          </cell>
          <cell r="AA210">
            <v>0</v>
          </cell>
          <cell r="AB210">
            <v>0</v>
          </cell>
          <cell r="AC210">
            <v>0</v>
          </cell>
          <cell r="AD210">
            <v>0</v>
          </cell>
          <cell r="AE210">
            <v>0</v>
          </cell>
          <cell r="AF210">
            <v>0</v>
          </cell>
        </row>
        <row r="211">
          <cell r="B211" t="str">
            <v>AD-KN-A00M313</v>
          </cell>
          <cell r="C211" t="str">
            <v>AD-A00M313</v>
          </cell>
          <cell r="D211" t="str">
            <v>AD-KN</v>
          </cell>
          <cell r="E211" t="str">
            <v>DIV-AD-KN</v>
          </cell>
          <cell r="F211" t="str">
            <v>DIV-KN</v>
          </cell>
          <cell r="G211" t="str">
            <v>A00M313</v>
          </cell>
          <cell r="H211" t="str">
            <v>DIV</v>
          </cell>
          <cell r="I211">
            <v>2001</v>
          </cell>
          <cell r="J211" t="str">
            <v>I</v>
          </cell>
          <cell r="K211" t="str">
            <v>AD</v>
          </cell>
          <cell r="L211" t="str">
            <v>KN</v>
          </cell>
          <cell r="M211">
            <v>3.8</v>
          </cell>
          <cell r="N211">
            <v>1.5</v>
          </cell>
          <cell r="O211">
            <v>7</v>
          </cell>
          <cell r="Y211">
            <v>50.36</v>
          </cell>
          <cell r="Z211">
            <v>12.3</v>
          </cell>
          <cell r="AA211">
            <v>0</v>
          </cell>
          <cell r="AB211">
            <v>62.66</v>
          </cell>
          <cell r="AC211">
            <v>12.3</v>
          </cell>
          <cell r="AD211">
            <v>62.66</v>
          </cell>
          <cell r="AE211">
            <v>0</v>
          </cell>
          <cell r="AF211">
            <v>-0.74942973073999997</v>
          </cell>
        </row>
        <row r="212">
          <cell r="B212" t="str">
            <v>CO-KE-A00M313</v>
          </cell>
          <cell r="C212" t="str">
            <v>CO-A00M313</v>
          </cell>
          <cell r="D212" t="str">
            <v>CO-KE</v>
          </cell>
          <cell r="E212" t="str">
            <v>DIV-CO-KE</v>
          </cell>
          <cell r="F212" t="str">
            <v>DIV-KE</v>
          </cell>
          <cell r="G212" t="str">
            <v>A00M313</v>
          </cell>
          <cell r="H212" t="str">
            <v>DIV</v>
          </cell>
          <cell r="I212">
            <v>2001</v>
          </cell>
          <cell r="J212" t="str">
            <v>I</v>
          </cell>
          <cell r="K212" t="str">
            <v>CO</v>
          </cell>
          <cell r="L212" t="str">
            <v>KE</v>
          </cell>
          <cell r="Y212">
            <v>0</v>
          </cell>
          <cell r="Z212">
            <v>0</v>
          </cell>
          <cell r="AA212">
            <v>0</v>
          </cell>
          <cell r="AB212">
            <v>0</v>
          </cell>
          <cell r="AC212">
            <v>0</v>
          </cell>
          <cell r="AD212">
            <v>0</v>
          </cell>
          <cell r="AE212">
            <v>0</v>
          </cell>
          <cell r="AF212">
            <v>0</v>
          </cell>
        </row>
        <row r="213">
          <cell r="B213" t="str">
            <v>CO-KN-A00M313</v>
          </cell>
          <cell r="C213" t="str">
            <v>CO-A00M313</v>
          </cell>
          <cell r="D213" t="str">
            <v>CO-KN</v>
          </cell>
          <cell r="E213" t="str">
            <v>DIV-CO-KN</v>
          </cell>
          <cell r="F213" t="str">
            <v>DIV-KN</v>
          </cell>
          <cell r="G213" t="str">
            <v>A00M313</v>
          </cell>
          <cell r="H213" t="str">
            <v>DIV</v>
          </cell>
          <cell r="I213">
            <v>2001</v>
          </cell>
          <cell r="J213" t="str">
            <v>I</v>
          </cell>
          <cell r="K213" t="str">
            <v>CO</v>
          </cell>
          <cell r="L213" t="str">
            <v>KN</v>
          </cell>
          <cell r="M213">
            <v>0.1</v>
          </cell>
          <cell r="N213">
            <v>0.6</v>
          </cell>
          <cell r="O213">
            <v>1.3</v>
          </cell>
          <cell r="Y213">
            <v>0.79</v>
          </cell>
          <cell r="Z213">
            <v>2</v>
          </cell>
          <cell r="AA213">
            <v>0</v>
          </cell>
          <cell r="AB213">
            <v>2.79</v>
          </cell>
          <cell r="AC213">
            <v>2</v>
          </cell>
          <cell r="AD213">
            <v>2.79</v>
          </cell>
          <cell r="AE213">
            <v>0</v>
          </cell>
          <cell r="AF213">
            <v>-0.12239903092</v>
          </cell>
        </row>
        <row r="214">
          <cell r="B214" t="str">
            <v>IN-KE-A00M313</v>
          </cell>
          <cell r="C214" t="str">
            <v>IN-A00M313</v>
          </cell>
          <cell r="D214" t="str">
            <v>IN-KE</v>
          </cell>
          <cell r="E214" t="str">
            <v>DIV-IN-KE</v>
          </cell>
          <cell r="F214" t="str">
            <v>DIV-KE</v>
          </cell>
          <cell r="G214" t="str">
            <v>A00M313</v>
          </cell>
          <cell r="H214" t="str">
            <v>DIV</v>
          </cell>
          <cell r="I214">
            <v>2001</v>
          </cell>
          <cell r="J214" t="str">
            <v>I</v>
          </cell>
          <cell r="K214" t="str">
            <v>IN</v>
          </cell>
          <cell r="L214" t="str">
            <v>KE</v>
          </cell>
          <cell r="Y214">
            <v>0</v>
          </cell>
          <cell r="Z214">
            <v>0</v>
          </cell>
          <cell r="AA214">
            <v>0</v>
          </cell>
          <cell r="AB214">
            <v>0</v>
          </cell>
          <cell r="AC214">
            <v>0</v>
          </cell>
          <cell r="AD214">
            <v>0</v>
          </cell>
          <cell r="AE214">
            <v>0</v>
          </cell>
          <cell r="AF214">
            <v>0</v>
          </cell>
        </row>
        <row r="215">
          <cell r="B215" t="str">
            <v>IN-KN-A00M313</v>
          </cell>
          <cell r="C215" t="str">
            <v>IN-A00M313</v>
          </cell>
          <cell r="D215" t="str">
            <v>IN-KN</v>
          </cell>
          <cell r="E215" t="str">
            <v>DIV-IN-KN</v>
          </cell>
          <cell r="F215" t="str">
            <v>DIV-KN</v>
          </cell>
          <cell r="G215" t="str">
            <v>A00M313</v>
          </cell>
          <cell r="H215" t="str">
            <v>DIV</v>
          </cell>
          <cell r="I215">
            <v>2001</v>
          </cell>
          <cell r="J215" t="str">
            <v>I</v>
          </cell>
          <cell r="K215" t="str">
            <v>IN</v>
          </cell>
          <cell r="L215" t="str">
            <v>KN</v>
          </cell>
          <cell r="N215">
            <v>1.8</v>
          </cell>
          <cell r="O215">
            <v>5.6</v>
          </cell>
          <cell r="Y215">
            <v>18.739999999999998</v>
          </cell>
          <cell r="Z215">
            <v>7.3999999999999995</v>
          </cell>
          <cell r="AA215">
            <v>0</v>
          </cell>
          <cell r="AB215">
            <v>26.139999999999997</v>
          </cell>
          <cell r="AC215">
            <v>7.3999999999999995</v>
          </cell>
          <cell r="AD215">
            <v>26.139999999999997</v>
          </cell>
          <cell r="AE215">
            <v>0</v>
          </cell>
          <cell r="AF215">
            <v>-0.48023987483999997</v>
          </cell>
        </row>
        <row r="216">
          <cell r="B216" t="str">
            <v>AD-KE-A00M315</v>
          </cell>
          <cell r="C216" t="str">
            <v>AD-A00M315</v>
          </cell>
          <cell r="D216" t="str">
            <v>AD-KE</v>
          </cell>
          <cell r="E216" t="str">
            <v>DIV-AD-KE</v>
          </cell>
          <cell r="F216" t="str">
            <v>DIV-KE</v>
          </cell>
          <cell r="G216" t="str">
            <v>A00M315</v>
          </cell>
          <cell r="H216" t="str">
            <v>DIV</v>
          </cell>
          <cell r="I216">
            <v>2000</v>
          </cell>
          <cell r="J216" t="str">
            <v>I</v>
          </cell>
          <cell r="K216" t="str">
            <v>AD</v>
          </cell>
          <cell r="L216" t="str">
            <v>KE</v>
          </cell>
          <cell r="Y216">
            <v>0</v>
          </cell>
          <cell r="Z216">
            <v>0</v>
          </cell>
          <cell r="AA216">
            <v>0</v>
          </cell>
          <cell r="AB216">
            <v>0</v>
          </cell>
          <cell r="AC216">
            <v>0</v>
          </cell>
          <cell r="AD216">
            <v>0</v>
          </cell>
          <cell r="AE216">
            <v>0</v>
          </cell>
          <cell r="AF216">
            <v>0</v>
          </cell>
        </row>
        <row r="217">
          <cell r="B217" t="str">
            <v>AD-KN-A00M315</v>
          </cell>
          <cell r="C217" t="str">
            <v>AD-A00M315</v>
          </cell>
          <cell r="D217" t="str">
            <v>AD-KN</v>
          </cell>
          <cell r="E217" t="str">
            <v>DIV-AD-KN</v>
          </cell>
          <cell r="F217" t="str">
            <v>DIV-KN</v>
          </cell>
          <cell r="G217" t="str">
            <v>A00M315</v>
          </cell>
          <cell r="H217" t="str">
            <v>DIV</v>
          </cell>
          <cell r="I217">
            <v>2000</v>
          </cell>
          <cell r="J217" t="str">
            <v>I</v>
          </cell>
          <cell r="K217" t="str">
            <v>AD</v>
          </cell>
          <cell r="L217" t="str">
            <v>KN</v>
          </cell>
          <cell r="Y217">
            <v>0</v>
          </cell>
          <cell r="Z217">
            <v>0</v>
          </cell>
          <cell r="AA217">
            <v>0</v>
          </cell>
          <cell r="AB217">
            <v>0</v>
          </cell>
          <cell r="AC217">
            <v>0</v>
          </cell>
          <cell r="AD217">
            <v>0</v>
          </cell>
          <cell r="AE217">
            <v>0</v>
          </cell>
          <cell r="AF217">
            <v>0</v>
          </cell>
        </row>
        <row r="218">
          <cell r="B218" t="str">
            <v>CO-KE-A00M315</v>
          </cell>
          <cell r="C218" t="str">
            <v>CO-A00M315</v>
          </cell>
          <cell r="D218" t="str">
            <v>CO-KE</v>
          </cell>
          <cell r="E218" t="str">
            <v>DIV-CO-KE</v>
          </cell>
          <cell r="F218" t="str">
            <v>DIV-KE</v>
          </cell>
          <cell r="G218" t="str">
            <v>A00M315</v>
          </cell>
          <cell r="H218" t="str">
            <v>DIV</v>
          </cell>
          <cell r="I218">
            <v>2000</v>
          </cell>
          <cell r="J218" t="str">
            <v>I</v>
          </cell>
          <cell r="K218" t="str">
            <v>CO</v>
          </cell>
          <cell r="L218" t="str">
            <v>KE</v>
          </cell>
          <cell r="Y218">
            <v>0</v>
          </cell>
          <cell r="Z218">
            <v>0</v>
          </cell>
          <cell r="AA218">
            <v>0</v>
          </cell>
          <cell r="AB218">
            <v>0</v>
          </cell>
          <cell r="AC218">
            <v>0</v>
          </cell>
          <cell r="AD218">
            <v>0</v>
          </cell>
          <cell r="AE218">
            <v>0</v>
          </cell>
          <cell r="AF218">
            <v>0</v>
          </cell>
        </row>
        <row r="219">
          <cell r="B219" t="str">
            <v>CO-KN-A00M315</v>
          </cell>
          <cell r="C219" t="str">
            <v>CO-A00M315</v>
          </cell>
          <cell r="D219" t="str">
            <v>CO-KN</v>
          </cell>
          <cell r="E219" t="str">
            <v>DIV-CO-KN</v>
          </cell>
          <cell r="F219" t="str">
            <v>DIV-KN</v>
          </cell>
          <cell r="G219" t="str">
            <v>A00M315</v>
          </cell>
          <cell r="H219" t="str">
            <v>DIV</v>
          </cell>
          <cell r="I219">
            <v>2000</v>
          </cell>
          <cell r="J219" t="str">
            <v>I</v>
          </cell>
          <cell r="K219" t="str">
            <v>CO</v>
          </cell>
          <cell r="L219" t="str">
            <v>KN</v>
          </cell>
          <cell r="Y219">
            <v>0</v>
          </cell>
          <cell r="Z219">
            <v>0</v>
          </cell>
          <cell r="AA219">
            <v>0</v>
          </cell>
          <cell r="AB219">
            <v>0</v>
          </cell>
          <cell r="AC219">
            <v>0</v>
          </cell>
          <cell r="AD219">
            <v>0</v>
          </cell>
          <cell r="AE219">
            <v>0</v>
          </cell>
          <cell r="AF219">
            <v>0</v>
          </cell>
        </row>
        <row r="220">
          <cell r="B220" t="str">
            <v>IN-KE-A00M315</v>
          </cell>
          <cell r="C220" t="str">
            <v>IN-A00M315</v>
          </cell>
          <cell r="D220" t="str">
            <v>IN-KE</v>
          </cell>
          <cell r="E220" t="str">
            <v>DIV-IN-KE</v>
          </cell>
          <cell r="F220" t="str">
            <v>DIV-KE</v>
          </cell>
          <cell r="G220" t="str">
            <v>A00M315</v>
          </cell>
          <cell r="H220" t="str">
            <v>DIV</v>
          </cell>
          <cell r="I220">
            <v>2000</v>
          </cell>
          <cell r="J220" t="str">
            <v>I</v>
          </cell>
          <cell r="K220" t="str">
            <v>IN</v>
          </cell>
          <cell r="L220" t="str">
            <v>KE</v>
          </cell>
          <cell r="Y220">
            <v>0</v>
          </cell>
          <cell r="Z220">
            <v>0</v>
          </cell>
          <cell r="AA220">
            <v>0</v>
          </cell>
          <cell r="AB220">
            <v>0</v>
          </cell>
          <cell r="AC220">
            <v>0</v>
          </cell>
          <cell r="AD220">
            <v>0</v>
          </cell>
          <cell r="AE220">
            <v>0</v>
          </cell>
          <cell r="AF220">
            <v>0</v>
          </cell>
        </row>
        <row r="221">
          <cell r="B221" t="str">
            <v>IN-KN-A00M315</v>
          </cell>
          <cell r="C221" t="str">
            <v>IN-A00M315</v>
          </cell>
          <cell r="D221" t="str">
            <v>IN-KN</v>
          </cell>
          <cell r="E221" t="str">
            <v>DIV-IN-KN</v>
          </cell>
          <cell r="F221" t="str">
            <v>DIV-KN</v>
          </cell>
          <cell r="G221" t="str">
            <v>A00M315</v>
          </cell>
          <cell r="H221" t="str">
            <v>DIV</v>
          </cell>
          <cell r="I221">
            <v>2000</v>
          </cell>
          <cell r="J221" t="str">
            <v>I</v>
          </cell>
          <cell r="K221" t="str">
            <v>IN</v>
          </cell>
          <cell r="L221" t="str">
            <v>KN</v>
          </cell>
          <cell r="Y221">
            <v>0</v>
          </cell>
          <cell r="Z221">
            <v>0</v>
          </cell>
          <cell r="AA221">
            <v>0</v>
          </cell>
          <cell r="AB221">
            <v>0</v>
          </cell>
          <cell r="AC221">
            <v>0</v>
          </cell>
          <cell r="AD221">
            <v>0</v>
          </cell>
          <cell r="AE221">
            <v>0</v>
          </cell>
          <cell r="AF221">
            <v>0</v>
          </cell>
        </row>
        <row r="222">
          <cell r="B222" t="str">
            <v>AD-KE-A00M318</v>
          </cell>
          <cell r="C222" t="str">
            <v>AD-A00M318</v>
          </cell>
          <cell r="D222" t="str">
            <v>AD-KE</v>
          </cell>
          <cell r="E222" t="str">
            <v>DIV-AD-KE</v>
          </cell>
          <cell r="F222" t="str">
            <v>DIV-KE</v>
          </cell>
          <cell r="G222" t="str">
            <v>A00M318</v>
          </cell>
          <cell r="H222" t="str">
            <v>DIV</v>
          </cell>
          <cell r="I222">
            <v>2001</v>
          </cell>
          <cell r="J222" t="str">
            <v>I</v>
          </cell>
          <cell r="K222" t="str">
            <v>AD</v>
          </cell>
          <cell r="L222" t="str">
            <v>KE</v>
          </cell>
          <cell r="Y222">
            <v>0</v>
          </cell>
          <cell r="Z222">
            <v>0</v>
          </cell>
          <cell r="AA222">
            <v>0</v>
          </cell>
          <cell r="AB222">
            <v>0</v>
          </cell>
          <cell r="AC222">
            <v>0</v>
          </cell>
          <cell r="AD222">
            <v>0</v>
          </cell>
          <cell r="AE222">
            <v>0</v>
          </cell>
          <cell r="AF222">
            <v>0</v>
          </cell>
        </row>
        <row r="223">
          <cell r="B223" t="str">
            <v>AD-KN-A00M318</v>
          </cell>
          <cell r="C223" t="str">
            <v>AD-A00M318</v>
          </cell>
          <cell r="D223" t="str">
            <v>AD-KN</v>
          </cell>
          <cell r="E223" t="str">
            <v>DIV-AD-KN</v>
          </cell>
          <cell r="F223" t="str">
            <v>DIV-KN</v>
          </cell>
          <cell r="G223" t="str">
            <v>A00M318</v>
          </cell>
          <cell r="H223" t="str">
            <v>DIV</v>
          </cell>
          <cell r="I223">
            <v>2001</v>
          </cell>
          <cell r="J223" t="str">
            <v>I</v>
          </cell>
          <cell r="K223" t="str">
            <v>AD</v>
          </cell>
          <cell r="L223" t="str">
            <v>KN</v>
          </cell>
          <cell r="N223">
            <v>3.3</v>
          </cell>
          <cell r="O223">
            <v>11.8</v>
          </cell>
          <cell r="P223">
            <v>2.9</v>
          </cell>
          <cell r="Q223">
            <v>1.5</v>
          </cell>
          <cell r="Y223">
            <v>32.840000000000003</v>
          </cell>
          <cell r="Z223">
            <v>19.5</v>
          </cell>
          <cell r="AA223">
            <v>0</v>
          </cell>
          <cell r="AB223">
            <v>52.34</v>
          </cell>
          <cell r="AC223">
            <v>19.5</v>
          </cell>
          <cell r="AD223">
            <v>52.34</v>
          </cell>
          <cell r="AE223">
            <v>0</v>
          </cell>
          <cell r="AF223">
            <v>-1.39820404276</v>
          </cell>
        </row>
        <row r="224">
          <cell r="B224" t="str">
            <v>CO-KE-A00M318</v>
          </cell>
          <cell r="C224" t="str">
            <v>CO-A00M318</v>
          </cell>
          <cell r="D224" t="str">
            <v>CO-KE</v>
          </cell>
          <cell r="E224" t="str">
            <v>DIV-CO-KE</v>
          </cell>
          <cell r="F224" t="str">
            <v>DIV-KE</v>
          </cell>
          <cell r="G224" t="str">
            <v>A00M318</v>
          </cell>
          <cell r="H224" t="str">
            <v>DIV</v>
          </cell>
          <cell r="I224">
            <v>2001</v>
          </cell>
          <cell r="J224" t="str">
            <v>I</v>
          </cell>
          <cell r="K224" t="str">
            <v>CO</v>
          </cell>
          <cell r="L224" t="str">
            <v>KE</v>
          </cell>
          <cell r="Y224">
            <v>0</v>
          </cell>
          <cell r="Z224">
            <v>0</v>
          </cell>
          <cell r="AA224">
            <v>0</v>
          </cell>
          <cell r="AB224">
            <v>0</v>
          </cell>
          <cell r="AC224">
            <v>0</v>
          </cell>
          <cell r="AD224">
            <v>0</v>
          </cell>
          <cell r="AE224">
            <v>0</v>
          </cell>
          <cell r="AF224">
            <v>0</v>
          </cell>
        </row>
        <row r="225">
          <cell r="B225" t="str">
            <v>CO-KN-A00M318</v>
          </cell>
          <cell r="C225" t="str">
            <v>CO-A00M318</v>
          </cell>
          <cell r="D225" t="str">
            <v>CO-KN</v>
          </cell>
          <cell r="E225" t="str">
            <v>DIV-CO-KN</v>
          </cell>
          <cell r="F225" t="str">
            <v>DIV-KN</v>
          </cell>
          <cell r="G225" t="str">
            <v>A00M318</v>
          </cell>
          <cell r="H225" t="str">
            <v>DIV</v>
          </cell>
          <cell r="I225">
            <v>2001</v>
          </cell>
          <cell r="J225" t="str">
            <v>I</v>
          </cell>
          <cell r="K225" t="str">
            <v>CO</v>
          </cell>
          <cell r="L225" t="str">
            <v>KN</v>
          </cell>
          <cell r="M225">
            <v>0.2</v>
          </cell>
          <cell r="N225">
            <v>3.6</v>
          </cell>
          <cell r="O225">
            <v>33.6</v>
          </cell>
          <cell r="P225">
            <v>20.2</v>
          </cell>
          <cell r="Q225">
            <v>2.7</v>
          </cell>
          <cell r="Y225">
            <v>19.43</v>
          </cell>
          <cell r="Z225">
            <v>60.3</v>
          </cell>
          <cell r="AA225">
            <v>0</v>
          </cell>
          <cell r="AB225">
            <v>79.72999999999999</v>
          </cell>
          <cell r="AC225">
            <v>60.3</v>
          </cell>
          <cell r="AD225">
            <v>79.72999999999999</v>
          </cell>
          <cell r="AE225">
            <v>0</v>
          </cell>
          <cell r="AF225">
            <v>-4.71050049769</v>
          </cell>
        </row>
        <row r="226">
          <cell r="B226" t="str">
            <v>IN-KE-A00M318</v>
          </cell>
          <cell r="C226" t="str">
            <v>IN-A00M318</v>
          </cell>
          <cell r="D226" t="str">
            <v>IN-KE</v>
          </cell>
          <cell r="E226" t="str">
            <v>DIV-IN-KE</v>
          </cell>
          <cell r="F226" t="str">
            <v>DIV-KE</v>
          </cell>
          <cell r="G226" t="str">
            <v>A00M318</v>
          </cell>
          <cell r="H226" t="str">
            <v>DIV</v>
          </cell>
          <cell r="I226">
            <v>2001</v>
          </cell>
          <cell r="J226" t="str">
            <v>I</v>
          </cell>
          <cell r="K226" t="str">
            <v>IN</v>
          </cell>
          <cell r="L226" t="str">
            <v>KE</v>
          </cell>
          <cell r="Y226">
            <v>0</v>
          </cell>
          <cell r="Z226">
            <v>0</v>
          </cell>
          <cell r="AA226">
            <v>0</v>
          </cell>
          <cell r="AB226">
            <v>0</v>
          </cell>
          <cell r="AC226">
            <v>0</v>
          </cell>
          <cell r="AD226">
            <v>0</v>
          </cell>
          <cell r="AE226">
            <v>0</v>
          </cell>
          <cell r="AF226">
            <v>0</v>
          </cell>
        </row>
        <row r="227">
          <cell r="B227" t="str">
            <v>IN-KN-A00M318</v>
          </cell>
          <cell r="C227" t="str">
            <v>IN-A00M318</v>
          </cell>
          <cell r="D227" t="str">
            <v>IN-KN</v>
          </cell>
          <cell r="E227" t="str">
            <v>DIV-IN-KN</v>
          </cell>
          <cell r="F227" t="str">
            <v>DIV-KN</v>
          </cell>
          <cell r="G227" t="str">
            <v>A00M318</v>
          </cell>
          <cell r="H227" t="str">
            <v>DIV</v>
          </cell>
          <cell r="I227">
            <v>2001</v>
          </cell>
          <cell r="J227" t="str">
            <v>I</v>
          </cell>
          <cell r="K227" t="str">
            <v>IN</v>
          </cell>
          <cell r="L227" t="str">
            <v>KN</v>
          </cell>
          <cell r="N227">
            <v>7.5</v>
          </cell>
          <cell r="O227">
            <v>9</v>
          </cell>
          <cell r="P227">
            <v>3.9</v>
          </cell>
          <cell r="Q227">
            <v>0</v>
          </cell>
          <cell r="Y227">
            <v>84.5</v>
          </cell>
          <cell r="Z227">
            <v>20.399999999999999</v>
          </cell>
          <cell r="AA227">
            <v>0</v>
          </cell>
          <cell r="AB227">
            <v>104.9</v>
          </cell>
          <cell r="AC227">
            <v>20.399999999999999</v>
          </cell>
          <cell r="AD227">
            <v>104.9</v>
          </cell>
          <cell r="AE227">
            <v>0</v>
          </cell>
          <cell r="AF227">
            <v>-1.28102638335</v>
          </cell>
        </row>
        <row r="228">
          <cell r="B228" t="str">
            <v>AD-KE-A00M319</v>
          </cell>
          <cell r="C228" t="str">
            <v>AD-A00M319</v>
          </cell>
          <cell r="D228" t="str">
            <v>AD-KE</v>
          </cell>
          <cell r="E228" t="str">
            <v>DIV-AD-KE</v>
          </cell>
          <cell r="F228" t="str">
            <v>DIV-KE</v>
          </cell>
          <cell r="G228" t="str">
            <v>A00M319</v>
          </cell>
          <cell r="H228" t="str">
            <v>DIV</v>
          </cell>
          <cell r="I228">
            <v>2001</v>
          </cell>
          <cell r="J228" t="str">
            <v>I</v>
          </cell>
          <cell r="K228" t="str">
            <v>AD</v>
          </cell>
          <cell r="L228" t="str">
            <v>KE</v>
          </cell>
          <cell r="Y228">
            <v>0</v>
          </cell>
          <cell r="Z228">
            <v>0</v>
          </cell>
          <cell r="AA228">
            <v>0</v>
          </cell>
          <cell r="AB228">
            <v>0</v>
          </cell>
          <cell r="AC228">
            <v>0</v>
          </cell>
          <cell r="AD228">
            <v>0</v>
          </cell>
          <cell r="AE228">
            <v>0</v>
          </cell>
          <cell r="AF228">
            <v>0</v>
          </cell>
        </row>
        <row r="229">
          <cell r="B229" t="str">
            <v>AD-KN-A00M319</v>
          </cell>
          <cell r="C229" t="str">
            <v>AD-A00M319</v>
          </cell>
          <cell r="D229" t="str">
            <v>AD-KN</v>
          </cell>
          <cell r="E229" t="str">
            <v>DIV-AD-KN</v>
          </cell>
          <cell r="F229" t="str">
            <v>DIV-KN</v>
          </cell>
          <cell r="G229" t="str">
            <v>A00M319</v>
          </cell>
          <cell r="H229" t="str">
            <v>DIV</v>
          </cell>
          <cell r="I229">
            <v>2001</v>
          </cell>
          <cell r="J229" t="str">
            <v>I</v>
          </cell>
          <cell r="K229" t="str">
            <v>AD</v>
          </cell>
          <cell r="L229" t="str">
            <v>KN</v>
          </cell>
          <cell r="Y229">
            <v>26.21</v>
          </cell>
          <cell r="Z229">
            <v>0</v>
          </cell>
          <cell r="AA229">
            <v>0</v>
          </cell>
          <cell r="AB229">
            <v>26.21</v>
          </cell>
          <cell r="AC229">
            <v>0</v>
          </cell>
          <cell r="AD229">
            <v>26.21</v>
          </cell>
          <cell r="AE229">
            <v>0</v>
          </cell>
          <cell r="AF229">
            <v>0</v>
          </cell>
        </row>
        <row r="230">
          <cell r="B230" t="str">
            <v>CO-KE-A00M319</v>
          </cell>
          <cell r="C230" t="str">
            <v>CO-A00M319</v>
          </cell>
          <cell r="D230" t="str">
            <v>CO-KE</v>
          </cell>
          <cell r="E230" t="str">
            <v>DIV-CO-KE</v>
          </cell>
          <cell r="F230" t="str">
            <v>DIV-KE</v>
          </cell>
          <cell r="G230" t="str">
            <v>A00M319</v>
          </cell>
          <cell r="H230" t="str">
            <v>DIV</v>
          </cell>
          <cell r="I230">
            <v>2001</v>
          </cell>
          <cell r="J230" t="str">
            <v>I</v>
          </cell>
          <cell r="K230" t="str">
            <v>CO</v>
          </cell>
          <cell r="L230" t="str">
            <v>KE</v>
          </cell>
          <cell r="Y230">
            <v>0</v>
          </cell>
          <cell r="Z230">
            <v>0</v>
          </cell>
          <cell r="AA230">
            <v>0</v>
          </cell>
          <cell r="AB230">
            <v>0</v>
          </cell>
          <cell r="AC230">
            <v>0</v>
          </cell>
          <cell r="AD230">
            <v>0</v>
          </cell>
          <cell r="AE230">
            <v>0</v>
          </cell>
          <cell r="AF230">
            <v>0</v>
          </cell>
        </row>
        <row r="231">
          <cell r="B231" t="str">
            <v>CO-KN-A00M319</v>
          </cell>
          <cell r="C231" t="str">
            <v>CO-A00M319</v>
          </cell>
          <cell r="D231" t="str">
            <v>CO-KN</v>
          </cell>
          <cell r="E231" t="str">
            <v>DIV-CO-KN</v>
          </cell>
          <cell r="F231" t="str">
            <v>DIV-KN</v>
          </cell>
          <cell r="G231" t="str">
            <v>A00M319</v>
          </cell>
          <cell r="H231" t="str">
            <v>DIV</v>
          </cell>
          <cell r="I231">
            <v>2001</v>
          </cell>
          <cell r="J231" t="str">
            <v>I</v>
          </cell>
          <cell r="K231" t="str">
            <v>CO</v>
          </cell>
          <cell r="L231" t="str">
            <v>KN</v>
          </cell>
          <cell r="O231">
            <v>3</v>
          </cell>
          <cell r="Y231">
            <v>0</v>
          </cell>
          <cell r="Z231">
            <v>3</v>
          </cell>
          <cell r="AA231">
            <v>0</v>
          </cell>
          <cell r="AB231">
            <v>3</v>
          </cell>
          <cell r="AC231">
            <v>3</v>
          </cell>
          <cell r="AD231">
            <v>3</v>
          </cell>
          <cell r="AE231">
            <v>0</v>
          </cell>
          <cell r="AF231">
            <v>-0.22388192279999999</v>
          </cell>
        </row>
        <row r="232">
          <cell r="B232" t="str">
            <v>IN-KE-A00M319</v>
          </cell>
          <cell r="C232" t="str">
            <v>IN-A00M319</v>
          </cell>
          <cell r="D232" t="str">
            <v>IN-KE</v>
          </cell>
          <cell r="E232" t="str">
            <v>DIV-IN-KE</v>
          </cell>
          <cell r="F232" t="str">
            <v>DIV-KE</v>
          </cell>
          <cell r="G232" t="str">
            <v>A00M319</v>
          </cell>
          <cell r="H232" t="str">
            <v>DIV</v>
          </cell>
          <cell r="I232">
            <v>2001</v>
          </cell>
          <cell r="J232" t="str">
            <v>I</v>
          </cell>
          <cell r="K232" t="str">
            <v>IN</v>
          </cell>
          <cell r="L232" t="str">
            <v>KE</v>
          </cell>
          <cell r="Y232">
            <v>0</v>
          </cell>
          <cell r="Z232">
            <v>0</v>
          </cell>
          <cell r="AA232">
            <v>0</v>
          </cell>
          <cell r="AB232">
            <v>0</v>
          </cell>
          <cell r="AC232">
            <v>0</v>
          </cell>
          <cell r="AD232">
            <v>0</v>
          </cell>
          <cell r="AE232">
            <v>0</v>
          </cell>
          <cell r="AF232">
            <v>0</v>
          </cell>
        </row>
        <row r="233">
          <cell r="B233" t="str">
            <v>IN-KN-A00M319</v>
          </cell>
          <cell r="C233" t="str">
            <v>IN-A00M319</v>
          </cell>
          <cell r="D233" t="str">
            <v>IN-KN</v>
          </cell>
          <cell r="E233" t="str">
            <v>DIV-IN-KN</v>
          </cell>
          <cell r="F233" t="str">
            <v>DIV-KN</v>
          </cell>
          <cell r="G233" t="str">
            <v>A00M319</v>
          </cell>
          <cell r="H233" t="str">
            <v>DIV</v>
          </cell>
          <cell r="I233">
            <v>2001</v>
          </cell>
          <cell r="J233" t="str">
            <v>I</v>
          </cell>
          <cell r="K233" t="str">
            <v>IN</v>
          </cell>
          <cell r="L233" t="str">
            <v>KN</v>
          </cell>
          <cell r="M233">
            <v>0.4</v>
          </cell>
          <cell r="N233">
            <v>1.3</v>
          </cell>
          <cell r="O233">
            <v>2.5</v>
          </cell>
          <cell r="Y233">
            <v>5.56</v>
          </cell>
          <cell r="Z233">
            <v>4.2</v>
          </cell>
          <cell r="AA233">
            <v>0</v>
          </cell>
          <cell r="AB233">
            <v>9.76</v>
          </cell>
          <cell r="AC233">
            <v>4.2</v>
          </cell>
          <cell r="AD233">
            <v>9.76</v>
          </cell>
          <cell r="AE233">
            <v>0</v>
          </cell>
          <cell r="AF233">
            <v>-0.25001370010000001</v>
          </cell>
        </row>
        <row r="234">
          <cell r="B234" t="str">
            <v>AD-KE-A00M330</v>
          </cell>
          <cell r="C234" t="str">
            <v>AD-A00M330</v>
          </cell>
          <cell r="D234" t="str">
            <v>AD-KE</v>
          </cell>
          <cell r="E234" t="str">
            <v>DIV-AD-KE</v>
          </cell>
          <cell r="F234" t="str">
            <v>DIV-KE</v>
          </cell>
          <cell r="G234" t="str">
            <v>A00M330</v>
          </cell>
          <cell r="H234" t="str">
            <v>DIV</v>
          </cell>
          <cell r="I234">
            <v>2000</v>
          </cell>
          <cell r="J234" t="str">
            <v>I</v>
          </cell>
          <cell r="K234" t="str">
            <v>AD</v>
          </cell>
          <cell r="L234" t="str">
            <v>KE</v>
          </cell>
          <cell r="Y234">
            <v>0</v>
          </cell>
          <cell r="Z234">
            <v>0</v>
          </cell>
          <cell r="AA234">
            <v>0</v>
          </cell>
          <cell r="AB234">
            <v>0</v>
          </cell>
          <cell r="AC234">
            <v>0</v>
          </cell>
          <cell r="AD234">
            <v>0</v>
          </cell>
          <cell r="AE234">
            <v>0</v>
          </cell>
          <cell r="AF234">
            <v>0</v>
          </cell>
        </row>
        <row r="235">
          <cell r="B235" t="str">
            <v>AD-KN-A00M330</v>
          </cell>
          <cell r="C235" t="str">
            <v>AD-A00M330</v>
          </cell>
          <cell r="D235" t="str">
            <v>AD-KN</v>
          </cell>
          <cell r="E235" t="str">
            <v>DIV-AD-KN</v>
          </cell>
          <cell r="F235" t="str">
            <v>DIV-KN</v>
          </cell>
          <cell r="G235" t="str">
            <v>A00M330</v>
          </cell>
          <cell r="H235" t="str">
            <v>DIV</v>
          </cell>
          <cell r="I235">
            <v>2000</v>
          </cell>
          <cell r="J235" t="str">
            <v>I</v>
          </cell>
          <cell r="K235" t="str">
            <v>AD</v>
          </cell>
          <cell r="L235" t="str">
            <v>KN</v>
          </cell>
          <cell r="Y235">
            <v>0</v>
          </cell>
          <cell r="Z235">
            <v>0</v>
          </cell>
          <cell r="AA235">
            <v>0</v>
          </cell>
          <cell r="AB235">
            <v>0</v>
          </cell>
          <cell r="AC235">
            <v>0</v>
          </cell>
          <cell r="AD235">
            <v>0</v>
          </cell>
          <cell r="AE235">
            <v>0</v>
          </cell>
          <cell r="AF235">
            <v>0</v>
          </cell>
        </row>
        <row r="236">
          <cell r="B236" t="str">
            <v>CO-KE-A00M330</v>
          </cell>
          <cell r="C236" t="str">
            <v>CO-A00M330</v>
          </cell>
          <cell r="D236" t="str">
            <v>CO-KE</v>
          </cell>
          <cell r="E236" t="str">
            <v>DIV-CO-KE</v>
          </cell>
          <cell r="F236" t="str">
            <v>DIV-KE</v>
          </cell>
          <cell r="G236" t="str">
            <v>A00M330</v>
          </cell>
          <cell r="H236" t="str">
            <v>DIV</v>
          </cell>
          <cell r="I236">
            <v>2000</v>
          </cell>
          <cell r="J236" t="str">
            <v>I</v>
          </cell>
          <cell r="K236" t="str">
            <v>CO</v>
          </cell>
          <cell r="L236" t="str">
            <v>KE</v>
          </cell>
          <cell r="Y236">
            <v>0</v>
          </cell>
          <cell r="Z236">
            <v>0</v>
          </cell>
          <cell r="AA236">
            <v>0</v>
          </cell>
          <cell r="AB236">
            <v>0</v>
          </cell>
          <cell r="AC236">
            <v>0</v>
          </cell>
          <cell r="AD236">
            <v>0</v>
          </cell>
          <cell r="AE236">
            <v>0</v>
          </cell>
          <cell r="AF236">
            <v>0</v>
          </cell>
        </row>
        <row r="237">
          <cell r="B237" t="str">
            <v>CO-KN-A00M330</v>
          </cell>
          <cell r="C237" t="str">
            <v>CO-A00M330</v>
          </cell>
          <cell r="D237" t="str">
            <v>CO-KN</v>
          </cell>
          <cell r="E237" t="str">
            <v>DIV-CO-KN</v>
          </cell>
          <cell r="F237" t="str">
            <v>DIV-KN</v>
          </cell>
          <cell r="G237" t="str">
            <v>A00M330</v>
          </cell>
          <cell r="H237" t="str">
            <v>DIV</v>
          </cell>
          <cell r="I237">
            <v>2000</v>
          </cell>
          <cell r="J237" t="str">
            <v>I</v>
          </cell>
          <cell r="K237" t="str">
            <v>CO</v>
          </cell>
          <cell r="L237" t="str">
            <v>KN</v>
          </cell>
          <cell r="Y237">
            <v>0</v>
          </cell>
          <cell r="Z237">
            <v>0</v>
          </cell>
          <cell r="AA237">
            <v>0</v>
          </cell>
          <cell r="AB237">
            <v>0</v>
          </cell>
          <cell r="AC237">
            <v>0</v>
          </cell>
          <cell r="AD237">
            <v>0</v>
          </cell>
          <cell r="AE237">
            <v>0</v>
          </cell>
          <cell r="AF237">
            <v>0</v>
          </cell>
        </row>
        <row r="238">
          <cell r="B238" t="str">
            <v>IN-KE-A00M330</v>
          </cell>
          <cell r="C238" t="str">
            <v>IN-A00M330</v>
          </cell>
          <cell r="D238" t="str">
            <v>IN-KE</v>
          </cell>
          <cell r="E238" t="str">
            <v>DIV-IN-KE</v>
          </cell>
          <cell r="F238" t="str">
            <v>DIV-KE</v>
          </cell>
          <cell r="G238" t="str">
            <v>A00M330</v>
          </cell>
          <cell r="H238" t="str">
            <v>DIV</v>
          </cell>
          <cell r="I238">
            <v>2000</v>
          </cell>
          <cell r="J238" t="str">
            <v>I</v>
          </cell>
          <cell r="K238" t="str">
            <v>IN</v>
          </cell>
          <cell r="L238" t="str">
            <v>KE</v>
          </cell>
          <cell r="Y238">
            <v>0</v>
          </cell>
          <cell r="Z238">
            <v>0</v>
          </cell>
          <cell r="AA238">
            <v>0</v>
          </cell>
          <cell r="AB238">
            <v>0</v>
          </cell>
          <cell r="AC238">
            <v>0</v>
          </cell>
          <cell r="AD238">
            <v>0</v>
          </cell>
          <cell r="AE238">
            <v>0</v>
          </cell>
          <cell r="AF238">
            <v>0</v>
          </cell>
        </row>
        <row r="239">
          <cell r="B239" t="str">
            <v>IN-KN-A00M330</v>
          </cell>
          <cell r="C239" t="str">
            <v>IN-A00M330</v>
          </cell>
          <cell r="D239" t="str">
            <v>IN-KN</v>
          </cell>
          <cell r="E239" t="str">
            <v>DIV-IN-KN</v>
          </cell>
          <cell r="F239" t="str">
            <v>DIV-KN</v>
          </cell>
          <cell r="G239" t="str">
            <v>A00M330</v>
          </cell>
          <cell r="H239" t="str">
            <v>DIV</v>
          </cell>
          <cell r="I239">
            <v>2000</v>
          </cell>
          <cell r="J239" t="str">
            <v>I</v>
          </cell>
          <cell r="K239" t="str">
            <v>IN</v>
          </cell>
          <cell r="L239" t="str">
            <v>KN</v>
          </cell>
          <cell r="Y239">
            <v>0</v>
          </cell>
          <cell r="Z239">
            <v>0</v>
          </cell>
          <cell r="AA239">
            <v>0</v>
          </cell>
          <cell r="AB239">
            <v>0</v>
          </cell>
          <cell r="AC239">
            <v>0</v>
          </cell>
          <cell r="AD239">
            <v>0</v>
          </cell>
          <cell r="AE239">
            <v>0</v>
          </cell>
          <cell r="AF239">
            <v>0</v>
          </cell>
        </row>
        <row r="240">
          <cell r="B240" t="str">
            <v>AD-KE-A00M331</v>
          </cell>
          <cell r="C240" t="str">
            <v>AD-A00M331</v>
          </cell>
          <cell r="D240" t="str">
            <v>AD-KE</v>
          </cell>
          <cell r="E240" t="str">
            <v>DIV-AD-KE</v>
          </cell>
          <cell r="F240" t="str">
            <v>DIV-KE</v>
          </cell>
          <cell r="G240" t="str">
            <v>A00M331</v>
          </cell>
          <cell r="H240" t="str">
            <v>DIV</v>
          </cell>
          <cell r="I240">
            <v>2000</v>
          </cell>
          <cell r="J240" t="str">
            <v>I</v>
          </cell>
          <cell r="K240" t="str">
            <v>AD</v>
          </cell>
          <cell r="L240" t="str">
            <v>KE</v>
          </cell>
          <cell r="Y240">
            <v>0</v>
          </cell>
          <cell r="Z240">
            <v>0</v>
          </cell>
          <cell r="AA240">
            <v>0</v>
          </cell>
          <cell r="AB240">
            <v>0</v>
          </cell>
          <cell r="AC240">
            <v>0</v>
          </cell>
          <cell r="AD240">
            <v>0</v>
          </cell>
          <cell r="AE240">
            <v>0</v>
          </cell>
          <cell r="AF240">
            <v>0</v>
          </cell>
        </row>
        <row r="241">
          <cell r="B241" t="str">
            <v>AD-KN-A00M331</v>
          </cell>
          <cell r="C241" t="str">
            <v>AD-A00M331</v>
          </cell>
          <cell r="D241" t="str">
            <v>AD-KN</v>
          </cell>
          <cell r="E241" t="str">
            <v>DIV-AD-KN</v>
          </cell>
          <cell r="F241" t="str">
            <v>DIV-KN</v>
          </cell>
          <cell r="G241" t="str">
            <v>A00M331</v>
          </cell>
          <cell r="H241" t="str">
            <v>DIV</v>
          </cell>
          <cell r="I241">
            <v>2000</v>
          </cell>
          <cell r="J241" t="str">
            <v>I</v>
          </cell>
          <cell r="K241" t="str">
            <v>AD</v>
          </cell>
          <cell r="L241" t="str">
            <v>KN</v>
          </cell>
          <cell r="Y241">
            <v>0</v>
          </cell>
          <cell r="Z241">
            <v>0</v>
          </cell>
          <cell r="AA241">
            <v>0</v>
          </cell>
          <cell r="AB241">
            <v>0</v>
          </cell>
          <cell r="AC241">
            <v>0</v>
          </cell>
          <cell r="AD241">
            <v>0</v>
          </cell>
          <cell r="AE241">
            <v>0</v>
          </cell>
          <cell r="AF241">
            <v>0</v>
          </cell>
        </row>
        <row r="242">
          <cell r="B242" t="str">
            <v>CO-KE-A00M331</v>
          </cell>
          <cell r="C242" t="str">
            <v>CO-A00M331</v>
          </cell>
          <cell r="D242" t="str">
            <v>CO-KE</v>
          </cell>
          <cell r="E242" t="str">
            <v>DIV-CO-KE</v>
          </cell>
          <cell r="F242" t="str">
            <v>DIV-KE</v>
          </cell>
          <cell r="G242" t="str">
            <v>A00M331</v>
          </cell>
          <cell r="H242" t="str">
            <v>DIV</v>
          </cell>
          <cell r="I242">
            <v>2000</v>
          </cell>
          <cell r="J242" t="str">
            <v>I</v>
          </cell>
          <cell r="K242" t="str">
            <v>CO</v>
          </cell>
          <cell r="L242" t="str">
            <v>KE</v>
          </cell>
          <cell r="Y242">
            <v>0</v>
          </cell>
          <cell r="Z242">
            <v>0</v>
          </cell>
          <cell r="AA242">
            <v>0</v>
          </cell>
          <cell r="AB242">
            <v>0</v>
          </cell>
          <cell r="AC242">
            <v>0</v>
          </cell>
          <cell r="AD242">
            <v>0</v>
          </cell>
          <cell r="AE242">
            <v>0</v>
          </cell>
          <cell r="AF242">
            <v>0</v>
          </cell>
        </row>
        <row r="243">
          <cell r="B243" t="str">
            <v>CO-KN-A00M331</v>
          </cell>
          <cell r="C243" t="str">
            <v>CO-A00M331</v>
          </cell>
          <cell r="D243" t="str">
            <v>CO-KN</v>
          </cell>
          <cell r="E243" t="str">
            <v>DIV-CO-KN</v>
          </cell>
          <cell r="F243" t="str">
            <v>DIV-KN</v>
          </cell>
          <cell r="G243" t="str">
            <v>A00M331</v>
          </cell>
          <cell r="H243" t="str">
            <v>DIV</v>
          </cell>
          <cell r="I243">
            <v>2000</v>
          </cell>
          <cell r="J243" t="str">
            <v>I</v>
          </cell>
          <cell r="K243" t="str">
            <v>CO</v>
          </cell>
          <cell r="L243" t="str">
            <v>KN</v>
          </cell>
          <cell r="Y243">
            <v>0</v>
          </cell>
          <cell r="Z243">
            <v>0</v>
          </cell>
          <cell r="AA243">
            <v>0</v>
          </cell>
          <cell r="AB243">
            <v>0</v>
          </cell>
          <cell r="AC243">
            <v>0</v>
          </cell>
          <cell r="AD243">
            <v>0</v>
          </cell>
          <cell r="AE243">
            <v>0</v>
          </cell>
          <cell r="AF243">
            <v>0</v>
          </cell>
        </row>
        <row r="244">
          <cell r="B244" t="str">
            <v>IN-KE-A00M331</v>
          </cell>
          <cell r="C244" t="str">
            <v>IN-A00M331</v>
          </cell>
          <cell r="D244" t="str">
            <v>IN-KE</v>
          </cell>
          <cell r="E244" t="str">
            <v>DIV-IN-KE</v>
          </cell>
          <cell r="F244" t="str">
            <v>DIV-KE</v>
          </cell>
          <cell r="G244" t="str">
            <v>A00M331</v>
          </cell>
          <cell r="H244" t="str">
            <v>DIV</v>
          </cell>
          <cell r="I244">
            <v>2000</v>
          </cell>
          <cell r="J244" t="str">
            <v>I</v>
          </cell>
          <cell r="K244" t="str">
            <v>IN</v>
          </cell>
          <cell r="L244" t="str">
            <v>KE</v>
          </cell>
          <cell r="Y244">
            <v>0</v>
          </cell>
          <cell r="Z244">
            <v>0</v>
          </cell>
          <cell r="AA244">
            <v>0</v>
          </cell>
          <cell r="AB244">
            <v>0</v>
          </cell>
          <cell r="AC244">
            <v>0</v>
          </cell>
          <cell r="AD244">
            <v>0</v>
          </cell>
          <cell r="AE244">
            <v>0</v>
          </cell>
          <cell r="AF244">
            <v>0</v>
          </cell>
        </row>
        <row r="245">
          <cell r="B245" t="str">
            <v>IN-KN-A00M331</v>
          </cell>
          <cell r="C245" t="str">
            <v>IN-A00M331</v>
          </cell>
          <cell r="D245" t="str">
            <v>IN-KN</v>
          </cell>
          <cell r="E245" t="str">
            <v>DIV-IN-KN</v>
          </cell>
          <cell r="F245" t="str">
            <v>DIV-KN</v>
          </cell>
          <cell r="G245" t="str">
            <v>A00M331</v>
          </cell>
          <cell r="H245" t="str">
            <v>DIV</v>
          </cell>
          <cell r="I245">
            <v>2000</v>
          </cell>
          <cell r="J245" t="str">
            <v>I</v>
          </cell>
          <cell r="K245" t="str">
            <v>IN</v>
          </cell>
          <cell r="L245" t="str">
            <v>KN</v>
          </cell>
          <cell r="Y245">
            <v>0</v>
          </cell>
          <cell r="Z245">
            <v>0</v>
          </cell>
          <cell r="AA245">
            <v>0</v>
          </cell>
          <cell r="AB245">
            <v>0</v>
          </cell>
          <cell r="AC245">
            <v>0</v>
          </cell>
          <cell r="AD245">
            <v>0</v>
          </cell>
          <cell r="AE245">
            <v>0</v>
          </cell>
          <cell r="AF245">
            <v>0</v>
          </cell>
        </row>
        <row r="246">
          <cell r="B246" t="str">
            <v>AD-KE-A00M321</v>
          </cell>
          <cell r="C246" t="str">
            <v>AD-A00M321</v>
          </cell>
          <cell r="D246" t="str">
            <v>AD-KE</v>
          </cell>
          <cell r="E246" t="str">
            <v>DIV-AD-KE</v>
          </cell>
          <cell r="F246" t="str">
            <v>DIV-KE</v>
          </cell>
          <cell r="G246" t="str">
            <v>A00M321</v>
          </cell>
          <cell r="H246" t="str">
            <v>DIV</v>
          </cell>
          <cell r="I246">
            <v>2000</v>
          </cell>
          <cell r="J246" t="str">
            <v>I</v>
          </cell>
          <cell r="K246" t="str">
            <v>AD</v>
          </cell>
          <cell r="L246" t="str">
            <v>KE</v>
          </cell>
          <cell r="Y246">
            <v>0</v>
          </cell>
          <cell r="Z246">
            <v>0</v>
          </cell>
          <cell r="AA246">
            <v>0</v>
          </cell>
          <cell r="AB246">
            <v>0</v>
          </cell>
          <cell r="AC246">
            <v>0</v>
          </cell>
          <cell r="AD246">
            <v>0</v>
          </cell>
          <cell r="AE246">
            <v>0</v>
          </cell>
          <cell r="AF246">
            <v>0</v>
          </cell>
        </row>
        <row r="247">
          <cell r="B247" t="str">
            <v>AD-KN-A00M321</v>
          </cell>
          <cell r="C247" t="str">
            <v>AD-A00M321</v>
          </cell>
          <cell r="D247" t="str">
            <v>AD-KN</v>
          </cell>
          <cell r="E247" t="str">
            <v>DIV-AD-KN</v>
          </cell>
          <cell r="F247" t="str">
            <v>DIV-KN</v>
          </cell>
          <cell r="G247" t="str">
            <v>A00M321</v>
          </cell>
          <cell r="H247" t="str">
            <v>DIV</v>
          </cell>
          <cell r="I247">
            <v>2000</v>
          </cell>
          <cell r="J247" t="str">
            <v>I</v>
          </cell>
          <cell r="K247" t="str">
            <v>AD</v>
          </cell>
          <cell r="L247" t="str">
            <v>KN</v>
          </cell>
          <cell r="Y247">
            <v>0</v>
          </cell>
          <cell r="Z247">
            <v>0</v>
          </cell>
          <cell r="AA247">
            <v>0</v>
          </cell>
          <cell r="AB247">
            <v>0</v>
          </cell>
          <cell r="AC247">
            <v>0</v>
          </cell>
          <cell r="AD247">
            <v>0</v>
          </cell>
          <cell r="AE247">
            <v>0</v>
          </cell>
          <cell r="AF247">
            <v>0</v>
          </cell>
        </row>
        <row r="248">
          <cell r="B248" t="str">
            <v>CO-KE-A00M321</v>
          </cell>
          <cell r="C248" t="str">
            <v>CO-A00M321</v>
          </cell>
          <cell r="D248" t="str">
            <v>CO-KE</v>
          </cell>
          <cell r="E248" t="str">
            <v>DIV-CO-KE</v>
          </cell>
          <cell r="F248" t="str">
            <v>DIV-KE</v>
          </cell>
          <cell r="G248" t="str">
            <v>A00M321</v>
          </cell>
          <cell r="H248" t="str">
            <v>DIV</v>
          </cell>
          <cell r="I248">
            <v>2000</v>
          </cell>
          <cell r="J248" t="str">
            <v>I</v>
          </cell>
          <cell r="K248" t="str">
            <v>CO</v>
          </cell>
          <cell r="L248" t="str">
            <v>KE</v>
          </cell>
          <cell r="Y248">
            <v>0</v>
          </cell>
          <cell r="Z248">
            <v>0</v>
          </cell>
          <cell r="AA248">
            <v>0</v>
          </cell>
          <cell r="AB248">
            <v>0</v>
          </cell>
          <cell r="AC248">
            <v>0</v>
          </cell>
          <cell r="AD248">
            <v>0</v>
          </cell>
          <cell r="AE248">
            <v>0</v>
          </cell>
          <cell r="AF248">
            <v>0</v>
          </cell>
        </row>
        <row r="249">
          <cell r="B249" t="str">
            <v>CO-KN-A00M321</v>
          </cell>
          <cell r="C249" t="str">
            <v>CO-A00M321</v>
          </cell>
          <cell r="D249" t="str">
            <v>CO-KN</v>
          </cell>
          <cell r="E249" t="str">
            <v>DIV-CO-KN</v>
          </cell>
          <cell r="F249" t="str">
            <v>DIV-KN</v>
          </cell>
          <cell r="G249" t="str">
            <v>A00M321</v>
          </cell>
          <cell r="H249" t="str">
            <v>DIV</v>
          </cell>
          <cell r="I249">
            <v>2000</v>
          </cell>
          <cell r="J249" t="str">
            <v>I</v>
          </cell>
          <cell r="K249" t="str">
            <v>CO</v>
          </cell>
          <cell r="L249" t="str">
            <v>KN</v>
          </cell>
          <cell r="Y249">
            <v>0</v>
          </cell>
          <cell r="Z249">
            <v>0</v>
          </cell>
          <cell r="AA249">
            <v>0</v>
          </cell>
          <cell r="AB249">
            <v>0</v>
          </cell>
          <cell r="AC249">
            <v>0</v>
          </cell>
          <cell r="AD249">
            <v>0</v>
          </cell>
          <cell r="AE249">
            <v>0</v>
          </cell>
          <cell r="AF249">
            <v>0</v>
          </cell>
        </row>
        <row r="250">
          <cell r="B250" t="str">
            <v>IN-KE-A00M321</v>
          </cell>
          <cell r="C250" t="str">
            <v>IN-A00M321</v>
          </cell>
          <cell r="D250" t="str">
            <v>IN-KE</v>
          </cell>
          <cell r="E250" t="str">
            <v>DIV-IN-KE</v>
          </cell>
          <cell r="F250" t="str">
            <v>DIV-KE</v>
          </cell>
          <cell r="G250" t="str">
            <v>A00M321</v>
          </cell>
          <cell r="H250" t="str">
            <v>DIV</v>
          </cell>
          <cell r="I250">
            <v>2000</v>
          </cell>
          <cell r="J250" t="str">
            <v>I</v>
          </cell>
          <cell r="K250" t="str">
            <v>IN</v>
          </cell>
          <cell r="L250" t="str">
            <v>KE</v>
          </cell>
          <cell r="Y250">
            <v>0</v>
          </cell>
          <cell r="Z250">
            <v>0</v>
          </cell>
          <cell r="AA250">
            <v>0</v>
          </cell>
          <cell r="AB250">
            <v>0</v>
          </cell>
          <cell r="AC250">
            <v>0</v>
          </cell>
          <cell r="AD250">
            <v>0</v>
          </cell>
          <cell r="AE250">
            <v>0</v>
          </cell>
          <cell r="AF250">
            <v>0</v>
          </cell>
        </row>
        <row r="251">
          <cell r="B251" t="str">
            <v>IN-KN-A00M321</v>
          </cell>
          <cell r="C251" t="str">
            <v>IN-A00M321</v>
          </cell>
          <cell r="D251" t="str">
            <v>IN-KN</v>
          </cell>
          <cell r="E251" t="str">
            <v>DIV-IN-KN</v>
          </cell>
          <cell r="F251" t="str">
            <v>DIV-KN</v>
          </cell>
          <cell r="G251" t="str">
            <v>A00M321</v>
          </cell>
          <cell r="H251" t="str">
            <v>DIV</v>
          </cell>
          <cell r="I251">
            <v>2000</v>
          </cell>
          <cell r="J251" t="str">
            <v>I</v>
          </cell>
          <cell r="K251" t="str">
            <v>IN</v>
          </cell>
          <cell r="L251" t="str">
            <v>KN</v>
          </cell>
          <cell r="Y251">
            <v>0</v>
          </cell>
          <cell r="Z251">
            <v>0</v>
          </cell>
          <cell r="AA251">
            <v>0</v>
          </cell>
          <cell r="AB251">
            <v>0</v>
          </cell>
          <cell r="AC251">
            <v>0</v>
          </cell>
          <cell r="AD251">
            <v>0</v>
          </cell>
          <cell r="AE251">
            <v>0</v>
          </cell>
          <cell r="AF251">
            <v>0</v>
          </cell>
        </row>
        <row r="252">
          <cell r="B252" t="str">
            <v>AD-KE-A00M322</v>
          </cell>
          <cell r="C252" t="str">
            <v>AD-A00M322</v>
          </cell>
          <cell r="D252" t="str">
            <v>AD-KE</v>
          </cell>
          <cell r="E252" t="str">
            <v>DIV-AD-KE</v>
          </cell>
          <cell r="F252" t="str">
            <v>DIV-KE</v>
          </cell>
          <cell r="G252" t="str">
            <v>A00M322</v>
          </cell>
          <cell r="H252" t="str">
            <v>DIV</v>
          </cell>
          <cell r="I252">
            <v>2001</v>
          </cell>
          <cell r="J252" t="str">
            <v>I</v>
          </cell>
          <cell r="K252" t="str">
            <v>AD</v>
          </cell>
          <cell r="L252" t="str">
            <v>KE</v>
          </cell>
          <cell r="O252">
            <v>92</v>
          </cell>
          <cell r="P252">
            <v>34</v>
          </cell>
          <cell r="R252">
            <v>0.3</v>
          </cell>
          <cell r="Y252">
            <v>0</v>
          </cell>
          <cell r="Z252">
            <v>126.3</v>
          </cell>
          <cell r="AA252">
            <v>0</v>
          </cell>
          <cell r="AB252">
            <v>126.3</v>
          </cell>
          <cell r="AC252">
            <v>126.3</v>
          </cell>
          <cell r="AD252">
            <v>126.3</v>
          </cell>
          <cell r="AE252">
            <v>0</v>
          </cell>
          <cell r="AF252">
            <v>-0.66014648799000009</v>
          </cell>
        </row>
        <row r="253">
          <cell r="B253" t="str">
            <v>AD-KN-A00M322</v>
          </cell>
          <cell r="C253" t="str">
            <v>AD-A00M322</v>
          </cell>
          <cell r="D253" t="str">
            <v>AD-KN</v>
          </cell>
          <cell r="E253" t="str">
            <v>DIV-AD-KN</v>
          </cell>
          <cell r="F253" t="str">
            <v>DIV-KN</v>
          </cell>
          <cell r="G253" t="str">
            <v>A00M322</v>
          </cell>
          <cell r="H253" t="str">
            <v>DIV</v>
          </cell>
          <cell r="I253">
            <v>2001</v>
          </cell>
          <cell r="J253" t="str">
            <v>I</v>
          </cell>
          <cell r="K253" t="str">
            <v>AD</v>
          </cell>
          <cell r="L253" t="str">
            <v>KN</v>
          </cell>
          <cell r="M253">
            <v>0.5</v>
          </cell>
          <cell r="Q253">
            <v>6.2</v>
          </cell>
          <cell r="Y253">
            <v>0</v>
          </cell>
          <cell r="Z253">
            <v>6.7</v>
          </cell>
          <cell r="AA253">
            <v>0</v>
          </cell>
          <cell r="AB253">
            <v>6.7</v>
          </cell>
          <cell r="AC253">
            <v>6.7</v>
          </cell>
          <cell r="AD253">
            <v>6.7</v>
          </cell>
          <cell r="AE253">
            <v>0</v>
          </cell>
          <cell r="AF253">
            <v>-0.61540215306000001</v>
          </cell>
        </row>
        <row r="254">
          <cell r="B254" t="str">
            <v>CO-KE-A00M322</v>
          </cell>
          <cell r="C254" t="str">
            <v>CO-A00M322</v>
          </cell>
          <cell r="D254" t="str">
            <v>CO-KE</v>
          </cell>
          <cell r="E254" t="str">
            <v>DIV-CO-KE</v>
          </cell>
          <cell r="F254" t="str">
            <v>DIV-KE</v>
          </cell>
          <cell r="G254" t="str">
            <v>A00M322</v>
          </cell>
          <cell r="H254" t="str">
            <v>DIV</v>
          </cell>
          <cell r="I254">
            <v>2001</v>
          </cell>
          <cell r="J254" t="str">
            <v>I</v>
          </cell>
          <cell r="K254" t="str">
            <v>CO</v>
          </cell>
          <cell r="L254" t="str">
            <v>KE</v>
          </cell>
          <cell r="Y254">
            <v>0</v>
          </cell>
          <cell r="Z254">
            <v>0</v>
          </cell>
          <cell r="AA254">
            <v>0</v>
          </cell>
          <cell r="AB254">
            <v>0</v>
          </cell>
          <cell r="AC254">
            <v>0</v>
          </cell>
          <cell r="AD254">
            <v>0</v>
          </cell>
          <cell r="AE254">
            <v>0</v>
          </cell>
          <cell r="AF254">
            <v>0</v>
          </cell>
        </row>
        <row r="255">
          <cell r="B255" t="str">
            <v>CO-KN-A00M322</v>
          </cell>
          <cell r="C255" t="str">
            <v>CO-A00M322</v>
          </cell>
          <cell r="D255" t="str">
            <v>CO-KN</v>
          </cell>
          <cell r="E255" t="str">
            <v>DIV-CO-KN</v>
          </cell>
          <cell r="F255" t="str">
            <v>DIV-KN</v>
          </cell>
          <cell r="G255" t="str">
            <v>A00M322</v>
          </cell>
          <cell r="H255" t="str">
            <v>DIV</v>
          </cell>
          <cell r="I255">
            <v>2001</v>
          </cell>
          <cell r="J255" t="str">
            <v>I</v>
          </cell>
          <cell r="K255" t="str">
            <v>CO</v>
          </cell>
          <cell r="L255" t="str">
            <v>KN</v>
          </cell>
          <cell r="Q255">
            <v>0</v>
          </cell>
          <cell r="R255">
            <v>5.3</v>
          </cell>
          <cell r="Y255">
            <v>0</v>
          </cell>
          <cell r="Z255">
            <v>5.3</v>
          </cell>
          <cell r="AA255">
            <v>0</v>
          </cell>
          <cell r="AB255">
            <v>5.3</v>
          </cell>
          <cell r="AC255">
            <v>5.3</v>
          </cell>
          <cell r="AD255">
            <v>5.3</v>
          </cell>
          <cell r="AE255">
            <v>0</v>
          </cell>
          <cell r="AF255">
            <v>-0.61443069705999998</v>
          </cell>
        </row>
        <row r="256">
          <cell r="B256" t="str">
            <v>IN-KE-A00M322</v>
          </cell>
          <cell r="C256" t="str">
            <v>IN-A00M322</v>
          </cell>
          <cell r="D256" t="str">
            <v>IN-KE</v>
          </cell>
          <cell r="E256" t="str">
            <v>DIV-IN-KE</v>
          </cell>
          <cell r="F256" t="str">
            <v>DIV-KE</v>
          </cell>
          <cell r="G256" t="str">
            <v>A00M322</v>
          </cell>
          <cell r="H256" t="str">
            <v>DIV</v>
          </cell>
          <cell r="I256">
            <v>2001</v>
          </cell>
          <cell r="J256" t="str">
            <v>I</v>
          </cell>
          <cell r="K256" t="str">
            <v>IN</v>
          </cell>
          <cell r="L256" t="str">
            <v>KE</v>
          </cell>
          <cell r="Y256">
            <v>0</v>
          </cell>
          <cell r="Z256">
            <v>0</v>
          </cell>
          <cell r="AA256">
            <v>0</v>
          </cell>
          <cell r="AB256">
            <v>0</v>
          </cell>
          <cell r="AC256">
            <v>0</v>
          </cell>
          <cell r="AD256">
            <v>0</v>
          </cell>
          <cell r="AE256">
            <v>0</v>
          </cell>
          <cell r="AF256">
            <v>0</v>
          </cell>
        </row>
        <row r="257">
          <cell r="B257" t="str">
            <v>IN-KN-A00M322</v>
          </cell>
          <cell r="C257" t="str">
            <v>IN-A00M322</v>
          </cell>
          <cell r="D257" t="str">
            <v>IN-KN</v>
          </cell>
          <cell r="E257" t="str">
            <v>DIV-IN-KN</v>
          </cell>
          <cell r="F257" t="str">
            <v>DIV-KN</v>
          </cell>
          <cell r="G257" t="str">
            <v>A00M322</v>
          </cell>
          <cell r="H257" t="str">
            <v>DIV</v>
          </cell>
          <cell r="I257">
            <v>2001</v>
          </cell>
          <cell r="J257" t="str">
            <v>I</v>
          </cell>
          <cell r="K257" t="str">
            <v>IN</v>
          </cell>
          <cell r="L257" t="str">
            <v>KN</v>
          </cell>
          <cell r="N257">
            <v>0.2</v>
          </cell>
          <cell r="O257">
            <v>5</v>
          </cell>
          <cell r="P257">
            <v>5.3</v>
          </cell>
          <cell r="Q257">
            <v>4.4000000000000004</v>
          </cell>
          <cell r="R257">
            <v>-4.8</v>
          </cell>
          <cell r="S257">
            <v>7</v>
          </cell>
          <cell r="Y257">
            <v>2.11</v>
          </cell>
          <cell r="Z257">
            <v>17.100000000000001</v>
          </cell>
          <cell r="AA257">
            <v>0</v>
          </cell>
          <cell r="AB257">
            <v>19.21</v>
          </cell>
          <cell r="AC257">
            <v>17.100000000000001</v>
          </cell>
          <cell r="AD257">
            <v>19.21</v>
          </cell>
          <cell r="AE257">
            <v>0</v>
          </cell>
          <cell r="AF257">
            <v>-2.0589778234300002</v>
          </cell>
        </row>
        <row r="258">
          <cell r="B258" t="str">
            <v>AD-KE-A01M101</v>
          </cell>
          <cell r="C258" t="str">
            <v>AD-A01M101</v>
          </cell>
          <cell r="D258" t="str">
            <v>AD-KE</v>
          </cell>
          <cell r="E258" t="str">
            <v>DIV-AD-KE</v>
          </cell>
          <cell r="F258" t="str">
            <v>DIV-KE</v>
          </cell>
          <cell r="G258" t="str">
            <v>A01M101</v>
          </cell>
          <cell r="H258" t="str">
            <v>DIV</v>
          </cell>
          <cell r="I258">
            <v>2001</v>
          </cell>
          <cell r="J258" t="str">
            <v>I</v>
          </cell>
          <cell r="K258" t="str">
            <v>AD</v>
          </cell>
          <cell r="L258" t="str">
            <v>KE</v>
          </cell>
          <cell r="Y258">
            <v>0</v>
          </cell>
          <cell r="Z258">
            <v>0</v>
          </cell>
          <cell r="AA258">
            <v>0</v>
          </cell>
          <cell r="AB258">
            <v>0</v>
          </cell>
          <cell r="AC258">
            <v>0</v>
          </cell>
          <cell r="AD258">
            <v>0</v>
          </cell>
          <cell r="AE258">
            <v>0</v>
          </cell>
          <cell r="AF258">
            <v>0</v>
          </cell>
        </row>
        <row r="259">
          <cell r="B259" t="str">
            <v>AD-KN-A01M101</v>
          </cell>
          <cell r="C259" t="str">
            <v>AD-A01M101</v>
          </cell>
          <cell r="D259" t="str">
            <v>AD-KN</v>
          </cell>
          <cell r="E259" t="str">
            <v>DIV-AD-KN</v>
          </cell>
          <cell r="F259" t="str">
            <v>DIV-KN</v>
          </cell>
          <cell r="G259" t="str">
            <v>A01M101</v>
          </cell>
          <cell r="H259" t="str">
            <v>DIV</v>
          </cell>
          <cell r="I259">
            <v>2001</v>
          </cell>
          <cell r="J259" t="str">
            <v>I</v>
          </cell>
          <cell r="K259" t="str">
            <v>AD</v>
          </cell>
          <cell r="L259" t="str">
            <v>KN</v>
          </cell>
          <cell r="Y259">
            <v>0</v>
          </cell>
          <cell r="Z259">
            <v>0</v>
          </cell>
          <cell r="AA259">
            <v>0</v>
          </cell>
          <cell r="AB259">
            <v>0</v>
          </cell>
          <cell r="AC259">
            <v>0</v>
          </cell>
          <cell r="AD259">
            <v>0</v>
          </cell>
          <cell r="AE259">
            <v>0</v>
          </cell>
          <cell r="AF259">
            <v>0</v>
          </cell>
        </row>
        <row r="260">
          <cell r="B260" t="str">
            <v>CO-KE-A01M101</v>
          </cell>
          <cell r="C260" t="str">
            <v>CO-A01M101</v>
          </cell>
          <cell r="D260" t="str">
            <v>CO-KE</v>
          </cell>
          <cell r="E260" t="str">
            <v>DIV-CO-KE</v>
          </cell>
          <cell r="F260" t="str">
            <v>DIV-KE</v>
          </cell>
          <cell r="G260" t="str">
            <v>A01M101</v>
          </cell>
          <cell r="H260" t="str">
            <v>DIV</v>
          </cell>
          <cell r="I260">
            <v>2001</v>
          </cell>
          <cell r="J260" t="str">
            <v>I</v>
          </cell>
          <cell r="K260" t="str">
            <v>CO</v>
          </cell>
          <cell r="L260" t="str">
            <v>KE</v>
          </cell>
          <cell r="Y260">
            <v>0</v>
          </cell>
          <cell r="Z260">
            <v>0</v>
          </cell>
          <cell r="AA260">
            <v>0</v>
          </cell>
          <cell r="AB260">
            <v>0</v>
          </cell>
          <cell r="AC260">
            <v>0</v>
          </cell>
          <cell r="AD260">
            <v>0</v>
          </cell>
          <cell r="AE260">
            <v>0</v>
          </cell>
          <cell r="AF260">
            <v>0</v>
          </cell>
        </row>
        <row r="261">
          <cell r="B261" t="str">
            <v>CO-KN-A01M101</v>
          </cell>
          <cell r="C261" t="str">
            <v>CO-A01M101</v>
          </cell>
          <cell r="D261" t="str">
            <v>CO-KN</v>
          </cell>
          <cell r="E261" t="str">
            <v>DIV-CO-KN</v>
          </cell>
          <cell r="F261" t="str">
            <v>DIV-KN</v>
          </cell>
          <cell r="G261" t="str">
            <v>A01M101</v>
          </cell>
          <cell r="H261" t="str">
            <v>DIV</v>
          </cell>
          <cell r="I261">
            <v>2001</v>
          </cell>
          <cell r="J261" t="str">
            <v>I</v>
          </cell>
          <cell r="K261" t="str">
            <v>CO</v>
          </cell>
          <cell r="L261" t="str">
            <v>KN</v>
          </cell>
          <cell r="Y261">
            <v>0</v>
          </cell>
          <cell r="Z261">
            <v>0</v>
          </cell>
          <cell r="AA261">
            <v>0</v>
          </cell>
          <cell r="AB261">
            <v>0</v>
          </cell>
          <cell r="AC261">
            <v>0</v>
          </cell>
          <cell r="AD261">
            <v>0</v>
          </cell>
          <cell r="AE261">
            <v>0</v>
          </cell>
          <cell r="AF261">
            <v>0</v>
          </cell>
        </row>
        <row r="262">
          <cell r="B262" t="str">
            <v>IN-KE-A01M101</v>
          </cell>
          <cell r="C262" t="str">
            <v>IN-A01M101</v>
          </cell>
          <cell r="D262" t="str">
            <v>IN-KE</v>
          </cell>
          <cell r="E262" t="str">
            <v>DIV-IN-KE</v>
          </cell>
          <cell r="F262" t="str">
            <v>DIV-KE</v>
          </cell>
          <cell r="G262" t="str">
            <v>A01M101</v>
          </cell>
          <cell r="H262" t="str">
            <v>DIV</v>
          </cell>
          <cell r="I262">
            <v>2001</v>
          </cell>
          <cell r="J262" t="str">
            <v>I</v>
          </cell>
          <cell r="K262" t="str">
            <v>IN</v>
          </cell>
          <cell r="L262" t="str">
            <v>KE</v>
          </cell>
          <cell r="Y262">
            <v>0</v>
          </cell>
          <cell r="Z262">
            <v>0</v>
          </cell>
          <cell r="AA262">
            <v>0</v>
          </cell>
          <cell r="AB262">
            <v>0</v>
          </cell>
          <cell r="AC262">
            <v>0</v>
          </cell>
          <cell r="AD262">
            <v>0</v>
          </cell>
          <cell r="AE262">
            <v>0</v>
          </cell>
          <cell r="AF262">
            <v>0</v>
          </cell>
        </row>
        <row r="263">
          <cell r="B263" t="str">
            <v>IN-KN-A01M101</v>
          </cell>
          <cell r="C263" t="str">
            <v>IN-A01M101</v>
          </cell>
          <cell r="D263" t="str">
            <v>IN-KN</v>
          </cell>
          <cell r="E263" t="str">
            <v>DIV-IN-KN</v>
          </cell>
          <cell r="F263" t="str">
            <v>DIV-KN</v>
          </cell>
          <cell r="G263" t="str">
            <v>A01M101</v>
          </cell>
          <cell r="H263" t="str">
            <v>DIV</v>
          </cell>
          <cell r="I263">
            <v>2001</v>
          </cell>
          <cell r="J263" t="str">
            <v>I</v>
          </cell>
          <cell r="K263" t="str">
            <v>IN</v>
          </cell>
          <cell r="L263" t="str">
            <v>KN</v>
          </cell>
          <cell r="P263">
            <v>22.7</v>
          </cell>
          <cell r="Q263">
            <v>30.5</v>
          </cell>
          <cell r="R263">
            <v>12</v>
          </cell>
          <cell r="S263">
            <v>5.0999999999999996</v>
          </cell>
          <cell r="T263">
            <v>9.3000000000000007</v>
          </cell>
          <cell r="Y263">
            <v>0</v>
          </cell>
          <cell r="Z263">
            <v>79.599999999999994</v>
          </cell>
          <cell r="AA263">
            <v>0</v>
          </cell>
          <cell r="AB263">
            <v>79.599999999999994</v>
          </cell>
          <cell r="AC263">
            <v>70.3</v>
          </cell>
          <cell r="AD263">
            <v>70.3</v>
          </cell>
          <cell r="AE263">
            <v>9.2999999999999972</v>
          </cell>
          <cell r="AF263">
            <v>-7.3166793648199997</v>
          </cell>
        </row>
        <row r="264">
          <cell r="B264" t="str">
            <v>AD-KE-A01M103</v>
          </cell>
          <cell r="C264" t="str">
            <v>AD-A01M103</v>
          </cell>
          <cell r="D264" t="str">
            <v>AD-KE</v>
          </cell>
          <cell r="E264" t="str">
            <v>DIV-AD-KE</v>
          </cell>
          <cell r="F264" t="str">
            <v>DIV-KE</v>
          </cell>
          <cell r="G264" t="str">
            <v>A01M103</v>
          </cell>
          <cell r="H264" t="str">
            <v>DIV</v>
          </cell>
          <cell r="I264">
            <v>2001</v>
          </cell>
          <cell r="J264" t="str">
            <v>I</v>
          </cell>
          <cell r="K264" t="str">
            <v>AD</v>
          </cell>
          <cell r="L264" t="str">
            <v>KE</v>
          </cell>
          <cell r="Y264">
            <v>0</v>
          </cell>
          <cell r="Z264">
            <v>0</v>
          </cell>
          <cell r="AA264">
            <v>0</v>
          </cell>
          <cell r="AB264">
            <v>0</v>
          </cell>
          <cell r="AC264">
            <v>0</v>
          </cell>
          <cell r="AD264">
            <v>0</v>
          </cell>
          <cell r="AE264">
            <v>0</v>
          </cell>
          <cell r="AF264">
            <v>0</v>
          </cell>
        </row>
        <row r="265">
          <cell r="B265" t="str">
            <v>AD-KN-A01M103</v>
          </cell>
          <cell r="C265" t="str">
            <v>AD-A01M103</v>
          </cell>
          <cell r="D265" t="str">
            <v>AD-KN</v>
          </cell>
          <cell r="E265" t="str">
            <v>DIV-AD-KN</v>
          </cell>
          <cell r="F265" t="str">
            <v>DIV-KN</v>
          </cell>
          <cell r="G265" t="str">
            <v>A01M103</v>
          </cell>
          <cell r="H265" t="str">
            <v>DIV</v>
          </cell>
          <cell r="I265">
            <v>2001</v>
          </cell>
          <cell r="J265" t="str">
            <v>I</v>
          </cell>
          <cell r="K265" t="str">
            <v>AD</v>
          </cell>
          <cell r="L265" t="str">
            <v>KN</v>
          </cell>
          <cell r="Y265">
            <v>0</v>
          </cell>
          <cell r="Z265">
            <v>0</v>
          </cell>
          <cell r="AA265">
            <v>0</v>
          </cell>
          <cell r="AB265">
            <v>0</v>
          </cell>
          <cell r="AC265">
            <v>0</v>
          </cell>
          <cell r="AD265">
            <v>0</v>
          </cell>
          <cell r="AE265">
            <v>0</v>
          </cell>
          <cell r="AF265">
            <v>0</v>
          </cell>
        </row>
        <row r="266">
          <cell r="B266" t="str">
            <v>CO-KE-A01M103</v>
          </cell>
          <cell r="C266" t="str">
            <v>CO-A01M103</v>
          </cell>
          <cell r="D266" t="str">
            <v>CO-KE</v>
          </cell>
          <cell r="E266" t="str">
            <v>DIV-CO-KE</v>
          </cell>
          <cell r="F266" t="str">
            <v>DIV-KE</v>
          </cell>
          <cell r="G266" t="str">
            <v>A01M103</v>
          </cell>
          <cell r="H266" t="str">
            <v>DIV</v>
          </cell>
          <cell r="I266">
            <v>2001</v>
          </cell>
          <cell r="J266" t="str">
            <v>I</v>
          </cell>
          <cell r="K266" t="str">
            <v>CO</v>
          </cell>
          <cell r="L266" t="str">
            <v>KE</v>
          </cell>
          <cell r="Y266">
            <v>0</v>
          </cell>
          <cell r="Z266">
            <v>0</v>
          </cell>
          <cell r="AA266">
            <v>0</v>
          </cell>
          <cell r="AB266">
            <v>0</v>
          </cell>
          <cell r="AC266">
            <v>0</v>
          </cell>
          <cell r="AD266">
            <v>0</v>
          </cell>
          <cell r="AE266">
            <v>0</v>
          </cell>
          <cell r="AF266">
            <v>0</v>
          </cell>
        </row>
        <row r="267">
          <cell r="B267" t="str">
            <v>CO-KN-A01M103</v>
          </cell>
          <cell r="C267" t="str">
            <v>CO-A01M103</v>
          </cell>
          <cell r="D267" t="str">
            <v>CO-KN</v>
          </cell>
          <cell r="E267" t="str">
            <v>DIV-CO-KN</v>
          </cell>
          <cell r="F267" t="str">
            <v>DIV-KN</v>
          </cell>
          <cell r="G267" t="str">
            <v>A01M103</v>
          </cell>
          <cell r="H267" t="str">
            <v>DIV</v>
          </cell>
          <cell r="I267">
            <v>2001</v>
          </cell>
          <cell r="J267" t="str">
            <v>I</v>
          </cell>
          <cell r="K267" t="str">
            <v>CO</v>
          </cell>
          <cell r="L267" t="str">
            <v>KN</v>
          </cell>
          <cell r="Y267">
            <v>0</v>
          </cell>
          <cell r="Z267">
            <v>0</v>
          </cell>
          <cell r="AA267">
            <v>0</v>
          </cell>
          <cell r="AB267">
            <v>0</v>
          </cell>
          <cell r="AC267">
            <v>0</v>
          </cell>
          <cell r="AD267">
            <v>0</v>
          </cell>
          <cell r="AE267">
            <v>0</v>
          </cell>
          <cell r="AF267">
            <v>0</v>
          </cell>
        </row>
        <row r="268">
          <cell r="B268" t="str">
            <v>IN-KE-A01M103</v>
          </cell>
          <cell r="C268" t="str">
            <v>IN-A01M103</v>
          </cell>
          <cell r="D268" t="str">
            <v>IN-KE</v>
          </cell>
          <cell r="E268" t="str">
            <v>DIV-IN-KE</v>
          </cell>
          <cell r="F268" t="str">
            <v>DIV-KE</v>
          </cell>
          <cell r="G268" t="str">
            <v>A01M103</v>
          </cell>
          <cell r="H268" t="str">
            <v>DIV</v>
          </cell>
          <cell r="I268">
            <v>2001</v>
          </cell>
          <cell r="J268" t="str">
            <v>I</v>
          </cell>
          <cell r="K268" t="str">
            <v>IN</v>
          </cell>
          <cell r="L268" t="str">
            <v>KE</v>
          </cell>
          <cell r="Y268">
            <v>0</v>
          </cell>
          <cell r="Z268">
            <v>0</v>
          </cell>
          <cell r="AA268">
            <v>0</v>
          </cell>
          <cell r="AB268">
            <v>0</v>
          </cell>
          <cell r="AC268">
            <v>0</v>
          </cell>
          <cell r="AD268">
            <v>0</v>
          </cell>
          <cell r="AE268">
            <v>0</v>
          </cell>
          <cell r="AF268">
            <v>0</v>
          </cell>
        </row>
        <row r="269">
          <cell r="B269" t="str">
            <v>IN-KN-A01M103</v>
          </cell>
          <cell r="C269" t="str">
            <v>IN-A01M103</v>
          </cell>
          <cell r="D269" t="str">
            <v>IN-KN</v>
          </cell>
          <cell r="E269" t="str">
            <v>DIV-IN-KN</v>
          </cell>
          <cell r="F269" t="str">
            <v>DIV-KN</v>
          </cell>
          <cell r="G269" t="str">
            <v>A01M103</v>
          </cell>
          <cell r="H269" t="str">
            <v>DIV</v>
          </cell>
          <cell r="I269">
            <v>2001</v>
          </cell>
          <cell r="J269" t="str">
            <v>I</v>
          </cell>
          <cell r="K269" t="str">
            <v>IN</v>
          </cell>
          <cell r="L269" t="str">
            <v>KN</v>
          </cell>
          <cell r="R269">
            <v>94</v>
          </cell>
          <cell r="S269">
            <v>10.3</v>
          </cell>
          <cell r="T269">
            <v>19.2</v>
          </cell>
          <cell r="U269">
            <v>19.600000000000001</v>
          </cell>
          <cell r="Y269">
            <v>0</v>
          </cell>
          <cell r="Z269">
            <v>143.1</v>
          </cell>
          <cell r="AA269">
            <v>0</v>
          </cell>
          <cell r="AB269">
            <v>143.1</v>
          </cell>
          <cell r="AC269">
            <v>104.3</v>
          </cell>
          <cell r="AD269">
            <v>104.3</v>
          </cell>
          <cell r="AE269">
            <v>38.799999999999997</v>
          </cell>
          <cell r="AF269">
            <v>-12.86884392856</v>
          </cell>
        </row>
        <row r="270">
          <cell r="B270" t="str">
            <v>AD-KE-A01M104</v>
          </cell>
          <cell r="C270" t="str">
            <v>AD-A01M104</v>
          </cell>
          <cell r="D270" t="str">
            <v>AD-KE</v>
          </cell>
          <cell r="E270" t="str">
            <v>DIV-AD-KE</v>
          </cell>
          <cell r="F270" t="str">
            <v>DIV-KE</v>
          </cell>
          <cell r="G270" t="str">
            <v>A01M104</v>
          </cell>
          <cell r="H270" t="str">
            <v>DIV</v>
          </cell>
          <cell r="I270">
            <v>2001</v>
          </cell>
          <cell r="J270" t="str">
            <v>I</v>
          </cell>
          <cell r="K270" t="str">
            <v>AD</v>
          </cell>
          <cell r="L270" t="str">
            <v>KE</v>
          </cell>
          <cell r="Y270">
            <v>0</v>
          </cell>
          <cell r="Z270">
            <v>0</v>
          </cell>
          <cell r="AA270">
            <v>0</v>
          </cell>
          <cell r="AB270">
            <v>0</v>
          </cell>
          <cell r="AC270">
            <v>0</v>
          </cell>
          <cell r="AD270">
            <v>0</v>
          </cell>
          <cell r="AE270">
            <v>0</v>
          </cell>
          <cell r="AF270">
            <v>0</v>
          </cell>
        </row>
        <row r="271">
          <cell r="B271" t="str">
            <v>AD-KN-A01M104</v>
          </cell>
          <cell r="C271" t="str">
            <v>AD-A01M104</v>
          </cell>
          <cell r="D271" t="str">
            <v>AD-KN</v>
          </cell>
          <cell r="E271" t="str">
            <v>DIV-AD-KN</v>
          </cell>
          <cell r="F271" t="str">
            <v>DIV-KN</v>
          </cell>
          <cell r="G271" t="str">
            <v>A01M104</v>
          </cell>
          <cell r="H271" t="str">
            <v>DIV</v>
          </cell>
          <cell r="I271">
            <v>2001</v>
          </cell>
          <cell r="J271" t="str">
            <v>I</v>
          </cell>
          <cell r="K271" t="str">
            <v>AD</v>
          </cell>
          <cell r="L271" t="str">
            <v>KN</v>
          </cell>
          <cell r="Y271">
            <v>0</v>
          </cell>
          <cell r="Z271">
            <v>0</v>
          </cell>
          <cell r="AA271">
            <v>0</v>
          </cell>
          <cell r="AB271">
            <v>0</v>
          </cell>
          <cell r="AC271">
            <v>0</v>
          </cell>
          <cell r="AD271">
            <v>0</v>
          </cell>
          <cell r="AE271">
            <v>0</v>
          </cell>
          <cell r="AF271">
            <v>0</v>
          </cell>
        </row>
        <row r="272">
          <cell r="B272" t="str">
            <v>CO-KE-A01M104</v>
          </cell>
          <cell r="C272" t="str">
            <v>CO-A01M104</v>
          </cell>
          <cell r="D272" t="str">
            <v>CO-KE</v>
          </cell>
          <cell r="E272" t="str">
            <v>DIV-CO-KE</v>
          </cell>
          <cell r="F272" t="str">
            <v>DIV-KE</v>
          </cell>
          <cell r="G272" t="str">
            <v>A01M104</v>
          </cell>
          <cell r="H272" t="str">
            <v>DIV</v>
          </cell>
          <cell r="I272">
            <v>2001</v>
          </cell>
          <cell r="J272" t="str">
            <v>I</v>
          </cell>
          <cell r="K272" t="str">
            <v>CO</v>
          </cell>
          <cell r="L272" t="str">
            <v>KE</v>
          </cell>
          <cell r="Y272">
            <v>0</v>
          </cell>
          <cell r="Z272">
            <v>0</v>
          </cell>
          <cell r="AA272">
            <v>0</v>
          </cell>
          <cell r="AB272">
            <v>0</v>
          </cell>
          <cell r="AC272">
            <v>0</v>
          </cell>
          <cell r="AD272">
            <v>0</v>
          </cell>
          <cell r="AE272">
            <v>0</v>
          </cell>
          <cell r="AF272">
            <v>0</v>
          </cell>
        </row>
        <row r="273">
          <cell r="B273" t="str">
            <v>CO-KN-A01M104</v>
          </cell>
          <cell r="C273" t="str">
            <v>CO-A01M104</v>
          </cell>
          <cell r="D273" t="str">
            <v>CO-KN</v>
          </cell>
          <cell r="E273" t="str">
            <v>DIV-CO-KN</v>
          </cell>
          <cell r="F273" t="str">
            <v>DIV-KN</v>
          </cell>
          <cell r="G273" t="str">
            <v>A01M104</v>
          </cell>
          <cell r="H273" t="str">
            <v>DIV</v>
          </cell>
          <cell r="I273">
            <v>2001</v>
          </cell>
          <cell r="J273" t="str">
            <v>I</v>
          </cell>
          <cell r="K273" t="str">
            <v>CO</v>
          </cell>
          <cell r="L273" t="str">
            <v>KN</v>
          </cell>
          <cell r="Y273">
            <v>0</v>
          </cell>
          <cell r="Z273">
            <v>0</v>
          </cell>
          <cell r="AA273">
            <v>0</v>
          </cell>
          <cell r="AB273">
            <v>0</v>
          </cell>
          <cell r="AC273">
            <v>0</v>
          </cell>
          <cell r="AD273">
            <v>0</v>
          </cell>
          <cell r="AE273">
            <v>0</v>
          </cell>
          <cell r="AF273">
            <v>0</v>
          </cell>
        </row>
        <row r="274">
          <cell r="B274" t="str">
            <v>IN-KE-A01M104</v>
          </cell>
          <cell r="C274" t="str">
            <v>IN-A01M104</v>
          </cell>
          <cell r="D274" t="str">
            <v>IN-KE</v>
          </cell>
          <cell r="E274" t="str">
            <v>DIV-IN-KE</v>
          </cell>
          <cell r="F274" t="str">
            <v>DIV-KE</v>
          </cell>
          <cell r="G274" t="str">
            <v>A01M104</v>
          </cell>
          <cell r="H274" t="str">
            <v>DIV</v>
          </cell>
          <cell r="I274">
            <v>2001</v>
          </cell>
          <cell r="J274" t="str">
            <v>I</v>
          </cell>
          <cell r="K274" t="str">
            <v>IN</v>
          </cell>
          <cell r="L274" t="str">
            <v>KE</v>
          </cell>
          <cell r="Y274">
            <v>0</v>
          </cell>
          <cell r="Z274">
            <v>0</v>
          </cell>
          <cell r="AA274">
            <v>0</v>
          </cell>
          <cell r="AB274">
            <v>0</v>
          </cell>
          <cell r="AC274">
            <v>0</v>
          </cell>
          <cell r="AD274">
            <v>0</v>
          </cell>
          <cell r="AE274">
            <v>0</v>
          </cell>
          <cell r="AF274">
            <v>0</v>
          </cell>
        </row>
        <row r="275">
          <cell r="B275" t="str">
            <v>IN-KN-A01M104</v>
          </cell>
          <cell r="C275" t="str">
            <v>IN-A01M104</v>
          </cell>
          <cell r="D275" t="str">
            <v>IN-KN</v>
          </cell>
          <cell r="E275" t="str">
            <v>DIV-IN-KN</v>
          </cell>
          <cell r="F275" t="str">
            <v>DIV-KN</v>
          </cell>
          <cell r="G275" t="str">
            <v>A01M104</v>
          </cell>
          <cell r="H275" t="str">
            <v>DIV</v>
          </cell>
          <cell r="I275">
            <v>2001</v>
          </cell>
          <cell r="J275" t="str">
            <v>I</v>
          </cell>
          <cell r="K275" t="str">
            <v>IN</v>
          </cell>
          <cell r="L275" t="str">
            <v>KN</v>
          </cell>
          <cell r="Q275">
            <v>19.8</v>
          </cell>
          <cell r="R275">
            <v>22.3</v>
          </cell>
          <cell r="S275">
            <v>10.5</v>
          </cell>
          <cell r="T275">
            <v>6</v>
          </cell>
          <cell r="Y275">
            <v>0</v>
          </cell>
          <cell r="Z275">
            <v>58.6</v>
          </cell>
          <cell r="AA275">
            <v>0</v>
          </cell>
          <cell r="AB275">
            <v>58.6</v>
          </cell>
          <cell r="AC275">
            <v>52.6</v>
          </cell>
          <cell r="AD275">
            <v>52.6</v>
          </cell>
          <cell r="AE275">
            <v>6</v>
          </cell>
          <cell r="AF275">
            <v>-6.4866585722000005</v>
          </cell>
        </row>
        <row r="276">
          <cell r="B276" t="str">
            <v>AD-KE-A01M201</v>
          </cell>
          <cell r="C276" t="str">
            <v>AD-A01M201</v>
          </cell>
          <cell r="D276" t="str">
            <v>AD-KE</v>
          </cell>
          <cell r="E276" t="str">
            <v>EXT-AD-KE</v>
          </cell>
          <cell r="F276" t="str">
            <v>EXT-KE</v>
          </cell>
          <cell r="G276" t="str">
            <v>A01M201</v>
          </cell>
          <cell r="H276" t="str">
            <v>EXT</v>
          </cell>
          <cell r="I276">
            <v>2002</v>
          </cell>
          <cell r="J276" t="str">
            <v>I</v>
          </cell>
          <cell r="K276" t="str">
            <v>AD</v>
          </cell>
          <cell r="L276" t="str">
            <v>KE</v>
          </cell>
          <cell r="Y276">
            <v>0</v>
          </cell>
          <cell r="Z276">
            <v>0</v>
          </cell>
          <cell r="AA276">
            <v>0</v>
          </cell>
          <cell r="AB276">
            <v>0</v>
          </cell>
          <cell r="AC276">
            <v>0</v>
          </cell>
          <cell r="AD276">
            <v>0</v>
          </cell>
          <cell r="AE276">
            <v>0</v>
          </cell>
          <cell r="AF276">
            <v>0</v>
          </cell>
        </row>
        <row r="277">
          <cell r="B277" t="str">
            <v>AD-KN-A01M201</v>
          </cell>
          <cell r="C277" t="str">
            <v>AD-A01M201</v>
          </cell>
          <cell r="D277" t="str">
            <v>AD-KN</v>
          </cell>
          <cell r="E277" t="str">
            <v>EXT-AD-KN</v>
          </cell>
          <cell r="F277" t="str">
            <v>EXT-KN</v>
          </cell>
          <cell r="G277" t="str">
            <v>A01M201</v>
          </cell>
          <cell r="H277" t="str">
            <v>EXT</v>
          </cell>
          <cell r="I277">
            <v>2002</v>
          </cell>
          <cell r="J277" t="str">
            <v>I</v>
          </cell>
          <cell r="K277" t="str">
            <v>AD</v>
          </cell>
          <cell r="L277" t="str">
            <v>KN</v>
          </cell>
          <cell r="Y277">
            <v>0</v>
          </cell>
          <cell r="Z277">
            <v>0</v>
          </cell>
          <cell r="AA277">
            <v>0</v>
          </cell>
          <cell r="AB277">
            <v>0</v>
          </cell>
          <cell r="AC277">
            <v>0</v>
          </cell>
          <cell r="AD277">
            <v>0</v>
          </cell>
          <cell r="AE277">
            <v>0</v>
          </cell>
          <cell r="AF277">
            <v>0</v>
          </cell>
        </row>
        <row r="278">
          <cell r="B278" t="str">
            <v>CO-KE-A01M201</v>
          </cell>
          <cell r="C278" t="str">
            <v>CO-A01M201</v>
          </cell>
          <cell r="D278" t="str">
            <v>CO-KE</v>
          </cell>
          <cell r="E278" t="str">
            <v>EXT-CO-KE</v>
          </cell>
          <cell r="F278" t="str">
            <v>EXT-KE</v>
          </cell>
          <cell r="G278" t="str">
            <v>A01M201</v>
          </cell>
          <cell r="H278" t="str">
            <v>EXT</v>
          </cell>
          <cell r="I278">
            <v>2002</v>
          </cell>
          <cell r="J278" t="str">
            <v>I</v>
          </cell>
          <cell r="K278" t="str">
            <v>CO</v>
          </cell>
          <cell r="L278" t="str">
            <v>KE</v>
          </cell>
          <cell r="Y278">
            <v>0</v>
          </cell>
          <cell r="Z278">
            <v>0</v>
          </cell>
          <cell r="AA278">
            <v>0</v>
          </cell>
          <cell r="AB278">
            <v>0</v>
          </cell>
          <cell r="AC278">
            <v>0</v>
          </cell>
          <cell r="AD278">
            <v>0</v>
          </cell>
          <cell r="AE278">
            <v>0</v>
          </cell>
          <cell r="AF278">
            <v>0</v>
          </cell>
        </row>
        <row r="279">
          <cell r="B279" t="str">
            <v>CO-KN-A01M201</v>
          </cell>
          <cell r="C279" t="str">
            <v>CO-A01M201</v>
          </cell>
          <cell r="D279" t="str">
            <v>CO-KN</v>
          </cell>
          <cell r="E279" t="str">
            <v>EXT-CO-KN</v>
          </cell>
          <cell r="F279" t="str">
            <v>EXT-KN</v>
          </cell>
          <cell r="G279" t="str">
            <v>A01M201</v>
          </cell>
          <cell r="H279" t="str">
            <v>EXT</v>
          </cell>
          <cell r="I279">
            <v>2002</v>
          </cell>
          <cell r="J279" t="str">
            <v>I</v>
          </cell>
          <cell r="K279" t="str">
            <v>CO</v>
          </cell>
          <cell r="L279" t="str">
            <v>KN</v>
          </cell>
          <cell r="Y279">
            <v>0</v>
          </cell>
          <cell r="Z279">
            <v>0</v>
          </cell>
          <cell r="AA279">
            <v>0</v>
          </cell>
          <cell r="AB279">
            <v>0</v>
          </cell>
          <cell r="AC279">
            <v>0</v>
          </cell>
          <cell r="AD279">
            <v>0</v>
          </cell>
          <cell r="AE279">
            <v>0</v>
          </cell>
          <cell r="AF279">
            <v>0</v>
          </cell>
        </row>
        <row r="280">
          <cell r="B280" t="str">
            <v>IN-KE-A01M201</v>
          </cell>
          <cell r="C280" t="str">
            <v>IN-A01M201</v>
          </cell>
          <cell r="D280" t="str">
            <v>IN-KE</v>
          </cell>
          <cell r="E280" t="str">
            <v>EXT-IN-KE</v>
          </cell>
          <cell r="F280" t="str">
            <v>EXT-KE</v>
          </cell>
          <cell r="G280" t="str">
            <v>A01M201</v>
          </cell>
          <cell r="H280" t="str">
            <v>EXT</v>
          </cell>
          <cell r="I280">
            <v>2002</v>
          </cell>
          <cell r="J280" t="str">
            <v>I</v>
          </cell>
          <cell r="K280" t="str">
            <v>IN</v>
          </cell>
          <cell r="L280" t="str">
            <v>KE</v>
          </cell>
          <cell r="Y280">
            <v>0</v>
          </cell>
          <cell r="Z280">
            <v>0</v>
          </cell>
          <cell r="AA280">
            <v>0</v>
          </cell>
          <cell r="AB280">
            <v>0</v>
          </cell>
          <cell r="AC280">
            <v>0</v>
          </cell>
          <cell r="AD280">
            <v>0</v>
          </cell>
          <cell r="AE280">
            <v>0</v>
          </cell>
          <cell r="AF280">
            <v>0</v>
          </cell>
        </row>
        <row r="281">
          <cell r="B281" t="str">
            <v>IN-KN-A01M201</v>
          </cell>
          <cell r="C281" t="str">
            <v>IN-A01M201</v>
          </cell>
          <cell r="D281" t="str">
            <v>IN-KN</v>
          </cell>
          <cell r="E281" t="str">
            <v>EXT-IN-KN</v>
          </cell>
          <cell r="F281" t="str">
            <v>EXT-KN</v>
          </cell>
          <cell r="G281" t="str">
            <v>A01M201</v>
          </cell>
          <cell r="H281" t="str">
            <v>EXT</v>
          </cell>
          <cell r="I281">
            <v>2002</v>
          </cell>
          <cell r="J281" t="str">
            <v>I</v>
          </cell>
          <cell r="K281" t="str">
            <v>IN</v>
          </cell>
          <cell r="L281" t="str">
            <v>KN</v>
          </cell>
          <cell r="T281">
            <v>277</v>
          </cell>
          <cell r="U281">
            <v>194.9</v>
          </cell>
          <cell r="V281">
            <v>242.2</v>
          </cell>
          <cell r="W281">
            <v>301.39999999999998</v>
          </cell>
          <cell r="X281">
            <v>222.3</v>
          </cell>
          <cell r="Y281">
            <v>0</v>
          </cell>
          <cell r="Z281">
            <v>1237.8</v>
          </cell>
          <cell r="AA281">
            <v>0</v>
          </cell>
          <cell r="AB281">
            <v>1237.8</v>
          </cell>
          <cell r="AC281">
            <v>0</v>
          </cell>
          <cell r="AD281">
            <v>0</v>
          </cell>
          <cell r="AE281">
            <v>1237.8</v>
          </cell>
          <cell r="AF281">
            <v>0</v>
          </cell>
        </row>
        <row r="282">
          <cell r="B282" t="str">
            <v>AD-KE-A01M301</v>
          </cell>
          <cell r="C282" t="str">
            <v>AD-A01M301</v>
          </cell>
          <cell r="D282" t="str">
            <v>AD-KE</v>
          </cell>
          <cell r="E282" t="str">
            <v>DIV-AD-KE</v>
          </cell>
          <cell r="F282" t="str">
            <v>DIV-KE</v>
          </cell>
          <cell r="G282" t="str">
            <v>A01M301</v>
          </cell>
          <cell r="H282" t="str">
            <v>DIV</v>
          </cell>
          <cell r="I282">
            <v>2001</v>
          </cell>
          <cell r="J282" t="str">
            <v>I</v>
          </cell>
          <cell r="K282" t="str">
            <v>AD</v>
          </cell>
          <cell r="L282" t="str">
            <v>KE</v>
          </cell>
          <cell r="Y282">
            <v>0</v>
          </cell>
          <cell r="Z282">
            <v>0</v>
          </cell>
          <cell r="AA282">
            <v>0</v>
          </cell>
          <cell r="AB282">
            <v>0</v>
          </cell>
          <cell r="AC282">
            <v>0</v>
          </cell>
          <cell r="AD282">
            <v>0</v>
          </cell>
          <cell r="AE282">
            <v>0</v>
          </cell>
          <cell r="AF282">
            <v>0</v>
          </cell>
        </row>
        <row r="283">
          <cell r="B283" t="str">
            <v>AD-KN-A01M301</v>
          </cell>
          <cell r="C283" t="str">
            <v>AD-A01M301</v>
          </cell>
          <cell r="D283" t="str">
            <v>AD-KN</v>
          </cell>
          <cell r="E283" t="str">
            <v>DIV-AD-KN</v>
          </cell>
          <cell r="F283" t="str">
            <v>DIV-KN</v>
          </cell>
          <cell r="G283" t="str">
            <v>A01M301</v>
          </cell>
          <cell r="H283" t="str">
            <v>DIV</v>
          </cell>
          <cell r="I283">
            <v>2001</v>
          </cell>
          <cell r="J283" t="str">
            <v>I</v>
          </cell>
          <cell r="K283" t="str">
            <v>AD</v>
          </cell>
          <cell r="L283" t="str">
            <v>KN</v>
          </cell>
          <cell r="Y283">
            <v>0</v>
          </cell>
          <cell r="Z283">
            <v>0</v>
          </cell>
          <cell r="AA283">
            <v>0</v>
          </cell>
          <cell r="AB283">
            <v>0</v>
          </cell>
          <cell r="AC283">
            <v>0</v>
          </cell>
          <cell r="AD283">
            <v>0</v>
          </cell>
          <cell r="AE283">
            <v>0</v>
          </cell>
          <cell r="AF283">
            <v>0</v>
          </cell>
        </row>
        <row r="284">
          <cell r="B284" t="str">
            <v>CO-KE-A01M301</v>
          </cell>
          <cell r="C284" t="str">
            <v>CO-A01M301</v>
          </cell>
          <cell r="D284" t="str">
            <v>CO-KE</v>
          </cell>
          <cell r="E284" t="str">
            <v>DIV-CO-KE</v>
          </cell>
          <cell r="F284" t="str">
            <v>DIV-KE</v>
          </cell>
          <cell r="G284" t="str">
            <v>A01M301</v>
          </cell>
          <cell r="H284" t="str">
            <v>DIV</v>
          </cell>
          <cell r="I284">
            <v>2001</v>
          </cell>
          <cell r="J284" t="str">
            <v>I</v>
          </cell>
          <cell r="K284" t="str">
            <v>CO</v>
          </cell>
          <cell r="L284" t="str">
            <v>KE</v>
          </cell>
          <cell r="Y284">
            <v>0</v>
          </cell>
          <cell r="Z284">
            <v>0</v>
          </cell>
          <cell r="AA284">
            <v>0</v>
          </cell>
          <cell r="AB284">
            <v>0</v>
          </cell>
          <cell r="AC284">
            <v>0</v>
          </cell>
          <cell r="AD284">
            <v>0</v>
          </cell>
          <cell r="AE284">
            <v>0</v>
          </cell>
          <cell r="AF284">
            <v>0</v>
          </cell>
        </row>
        <row r="285">
          <cell r="B285" t="str">
            <v>CO-KN-A01M301</v>
          </cell>
          <cell r="C285" t="str">
            <v>CO-A01M301</v>
          </cell>
          <cell r="D285" t="str">
            <v>CO-KN</v>
          </cell>
          <cell r="E285" t="str">
            <v>DIV-CO-KN</v>
          </cell>
          <cell r="F285" t="str">
            <v>DIV-KN</v>
          </cell>
          <cell r="G285" t="str">
            <v>A01M301</v>
          </cell>
          <cell r="H285" t="str">
            <v>DIV</v>
          </cell>
          <cell r="I285">
            <v>2001</v>
          </cell>
          <cell r="J285" t="str">
            <v>I</v>
          </cell>
          <cell r="K285" t="str">
            <v>CO</v>
          </cell>
          <cell r="L285" t="str">
            <v>KN</v>
          </cell>
          <cell r="T285">
            <v>1</v>
          </cell>
          <cell r="U285">
            <v>16.2</v>
          </cell>
          <cell r="V285">
            <v>16.2</v>
          </cell>
          <cell r="W285">
            <v>33</v>
          </cell>
          <cell r="X285">
            <v>19.5</v>
          </cell>
          <cell r="Y285">
            <v>0</v>
          </cell>
          <cell r="Z285">
            <v>85.9</v>
          </cell>
          <cell r="AA285">
            <v>0</v>
          </cell>
          <cell r="AB285">
            <v>85.9</v>
          </cell>
          <cell r="AC285">
            <v>0</v>
          </cell>
          <cell r="AD285">
            <v>0</v>
          </cell>
          <cell r="AE285">
            <v>85.9</v>
          </cell>
          <cell r="AF285">
            <v>0</v>
          </cell>
        </row>
        <row r="286">
          <cell r="B286" t="str">
            <v>IN-KE-A01M301</v>
          </cell>
          <cell r="C286" t="str">
            <v>IN-A01M301</v>
          </cell>
          <cell r="D286" t="str">
            <v>IN-KE</v>
          </cell>
          <cell r="E286" t="str">
            <v>DIV-IN-KE</v>
          </cell>
          <cell r="F286" t="str">
            <v>DIV-KE</v>
          </cell>
          <cell r="G286" t="str">
            <v>A01M301</v>
          </cell>
          <cell r="H286" t="str">
            <v>DIV</v>
          </cell>
          <cell r="I286">
            <v>2001</v>
          </cell>
          <cell r="J286" t="str">
            <v>I</v>
          </cell>
          <cell r="K286" t="str">
            <v>IN</v>
          </cell>
          <cell r="L286" t="str">
            <v>KE</v>
          </cell>
          <cell r="Y286">
            <v>0</v>
          </cell>
          <cell r="Z286">
            <v>0</v>
          </cell>
          <cell r="AA286">
            <v>0</v>
          </cell>
          <cell r="AB286">
            <v>0</v>
          </cell>
          <cell r="AC286">
            <v>0</v>
          </cell>
          <cell r="AD286">
            <v>0</v>
          </cell>
          <cell r="AE286">
            <v>0</v>
          </cell>
          <cell r="AF286">
            <v>0</v>
          </cell>
        </row>
        <row r="287">
          <cell r="B287" t="str">
            <v>IN-KN-A01M301</v>
          </cell>
          <cell r="C287" t="str">
            <v>IN-A01M301</v>
          </cell>
          <cell r="D287" t="str">
            <v>IN-KN</v>
          </cell>
          <cell r="E287" t="str">
            <v>DIV-IN-KN</v>
          </cell>
          <cell r="F287" t="str">
            <v>DIV-KN</v>
          </cell>
          <cell r="G287" t="str">
            <v>A01M301</v>
          </cell>
          <cell r="H287" t="str">
            <v>DIV</v>
          </cell>
          <cell r="I287">
            <v>2001</v>
          </cell>
          <cell r="J287" t="str">
            <v>I</v>
          </cell>
          <cell r="K287" t="str">
            <v>IN</v>
          </cell>
          <cell r="L287" t="str">
            <v>KN</v>
          </cell>
          <cell r="P287">
            <v>0.67</v>
          </cell>
          <cell r="Q287">
            <v>3.9</v>
          </cell>
          <cell r="R287">
            <v>9.8000000000000007</v>
          </cell>
          <cell r="S287">
            <v>2.2000000000000002</v>
          </cell>
          <cell r="T287">
            <v>1</v>
          </cell>
          <cell r="U287">
            <v>1.5</v>
          </cell>
          <cell r="V287">
            <v>1.3</v>
          </cell>
          <cell r="W287">
            <v>3.3</v>
          </cell>
          <cell r="X287">
            <v>0.8</v>
          </cell>
          <cell r="Y287">
            <v>0</v>
          </cell>
          <cell r="Z287">
            <v>24.470000000000002</v>
          </cell>
          <cell r="AA287">
            <v>0</v>
          </cell>
          <cell r="AB287">
            <v>24.470000000000002</v>
          </cell>
          <cell r="AC287">
            <v>16.57</v>
          </cell>
          <cell r="AD287">
            <v>16.57</v>
          </cell>
          <cell r="AE287">
            <v>7.9000000000000021</v>
          </cell>
          <cell r="AF287">
            <v>-1.989880913855</v>
          </cell>
        </row>
        <row r="288">
          <cell r="B288" t="str">
            <v>AD-KE-A01M303</v>
          </cell>
          <cell r="C288" t="str">
            <v>AD-A01M303</v>
          </cell>
          <cell r="D288" t="str">
            <v>AD-KE</v>
          </cell>
          <cell r="E288" t="str">
            <v>DIV-AD-KE</v>
          </cell>
          <cell r="F288" t="str">
            <v>DIV-KE</v>
          </cell>
          <cell r="G288" t="str">
            <v>A01M303</v>
          </cell>
          <cell r="H288" t="str">
            <v>DIV</v>
          </cell>
          <cell r="I288">
            <v>2002</v>
          </cell>
          <cell r="J288" t="str">
            <v>I</v>
          </cell>
          <cell r="K288" t="str">
            <v>AD</v>
          </cell>
          <cell r="L288" t="str">
            <v>KE</v>
          </cell>
          <cell r="Y288">
            <v>0</v>
          </cell>
          <cell r="Z288">
            <v>0</v>
          </cell>
          <cell r="AA288">
            <v>0</v>
          </cell>
          <cell r="AB288">
            <v>0</v>
          </cell>
          <cell r="AC288">
            <v>0</v>
          </cell>
          <cell r="AD288">
            <v>0</v>
          </cell>
          <cell r="AE288">
            <v>0</v>
          </cell>
          <cell r="AF288">
            <v>0</v>
          </cell>
        </row>
        <row r="289">
          <cell r="B289" t="str">
            <v>AD-KN-A01M303</v>
          </cell>
          <cell r="C289" t="str">
            <v>AD-A01M303</v>
          </cell>
          <cell r="D289" t="str">
            <v>AD-KN</v>
          </cell>
          <cell r="E289" t="str">
            <v>DIV-AD-KN</v>
          </cell>
          <cell r="F289" t="str">
            <v>DIV-KN</v>
          </cell>
          <cell r="G289" t="str">
            <v>A01M303</v>
          </cell>
          <cell r="H289" t="str">
            <v>DIV</v>
          </cell>
          <cell r="I289">
            <v>2002</v>
          </cell>
          <cell r="J289" t="str">
            <v>I</v>
          </cell>
          <cell r="K289" t="str">
            <v>AD</v>
          </cell>
          <cell r="L289" t="str">
            <v>KN</v>
          </cell>
          <cell r="Y289">
            <v>0</v>
          </cell>
          <cell r="Z289">
            <v>0</v>
          </cell>
          <cell r="AA289">
            <v>0</v>
          </cell>
          <cell r="AB289">
            <v>0</v>
          </cell>
          <cell r="AC289">
            <v>0</v>
          </cell>
          <cell r="AD289">
            <v>0</v>
          </cell>
          <cell r="AE289">
            <v>0</v>
          </cell>
          <cell r="AF289">
            <v>0</v>
          </cell>
        </row>
        <row r="290">
          <cell r="B290" t="str">
            <v>CO-KE-A01M303</v>
          </cell>
          <cell r="C290" t="str">
            <v>CO-A01M303</v>
          </cell>
          <cell r="D290" t="str">
            <v>CO-KE</v>
          </cell>
          <cell r="E290" t="str">
            <v>DIV-CO-KE</v>
          </cell>
          <cell r="F290" t="str">
            <v>DIV-KE</v>
          </cell>
          <cell r="G290" t="str">
            <v>A01M303</v>
          </cell>
          <cell r="H290" t="str">
            <v>DIV</v>
          </cell>
          <cell r="I290">
            <v>2002</v>
          </cell>
          <cell r="J290" t="str">
            <v>I</v>
          </cell>
          <cell r="K290" t="str">
            <v>CO</v>
          </cell>
          <cell r="L290" t="str">
            <v>KE</v>
          </cell>
          <cell r="Y290">
            <v>0</v>
          </cell>
          <cell r="Z290">
            <v>0</v>
          </cell>
          <cell r="AA290">
            <v>0</v>
          </cell>
          <cell r="AB290">
            <v>0</v>
          </cell>
          <cell r="AC290">
            <v>0</v>
          </cell>
          <cell r="AD290">
            <v>0</v>
          </cell>
          <cell r="AE290">
            <v>0</v>
          </cell>
          <cell r="AF290">
            <v>0</v>
          </cell>
        </row>
        <row r="291">
          <cell r="B291" t="str">
            <v>CO-KN-A01M303</v>
          </cell>
          <cell r="C291" t="str">
            <v>CO-A01M303</v>
          </cell>
          <cell r="D291" t="str">
            <v>CO-KN</v>
          </cell>
          <cell r="E291" t="str">
            <v>DIV-CO-KN</v>
          </cell>
          <cell r="F291" t="str">
            <v>DIV-KN</v>
          </cell>
          <cell r="G291" t="str">
            <v>A01M303</v>
          </cell>
          <cell r="H291" t="str">
            <v>DIV</v>
          </cell>
          <cell r="I291">
            <v>2002</v>
          </cell>
          <cell r="J291" t="str">
            <v>I</v>
          </cell>
          <cell r="K291" t="str">
            <v>CO</v>
          </cell>
          <cell r="L291" t="str">
            <v>KN</v>
          </cell>
          <cell r="Y291">
            <v>0</v>
          </cell>
          <cell r="Z291">
            <v>0</v>
          </cell>
          <cell r="AA291">
            <v>0</v>
          </cell>
          <cell r="AB291">
            <v>0</v>
          </cell>
          <cell r="AC291">
            <v>0</v>
          </cell>
          <cell r="AD291">
            <v>0</v>
          </cell>
          <cell r="AE291">
            <v>0</v>
          </cell>
          <cell r="AF291">
            <v>0</v>
          </cell>
        </row>
        <row r="292">
          <cell r="B292" t="str">
            <v>IN-KE-A01M303</v>
          </cell>
          <cell r="C292" t="str">
            <v>IN-A01M303</v>
          </cell>
          <cell r="D292" t="str">
            <v>IN-KE</v>
          </cell>
          <cell r="E292" t="str">
            <v>DIV-IN-KE</v>
          </cell>
          <cell r="F292" t="str">
            <v>DIV-KE</v>
          </cell>
          <cell r="G292" t="str">
            <v>A01M303</v>
          </cell>
          <cell r="H292" t="str">
            <v>DIV</v>
          </cell>
          <cell r="I292">
            <v>2002</v>
          </cell>
          <cell r="J292" t="str">
            <v>I</v>
          </cell>
          <cell r="K292" t="str">
            <v>IN</v>
          </cell>
          <cell r="L292" t="str">
            <v>KE</v>
          </cell>
          <cell r="Y292">
            <v>0</v>
          </cell>
          <cell r="Z292">
            <v>0</v>
          </cell>
          <cell r="AA292">
            <v>0</v>
          </cell>
          <cell r="AB292">
            <v>0</v>
          </cell>
          <cell r="AC292">
            <v>0</v>
          </cell>
          <cell r="AD292">
            <v>0</v>
          </cell>
          <cell r="AE292">
            <v>0</v>
          </cell>
          <cell r="AF292">
            <v>0</v>
          </cell>
        </row>
        <row r="293">
          <cell r="B293" t="str">
            <v>IN-KN-A01M303</v>
          </cell>
          <cell r="C293" t="str">
            <v>IN-A01M303</v>
          </cell>
          <cell r="D293" t="str">
            <v>IN-KN</v>
          </cell>
          <cell r="E293" t="str">
            <v>DIV-IN-KN</v>
          </cell>
          <cell r="F293" t="str">
            <v>DIV-KN</v>
          </cell>
          <cell r="G293" t="str">
            <v>A01M303</v>
          </cell>
          <cell r="H293" t="str">
            <v>DIV</v>
          </cell>
          <cell r="I293">
            <v>2002</v>
          </cell>
          <cell r="J293" t="str">
            <v>I</v>
          </cell>
          <cell r="K293" t="str">
            <v>IN</v>
          </cell>
          <cell r="L293" t="str">
            <v>KN</v>
          </cell>
          <cell r="T293">
            <v>2</v>
          </cell>
          <cell r="U293">
            <v>1</v>
          </cell>
          <cell r="W293">
            <v>1</v>
          </cell>
          <cell r="Y293">
            <v>0</v>
          </cell>
          <cell r="Z293">
            <v>4</v>
          </cell>
          <cell r="AA293">
            <v>0</v>
          </cell>
          <cell r="AB293">
            <v>4</v>
          </cell>
          <cell r="AC293">
            <v>0</v>
          </cell>
          <cell r="AD293">
            <v>0</v>
          </cell>
          <cell r="AE293">
            <v>4</v>
          </cell>
          <cell r="AF293">
            <v>0</v>
          </cell>
        </row>
        <row r="294">
          <cell r="B294" t="str">
            <v>AD-KE-A01M304</v>
          </cell>
          <cell r="C294" t="str">
            <v>AD-A01M304</v>
          </cell>
          <cell r="D294" t="str">
            <v>AD-KE</v>
          </cell>
          <cell r="E294" t="str">
            <v>DIV-AD-KE</v>
          </cell>
          <cell r="F294" t="str">
            <v>DIV-KE</v>
          </cell>
          <cell r="G294" t="str">
            <v>A01M304</v>
          </cell>
          <cell r="H294" t="str">
            <v>DIV</v>
          </cell>
          <cell r="I294">
            <v>2001</v>
          </cell>
          <cell r="J294" t="str">
            <v>I</v>
          </cell>
          <cell r="K294" t="str">
            <v>AD</v>
          </cell>
          <cell r="L294" t="str">
            <v>KE</v>
          </cell>
          <cell r="Y294">
            <v>0</v>
          </cell>
          <cell r="Z294">
            <v>0</v>
          </cell>
          <cell r="AA294">
            <v>0</v>
          </cell>
          <cell r="AB294">
            <v>0</v>
          </cell>
          <cell r="AC294">
            <v>0</v>
          </cell>
          <cell r="AD294">
            <v>0</v>
          </cell>
          <cell r="AE294">
            <v>0</v>
          </cell>
          <cell r="AF294">
            <v>0</v>
          </cell>
        </row>
        <row r="295">
          <cell r="B295" t="str">
            <v>AD-KN-A01M304</v>
          </cell>
          <cell r="C295" t="str">
            <v>AD-A01M304</v>
          </cell>
          <cell r="D295" t="str">
            <v>AD-KN</v>
          </cell>
          <cell r="E295" t="str">
            <v>DIV-AD-KN</v>
          </cell>
          <cell r="F295" t="str">
            <v>DIV-KN</v>
          </cell>
          <cell r="G295" t="str">
            <v>A01M304</v>
          </cell>
          <cell r="H295" t="str">
            <v>DIV</v>
          </cell>
          <cell r="I295">
            <v>2001</v>
          </cell>
          <cell r="J295" t="str">
            <v>I</v>
          </cell>
          <cell r="K295" t="str">
            <v>AD</v>
          </cell>
          <cell r="L295" t="str">
            <v>KN</v>
          </cell>
          <cell r="V295">
            <v>17.8</v>
          </cell>
          <cell r="X295">
            <v>1.8</v>
          </cell>
          <cell r="Y295">
            <v>0</v>
          </cell>
          <cell r="Z295">
            <v>19.600000000000001</v>
          </cell>
          <cell r="AA295">
            <v>0</v>
          </cell>
          <cell r="AB295">
            <v>19.600000000000001</v>
          </cell>
          <cell r="AC295">
            <v>0</v>
          </cell>
          <cell r="AD295">
            <v>0</v>
          </cell>
          <cell r="AE295">
            <v>19.600000000000001</v>
          </cell>
          <cell r="AF295">
            <v>0</v>
          </cell>
        </row>
        <row r="296">
          <cell r="B296" t="str">
            <v>CO-KE-A01M304</v>
          </cell>
          <cell r="C296" t="str">
            <v>CO-A01M304</v>
          </cell>
          <cell r="D296" t="str">
            <v>CO-KE</v>
          </cell>
          <cell r="E296" t="str">
            <v>DIV-CO-KE</v>
          </cell>
          <cell r="F296" t="str">
            <v>DIV-KE</v>
          </cell>
          <cell r="G296" t="str">
            <v>A01M304</v>
          </cell>
          <cell r="H296" t="str">
            <v>DIV</v>
          </cell>
          <cell r="I296">
            <v>2001</v>
          </cell>
          <cell r="J296" t="str">
            <v>I</v>
          </cell>
          <cell r="K296" t="str">
            <v>CO</v>
          </cell>
          <cell r="L296" t="str">
            <v>KE</v>
          </cell>
          <cell r="Y296">
            <v>0</v>
          </cell>
          <cell r="Z296">
            <v>0</v>
          </cell>
          <cell r="AA296">
            <v>0</v>
          </cell>
          <cell r="AB296">
            <v>0</v>
          </cell>
          <cell r="AC296">
            <v>0</v>
          </cell>
          <cell r="AD296">
            <v>0</v>
          </cell>
          <cell r="AE296">
            <v>0</v>
          </cell>
          <cell r="AF296">
            <v>0</v>
          </cell>
        </row>
        <row r="297">
          <cell r="B297" t="str">
            <v>CO-KN-A01M304</v>
          </cell>
          <cell r="C297" t="str">
            <v>CO-A01M304</v>
          </cell>
          <cell r="D297" t="str">
            <v>CO-KN</v>
          </cell>
          <cell r="E297" t="str">
            <v>DIV-CO-KN</v>
          </cell>
          <cell r="F297" t="str">
            <v>DIV-KN</v>
          </cell>
          <cell r="G297" t="str">
            <v>A01M304</v>
          </cell>
          <cell r="H297" t="str">
            <v>DIV</v>
          </cell>
          <cell r="I297">
            <v>2001</v>
          </cell>
          <cell r="J297" t="str">
            <v>I</v>
          </cell>
          <cell r="K297" t="str">
            <v>CO</v>
          </cell>
          <cell r="L297" t="str">
            <v>KN</v>
          </cell>
          <cell r="W297">
            <v>17.399999999999999</v>
          </cell>
          <cell r="X297">
            <v>20.8</v>
          </cell>
          <cell r="Y297">
            <v>0</v>
          </cell>
          <cell r="Z297">
            <v>38.200000000000003</v>
          </cell>
          <cell r="AA297">
            <v>0</v>
          </cell>
          <cell r="AB297">
            <v>38.200000000000003</v>
          </cell>
          <cell r="AC297">
            <v>0</v>
          </cell>
          <cell r="AD297">
            <v>0</v>
          </cell>
          <cell r="AE297">
            <v>38.200000000000003</v>
          </cell>
          <cell r="AF297">
            <v>0</v>
          </cell>
        </row>
        <row r="298">
          <cell r="B298" t="str">
            <v>IN-KE-A01M304</v>
          </cell>
          <cell r="C298" t="str">
            <v>IN-A01M304</v>
          </cell>
          <cell r="D298" t="str">
            <v>IN-KE</v>
          </cell>
          <cell r="E298" t="str">
            <v>DIV-IN-KE</v>
          </cell>
          <cell r="F298" t="str">
            <v>DIV-KE</v>
          </cell>
          <cell r="G298" t="str">
            <v>A01M304</v>
          </cell>
          <cell r="H298" t="str">
            <v>DIV</v>
          </cell>
          <cell r="I298">
            <v>2001</v>
          </cell>
          <cell r="J298" t="str">
            <v>I</v>
          </cell>
          <cell r="K298" t="str">
            <v>IN</v>
          </cell>
          <cell r="L298" t="str">
            <v>KE</v>
          </cell>
          <cell r="Y298">
            <v>0</v>
          </cell>
          <cell r="Z298">
            <v>0</v>
          </cell>
          <cell r="AA298">
            <v>0</v>
          </cell>
          <cell r="AB298">
            <v>0</v>
          </cell>
          <cell r="AC298">
            <v>0</v>
          </cell>
          <cell r="AD298">
            <v>0</v>
          </cell>
          <cell r="AE298">
            <v>0</v>
          </cell>
          <cell r="AF298">
            <v>0</v>
          </cell>
        </row>
        <row r="299">
          <cell r="B299" t="str">
            <v>IN-KN-A01M304</v>
          </cell>
          <cell r="C299" t="str">
            <v>IN-A01M304</v>
          </cell>
          <cell r="D299" t="str">
            <v>IN-KN</v>
          </cell>
          <cell r="E299" t="str">
            <v>DIV-IN-KN</v>
          </cell>
          <cell r="F299" t="str">
            <v>DIV-KN</v>
          </cell>
          <cell r="G299" t="str">
            <v>A01M304</v>
          </cell>
          <cell r="H299" t="str">
            <v>DIV</v>
          </cell>
          <cell r="I299">
            <v>2001</v>
          </cell>
          <cell r="J299" t="str">
            <v>I</v>
          </cell>
          <cell r="K299" t="str">
            <v>IN</v>
          </cell>
          <cell r="L299" t="str">
            <v>KN</v>
          </cell>
          <cell r="T299">
            <v>2.2000000000000002</v>
          </cell>
          <cell r="U299">
            <v>2.5</v>
          </cell>
          <cell r="V299">
            <v>2.6</v>
          </cell>
          <cell r="W299">
            <v>2.5</v>
          </cell>
          <cell r="X299">
            <v>3.3</v>
          </cell>
          <cell r="Y299">
            <v>0</v>
          </cell>
          <cell r="Z299">
            <v>13.100000000000001</v>
          </cell>
          <cell r="AA299">
            <v>0</v>
          </cell>
          <cell r="AB299">
            <v>13.100000000000001</v>
          </cell>
          <cell r="AC299">
            <v>0</v>
          </cell>
          <cell r="AD299">
            <v>0</v>
          </cell>
          <cell r="AE299">
            <v>13.100000000000001</v>
          </cell>
          <cell r="AF299">
            <v>0</v>
          </cell>
        </row>
        <row r="300">
          <cell r="B300" t="str">
            <v>AD-KE-A01M305</v>
          </cell>
          <cell r="C300" t="str">
            <v>AD-A01M305</v>
          </cell>
          <cell r="D300" t="str">
            <v>AD-KE</v>
          </cell>
          <cell r="E300" t="str">
            <v>DIV-AD-KE</v>
          </cell>
          <cell r="F300" t="str">
            <v>DIV-KE</v>
          </cell>
          <cell r="G300" t="str">
            <v>A01M305</v>
          </cell>
          <cell r="H300" t="str">
            <v>DIV</v>
          </cell>
          <cell r="I300">
            <v>2001</v>
          </cell>
          <cell r="J300" t="str">
            <v>I</v>
          </cell>
          <cell r="K300" t="str">
            <v>AD</v>
          </cell>
          <cell r="L300" t="str">
            <v>KE</v>
          </cell>
          <cell r="Y300">
            <v>0</v>
          </cell>
          <cell r="Z300">
            <v>0</v>
          </cell>
          <cell r="AA300">
            <v>0</v>
          </cell>
          <cell r="AB300">
            <v>0</v>
          </cell>
          <cell r="AC300">
            <v>0</v>
          </cell>
          <cell r="AD300">
            <v>0</v>
          </cell>
          <cell r="AE300">
            <v>0</v>
          </cell>
          <cell r="AF300">
            <v>0</v>
          </cell>
        </row>
        <row r="301">
          <cell r="B301" t="str">
            <v>AD-KN-A01M305</v>
          </cell>
          <cell r="C301" t="str">
            <v>AD-A01M305</v>
          </cell>
          <cell r="D301" t="str">
            <v>AD-KN</v>
          </cell>
          <cell r="E301" t="str">
            <v>DIV-AD-KN</v>
          </cell>
          <cell r="F301" t="str">
            <v>DIV-KN</v>
          </cell>
          <cell r="G301" t="str">
            <v>A01M305</v>
          </cell>
          <cell r="H301" t="str">
            <v>DIV</v>
          </cell>
          <cell r="I301">
            <v>2001</v>
          </cell>
          <cell r="J301" t="str">
            <v>I</v>
          </cell>
          <cell r="K301" t="str">
            <v>AD</v>
          </cell>
          <cell r="L301" t="str">
            <v>KN</v>
          </cell>
          <cell r="V301">
            <v>31.2</v>
          </cell>
          <cell r="X301">
            <v>4.7</v>
          </cell>
          <cell r="Y301">
            <v>0</v>
          </cell>
          <cell r="Z301">
            <v>35.9</v>
          </cell>
          <cell r="AA301">
            <v>0</v>
          </cell>
          <cell r="AB301">
            <v>35.9</v>
          </cell>
          <cell r="AC301">
            <v>0</v>
          </cell>
          <cell r="AD301">
            <v>0</v>
          </cell>
          <cell r="AE301">
            <v>35.9</v>
          </cell>
          <cell r="AF301">
            <v>0</v>
          </cell>
        </row>
        <row r="302">
          <cell r="B302" t="str">
            <v>CO-KE-A01M305</v>
          </cell>
          <cell r="C302" t="str">
            <v>CO-A01M305</v>
          </cell>
          <cell r="D302" t="str">
            <v>CO-KE</v>
          </cell>
          <cell r="E302" t="str">
            <v>DIV-CO-KE</v>
          </cell>
          <cell r="F302" t="str">
            <v>DIV-KE</v>
          </cell>
          <cell r="G302" t="str">
            <v>A01M305</v>
          </cell>
          <cell r="H302" t="str">
            <v>DIV</v>
          </cell>
          <cell r="I302">
            <v>2001</v>
          </cell>
          <cell r="J302" t="str">
            <v>I</v>
          </cell>
          <cell r="K302" t="str">
            <v>CO</v>
          </cell>
          <cell r="L302" t="str">
            <v>KE</v>
          </cell>
          <cell r="Y302">
            <v>0</v>
          </cell>
          <cell r="Z302">
            <v>0</v>
          </cell>
          <cell r="AA302">
            <v>0</v>
          </cell>
          <cell r="AB302">
            <v>0</v>
          </cell>
          <cell r="AC302">
            <v>0</v>
          </cell>
          <cell r="AD302">
            <v>0</v>
          </cell>
          <cell r="AE302">
            <v>0</v>
          </cell>
          <cell r="AF302">
            <v>0</v>
          </cell>
        </row>
        <row r="303">
          <cell r="B303" t="str">
            <v>CO-KN-A01M305</v>
          </cell>
          <cell r="C303" t="str">
            <v>CO-A01M305</v>
          </cell>
          <cell r="D303" t="str">
            <v>CO-KN</v>
          </cell>
          <cell r="E303" t="str">
            <v>DIV-CO-KN</v>
          </cell>
          <cell r="F303" t="str">
            <v>DIV-KN</v>
          </cell>
          <cell r="G303" t="str">
            <v>A01M305</v>
          </cell>
          <cell r="H303" t="str">
            <v>DIV</v>
          </cell>
          <cell r="I303">
            <v>2001</v>
          </cell>
          <cell r="J303" t="str">
            <v>I</v>
          </cell>
          <cell r="K303" t="str">
            <v>CO</v>
          </cell>
          <cell r="L303" t="str">
            <v>KN</v>
          </cell>
          <cell r="W303">
            <v>36.799999999999997</v>
          </cell>
          <cell r="X303">
            <v>47.9</v>
          </cell>
          <cell r="Y303">
            <v>0</v>
          </cell>
          <cell r="Z303">
            <v>84.699999999999989</v>
          </cell>
          <cell r="AA303">
            <v>0</v>
          </cell>
          <cell r="AB303">
            <v>84.699999999999989</v>
          </cell>
          <cell r="AC303">
            <v>0</v>
          </cell>
          <cell r="AD303">
            <v>0</v>
          </cell>
          <cell r="AE303">
            <v>84.699999999999989</v>
          </cell>
          <cell r="AF303">
            <v>0</v>
          </cell>
        </row>
        <row r="304">
          <cell r="B304" t="str">
            <v>IN-KE-A01M305</v>
          </cell>
          <cell r="C304" t="str">
            <v>IN-A01M305</v>
          </cell>
          <cell r="D304" t="str">
            <v>IN-KE</v>
          </cell>
          <cell r="E304" t="str">
            <v>DIV-IN-KE</v>
          </cell>
          <cell r="F304" t="str">
            <v>DIV-KE</v>
          </cell>
          <cell r="G304" t="str">
            <v>A01M305</v>
          </cell>
          <cell r="H304" t="str">
            <v>DIV</v>
          </cell>
          <cell r="I304">
            <v>2001</v>
          </cell>
          <cell r="J304" t="str">
            <v>I</v>
          </cell>
          <cell r="K304" t="str">
            <v>IN</v>
          </cell>
          <cell r="L304" t="str">
            <v>KE</v>
          </cell>
          <cell r="Y304">
            <v>0</v>
          </cell>
          <cell r="Z304">
            <v>0</v>
          </cell>
          <cell r="AA304">
            <v>0</v>
          </cell>
          <cell r="AB304">
            <v>0</v>
          </cell>
          <cell r="AC304">
            <v>0</v>
          </cell>
          <cell r="AD304">
            <v>0</v>
          </cell>
          <cell r="AE304">
            <v>0</v>
          </cell>
          <cell r="AF304">
            <v>0</v>
          </cell>
        </row>
        <row r="305">
          <cell r="B305" t="str">
            <v>IN-KN-A01M305</v>
          </cell>
          <cell r="C305" t="str">
            <v>IN-A01M305</v>
          </cell>
          <cell r="D305" t="str">
            <v>IN-KN</v>
          </cell>
          <cell r="E305" t="str">
            <v>DIV-IN-KN</v>
          </cell>
          <cell r="F305" t="str">
            <v>DIV-KN</v>
          </cell>
          <cell r="G305" t="str">
            <v>A01M305</v>
          </cell>
          <cell r="H305" t="str">
            <v>DIV</v>
          </cell>
          <cell r="I305">
            <v>2001</v>
          </cell>
          <cell r="J305" t="str">
            <v>I</v>
          </cell>
          <cell r="K305" t="str">
            <v>IN</v>
          </cell>
          <cell r="L305" t="str">
            <v>KN</v>
          </cell>
          <cell r="T305">
            <v>4.4000000000000004</v>
          </cell>
          <cell r="U305">
            <v>5.6</v>
          </cell>
          <cell r="V305">
            <v>2.4</v>
          </cell>
          <cell r="W305">
            <v>2.6</v>
          </cell>
          <cell r="X305">
            <v>5.0999999999999996</v>
          </cell>
          <cell r="Y305">
            <v>0</v>
          </cell>
          <cell r="Z305">
            <v>20.100000000000001</v>
          </cell>
          <cell r="AA305">
            <v>0</v>
          </cell>
          <cell r="AB305">
            <v>20.100000000000001</v>
          </cell>
          <cell r="AC305">
            <v>0</v>
          </cell>
          <cell r="AD305">
            <v>0</v>
          </cell>
          <cell r="AE305">
            <v>20.100000000000001</v>
          </cell>
          <cell r="AF305">
            <v>0</v>
          </cell>
        </row>
        <row r="306">
          <cell r="B306" t="str">
            <v>AD-KE-A01M307</v>
          </cell>
          <cell r="C306" t="str">
            <v>AD-A01M307</v>
          </cell>
          <cell r="D306" t="str">
            <v>AD-KE</v>
          </cell>
          <cell r="E306" t="str">
            <v>DIV-AD-KE</v>
          </cell>
          <cell r="F306" t="str">
            <v>DIV-KE</v>
          </cell>
          <cell r="G306" t="str">
            <v>A01M307</v>
          </cell>
          <cell r="H306" t="str">
            <v>DIV</v>
          </cell>
          <cell r="I306">
            <v>2002</v>
          </cell>
          <cell r="J306" t="str">
            <v>I</v>
          </cell>
          <cell r="K306" t="str">
            <v>AD</v>
          </cell>
          <cell r="L306" t="str">
            <v>KE</v>
          </cell>
          <cell r="Y306">
            <v>0</v>
          </cell>
          <cell r="Z306">
            <v>0</v>
          </cell>
          <cell r="AB306">
            <v>0</v>
          </cell>
          <cell r="AC306">
            <v>0</v>
          </cell>
          <cell r="AD306">
            <v>0</v>
          </cell>
          <cell r="AE306">
            <v>0</v>
          </cell>
          <cell r="AF306">
            <v>0</v>
          </cell>
        </row>
        <row r="307">
          <cell r="B307" t="str">
            <v>AD-KN-A01M307</v>
          </cell>
          <cell r="C307" t="str">
            <v>AD-A01M307</v>
          </cell>
          <cell r="D307" t="str">
            <v>AD-KN</v>
          </cell>
          <cell r="E307" t="str">
            <v>DIV-AD-KN</v>
          </cell>
          <cell r="F307" t="str">
            <v>DIV-KN</v>
          </cell>
          <cell r="G307" t="str">
            <v>A01M307</v>
          </cell>
          <cell r="H307" t="str">
            <v>DIV</v>
          </cell>
          <cell r="I307">
            <v>2002</v>
          </cell>
          <cell r="J307" t="str">
            <v>I</v>
          </cell>
          <cell r="K307" t="str">
            <v>AD</v>
          </cell>
          <cell r="L307" t="str">
            <v>KN</v>
          </cell>
          <cell r="W307">
            <v>2.069</v>
          </cell>
          <cell r="X307">
            <v>70.924000000000007</v>
          </cell>
          <cell r="Y307">
            <v>0</v>
          </cell>
          <cell r="Z307">
            <v>72.993000000000009</v>
          </cell>
          <cell r="AA307">
            <v>0</v>
          </cell>
          <cell r="AB307">
            <v>72.993000000000009</v>
          </cell>
          <cell r="AC307">
            <v>0</v>
          </cell>
          <cell r="AD307">
            <v>0</v>
          </cell>
          <cell r="AE307">
            <v>72.993000000000009</v>
          </cell>
          <cell r="AF307">
            <v>0</v>
          </cell>
        </row>
        <row r="308">
          <cell r="B308" t="str">
            <v>CO-KE-A01M307</v>
          </cell>
          <cell r="C308" t="str">
            <v>CO-A01M307</v>
          </cell>
          <cell r="D308" t="str">
            <v>CO-KE</v>
          </cell>
          <cell r="E308" t="str">
            <v>DIV-CO-KE</v>
          </cell>
          <cell r="F308" t="str">
            <v>DIV-KE</v>
          </cell>
          <cell r="G308" t="str">
            <v>A01M307</v>
          </cell>
          <cell r="H308" t="str">
            <v>DIV</v>
          </cell>
          <cell r="I308">
            <v>2002</v>
          </cell>
          <cell r="J308" t="str">
            <v>I</v>
          </cell>
          <cell r="K308" t="str">
            <v>CO</v>
          </cell>
          <cell r="L308" t="str">
            <v>KE</v>
          </cell>
          <cell r="Y308">
            <v>0</v>
          </cell>
          <cell r="Z308">
            <v>0</v>
          </cell>
          <cell r="AB308">
            <v>0</v>
          </cell>
          <cell r="AC308">
            <v>0</v>
          </cell>
          <cell r="AD308">
            <v>0</v>
          </cell>
          <cell r="AE308">
            <v>0</v>
          </cell>
          <cell r="AF308">
            <v>0</v>
          </cell>
        </row>
        <row r="309">
          <cell r="B309" t="str">
            <v>CO-KN-A01M307</v>
          </cell>
          <cell r="C309" t="str">
            <v>CO-A01M307</v>
          </cell>
          <cell r="D309" t="str">
            <v>CO-KN</v>
          </cell>
          <cell r="E309" t="str">
            <v>DIV-CO-KN</v>
          </cell>
          <cell r="F309" t="str">
            <v>DIV-KN</v>
          </cell>
          <cell r="G309" t="str">
            <v>A01M307</v>
          </cell>
          <cell r="H309" t="str">
            <v>DIV</v>
          </cell>
          <cell r="I309">
            <v>2002</v>
          </cell>
          <cell r="J309" t="str">
            <v>I</v>
          </cell>
          <cell r="K309" t="str">
            <v>CO</v>
          </cell>
          <cell r="L309" t="str">
            <v>KN</v>
          </cell>
          <cell r="S309">
            <v>0.4</v>
          </cell>
          <cell r="T309">
            <v>1.7</v>
          </cell>
          <cell r="X309">
            <v>0.41099999999999998</v>
          </cell>
          <cell r="Y309">
            <v>0</v>
          </cell>
          <cell r="Z309">
            <v>2.5110000000000001</v>
          </cell>
          <cell r="AA309">
            <v>32.738999999999997</v>
          </cell>
          <cell r="AB309">
            <v>35.25</v>
          </cell>
          <cell r="AC309">
            <v>0.4</v>
          </cell>
          <cell r="AD309">
            <v>0.4</v>
          </cell>
          <cell r="AE309">
            <v>2.1110000000000002</v>
          </cell>
          <cell r="AF309">
            <v>-7.6558983680000012E-2</v>
          </cell>
        </row>
        <row r="310">
          <cell r="B310" t="str">
            <v>IN-KE-A01M307</v>
          </cell>
          <cell r="C310" t="str">
            <v>IN-A01M307</v>
          </cell>
          <cell r="D310" t="str">
            <v>IN-KE</v>
          </cell>
          <cell r="E310" t="str">
            <v>DIV-IN-KE</v>
          </cell>
          <cell r="F310" t="str">
            <v>DIV-KE</v>
          </cell>
          <cell r="G310" t="str">
            <v>A01M307</v>
          </cell>
          <cell r="H310" t="str">
            <v>DIV</v>
          </cell>
          <cell r="I310">
            <v>2002</v>
          </cell>
          <cell r="J310" t="str">
            <v>I</v>
          </cell>
          <cell r="K310" t="str">
            <v>IN</v>
          </cell>
          <cell r="L310" t="str">
            <v>KE</v>
          </cell>
          <cell r="Y310">
            <v>0</v>
          </cell>
          <cell r="Z310">
            <v>0</v>
          </cell>
          <cell r="AB310">
            <v>0</v>
          </cell>
          <cell r="AC310">
            <v>0</v>
          </cell>
          <cell r="AD310">
            <v>0</v>
          </cell>
          <cell r="AE310">
            <v>0</v>
          </cell>
          <cell r="AF310">
            <v>0</v>
          </cell>
        </row>
        <row r="311">
          <cell r="B311" t="str">
            <v>IN-KN-A01M307</v>
          </cell>
          <cell r="C311" t="str">
            <v>IN-A01M307</v>
          </cell>
          <cell r="D311" t="str">
            <v>IN-KN</v>
          </cell>
          <cell r="E311" t="str">
            <v>DIV-IN-KN</v>
          </cell>
          <cell r="F311" t="str">
            <v>DIV-KN</v>
          </cell>
          <cell r="G311" t="str">
            <v>A01M307</v>
          </cell>
          <cell r="H311" t="str">
            <v>DIV</v>
          </cell>
          <cell r="I311">
            <v>2002</v>
          </cell>
          <cell r="J311" t="str">
            <v>I</v>
          </cell>
          <cell r="K311" t="str">
            <v>IN</v>
          </cell>
          <cell r="L311" t="str">
            <v>KN</v>
          </cell>
          <cell r="S311">
            <v>1.94</v>
          </cell>
          <cell r="T311">
            <v>1.5</v>
          </cell>
          <cell r="U311">
            <v>6.5069999999999997</v>
          </cell>
          <cell r="V311">
            <v>5.2640000000000002</v>
          </cell>
          <cell r="W311">
            <v>1.1379999999999999</v>
          </cell>
          <cell r="X311">
            <v>1.1379999999999999</v>
          </cell>
          <cell r="Y311">
            <v>0</v>
          </cell>
          <cell r="Z311">
            <v>17.486999999999995</v>
          </cell>
          <cell r="AA311">
            <v>7.806</v>
          </cell>
          <cell r="AB311">
            <v>25.292999999999996</v>
          </cell>
          <cell r="AC311">
            <v>1.94</v>
          </cell>
          <cell r="AD311">
            <v>1.94</v>
          </cell>
          <cell r="AE311">
            <v>15.546999999999995</v>
          </cell>
          <cell r="AF311">
            <v>-0.37131107084800002</v>
          </cell>
        </row>
        <row r="312">
          <cell r="B312" t="str">
            <v>AD-KE-A01M308</v>
          </cell>
          <cell r="C312" t="str">
            <v>AD-A01M308</v>
          </cell>
          <cell r="D312" t="str">
            <v>AD-KE</v>
          </cell>
          <cell r="E312" t="str">
            <v>DIV-AD-KE</v>
          </cell>
          <cell r="F312" t="str">
            <v>DIV-KE</v>
          </cell>
          <cell r="G312" t="str">
            <v>A01M308</v>
          </cell>
          <cell r="H312" t="str">
            <v>DIV</v>
          </cell>
          <cell r="I312">
            <v>2001</v>
          </cell>
          <cell r="J312" t="str">
            <v>I</v>
          </cell>
          <cell r="K312" t="str">
            <v>AD</v>
          </cell>
          <cell r="L312" t="str">
            <v>KE</v>
          </cell>
          <cell r="S312">
            <v>0</v>
          </cell>
          <cell r="T312">
            <v>40.6</v>
          </cell>
          <cell r="U312">
            <v>1.9</v>
          </cell>
          <cell r="V312">
            <v>4.5</v>
          </cell>
          <cell r="Y312">
            <v>0</v>
          </cell>
          <cell r="Z312">
            <v>47</v>
          </cell>
          <cell r="AA312">
            <v>0</v>
          </cell>
          <cell r="AB312">
            <v>47</v>
          </cell>
          <cell r="AC312">
            <v>0</v>
          </cell>
          <cell r="AD312">
            <v>0</v>
          </cell>
          <cell r="AE312">
            <v>47</v>
          </cell>
          <cell r="AF312">
            <v>0</v>
          </cell>
        </row>
        <row r="313">
          <cell r="B313" t="str">
            <v>AD-KN-A01M308</v>
          </cell>
          <cell r="C313" t="str">
            <v>AD-A01M308</v>
          </cell>
          <cell r="D313" t="str">
            <v>AD-KN</v>
          </cell>
          <cell r="E313" t="str">
            <v>DIV-AD-KN</v>
          </cell>
          <cell r="F313" t="str">
            <v>DIV-KN</v>
          </cell>
          <cell r="G313" t="str">
            <v>A01M308</v>
          </cell>
          <cell r="H313" t="str">
            <v>DIV</v>
          </cell>
          <cell r="I313">
            <v>2001</v>
          </cell>
          <cell r="J313" t="str">
            <v>I</v>
          </cell>
          <cell r="K313" t="str">
            <v>AD</v>
          </cell>
          <cell r="L313" t="str">
            <v>KN</v>
          </cell>
          <cell r="Y313">
            <v>0</v>
          </cell>
          <cell r="Z313">
            <v>0</v>
          </cell>
          <cell r="AA313">
            <v>0</v>
          </cell>
          <cell r="AB313">
            <v>0</v>
          </cell>
          <cell r="AC313">
            <v>0</v>
          </cell>
          <cell r="AD313">
            <v>0</v>
          </cell>
          <cell r="AE313">
            <v>0</v>
          </cell>
          <cell r="AF313">
            <v>0</v>
          </cell>
        </row>
        <row r="314">
          <cell r="B314" t="str">
            <v>CO-KE-A01M308</v>
          </cell>
          <cell r="C314" t="str">
            <v>CO-A01M308</v>
          </cell>
          <cell r="D314" t="str">
            <v>CO-KE</v>
          </cell>
          <cell r="E314" t="str">
            <v>DIV-CO-KE</v>
          </cell>
          <cell r="F314" t="str">
            <v>DIV-KE</v>
          </cell>
          <cell r="G314" t="str">
            <v>A01M308</v>
          </cell>
          <cell r="H314" t="str">
            <v>DIV</v>
          </cell>
          <cell r="I314">
            <v>2001</v>
          </cell>
          <cell r="J314" t="str">
            <v>I</v>
          </cell>
          <cell r="K314" t="str">
            <v>CO</v>
          </cell>
          <cell r="L314" t="str">
            <v>KE</v>
          </cell>
          <cell r="Y314">
            <v>0</v>
          </cell>
          <cell r="Z314">
            <v>0</v>
          </cell>
          <cell r="AA314">
            <v>0</v>
          </cell>
          <cell r="AB314">
            <v>0</v>
          </cell>
          <cell r="AC314">
            <v>0</v>
          </cell>
          <cell r="AD314">
            <v>0</v>
          </cell>
          <cell r="AE314">
            <v>0</v>
          </cell>
          <cell r="AF314">
            <v>0</v>
          </cell>
        </row>
        <row r="315">
          <cell r="B315" t="str">
            <v>CO-KN-A01M308</v>
          </cell>
          <cell r="C315" t="str">
            <v>CO-A01M308</v>
          </cell>
          <cell r="D315" t="str">
            <v>CO-KN</v>
          </cell>
          <cell r="E315" t="str">
            <v>DIV-CO-KN</v>
          </cell>
          <cell r="F315" t="str">
            <v>DIV-KN</v>
          </cell>
          <cell r="G315" t="str">
            <v>A01M308</v>
          </cell>
          <cell r="H315" t="str">
            <v>DIV</v>
          </cell>
          <cell r="I315">
            <v>2001</v>
          </cell>
          <cell r="J315" t="str">
            <v>I</v>
          </cell>
          <cell r="K315" t="str">
            <v>CO</v>
          </cell>
          <cell r="L315" t="str">
            <v>KN</v>
          </cell>
          <cell r="U315">
            <v>20.2</v>
          </cell>
          <cell r="V315">
            <v>7.8</v>
          </cell>
          <cell r="Y315">
            <v>0</v>
          </cell>
          <cell r="Z315">
            <v>28</v>
          </cell>
          <cell r="AA315">
            <v>0</v>
          </cell>
          <cell r="AB315">
            <v>28</v>
          </cell>
          <cell r="AC315">
            <v>0</v>
          </cell>
          <cell r="AD315">
            <v>0</v>
          </cell>
          <cell r="AE315">
            <v>28</v>
          </cell>
          <cell r="AF315">
            <v>0</v>
          </cell>
        </row>
        <row r="316">
          <cell r="B316" t="str">
            <v>IN-KE-A01M308</v>
          </cell>
          <cell r="C316" t="str">
            <v>IN-A01M308</v>
          </cell>
          <cell r="D316" t="str">
            <v>IN-KE</v>
          </cell>
          <cell r="E316" t="str">
            <v>DIV-IN-KE</v>
          </cell>
          <cell r="F316" t="str">
            <v>DIV-KE</v>
          </cell>
          <cell r="G316" t="str">
            <v>A01M308</v>
          </cell>
          <cell r="H316" t="str">
            <v>DIV</v>
          </cell>
          <cell r="I316">
            <v>2001</v>
          </cell>
          <cell r="J316" t="str">
            <v>I</v>
          </cell>
          <cell r="K316" t="str">
            <v>IN</v>
          </cell>
          <cell r="L316" t="str">
            <v>KE</v>
          </cell>
          <cell r="Y316">
            <v>0</v>
          </cell>
          <cell r="Z316">
            <v>0</v>
          </cell>
          <cell r="AA316">
            <v>0</v>
          </cell>
          <cell r="AB316">
            <v>0</v>
          </cell>
          <cell r="AC316">
            <v>0</v>
          </cell>
          <cell r="AD316">
            <v>0</v>
          </cell>
          <cell r="AE316">
            <v>0</v>
          </cell>
          <cell r="AF316">
            <v>0</v>
          </cell>
        </row>
        <row r="317">
          <cell r="B317" t="str">
            <v>IN-KN-A01M308</v>
          </cell>
          <cell r="C317" t="str">
            <v>IN-A01M308</v>
          </cell>
          <cell r="D317" t="str">
            <v>IN-KN</v>
          </cell>
          <cell r="E317" t="str">
            <v>DIV-IN-KN</v>
          </cell>
          <cell r="F317" t="str">
            <v>DIV-KN</v>
          </cell>
          <cell r="G317" t="str">
            <v>A01M308</v>
          </cell>
          <cell r="H317" t="str">
            <v>DIV</v>
          </cell>
          <cell r="I317">
            <v>2001</v>
          </cell>
          <cell r="J317" t="str">
            <v>I</v>
          </cell>
          <cell r="K317" t="str">
            <v>IN</v>
          </cell>
          <cell r="L317" t="str">
            <v>KN</v>
          </cell>
          <cell r="P317">
            <v>1.6</v>
          </cell>
          <cell r="Q317">
            <v>1.6</v>
          </cell>
          <cell r="R317">
            <v>2.7</v>
          </cell>
          <cell r="S317">
            <v>1.8</v>
          </cell>
          <cell r="T317">
            <v>13.8</v>
          </cell>
          <cell r="U317">
            <v>4.3</v>
          </cell>
          <cell r="V317">
            <v>4.5</v>
          </cell>
          <cell r="Y317">
            <v>0</v>
          </cell>
          <cell r="Z317">
            <v>30.3</v>
          </cell>
          <cell r="AA317">
            <v>0</v>
          </cell>
          <cell r="AB317">
            <v>30.3</v>
          </cell>
          <cell r="AC317">
            <v>7.7</v>
          </cell>
          <cell r="AD317">
            <v>7.7</v>
          </cell>
          <cell r="AE317">
            <v>22.6</v>
          </cell>
          <cell r="AF317">
            <v>-0.95385560278000014</v>
          </cell>
        </row>
        <row r="318">
          <cell r="B318" t="str">
            <v>AD-KE-A01M310</v>
          </cell>
          <cell r="C318" t="str">
            <v>AD-A01M310</v>
          </cell>
          <cell r="D318" t="str">
            <v>AD-KE</v>
          </cell>
          <cell r="E318" t="str">
            <v>DIV-AD-KE</v>
          </cell>
          <cell r="F318" t="str">
            <v>DIV-KE</v>
          </cell>
          <cell r="G318" t="str">
            <v>A01M310</v>
          </cell>
          <cell r="H318" t="str">
            <v>DIV</v>
          </cell>
          <cell r="I318">
            <v>2001</v>
          </cell>
          <cell r="J318" t="str">
            <v>I</v>
          </cell>
          <cell r="K318" t="str">
            <v>AD</v>
          </cell>
          <cell r="L318" t="str">
            <v>KE</v>
          </cell>
          <cell r="Y318">
            <v>0</v>
          </cell>
          <cell r="Z318">
            <v>0</v>
          </cell>
          <cell r="AA318">
            <v>0</v>
          </cell>
          <cell r="AB318">
            <v>0</v>
          </cell>
          <cell r="AC318">
            <v>0</v>
          </cell>
          <cell r="AD318">
            <v>0</v>
          </cell>
          <cell r="AE318">
            <v>0</v>
          </cell>
          <cell r="AF318">
            <v>0</v>
          </cell>
        </row>
        <row r="319">
          <cell r="B319" t="str">
            <v>AD-KN-A01M310</v>
          </cell>
          <cell r="C319" t="str">
            <v>AD-A01M310</v>
          </cell>
          <cell r="D319" t="str">
            <v>AD-KN</v>
          </cell>
          <cell r="E319" t="str">
            <v>DIV-AD-KN</v>
          </cell>
          <cell r="F319" t="str">
            <v>DIV-KN</v>
          </cell>
          <cell r="G319" t="str">
            <v>A01M310</v>
          </cell>
          <cell r="H319" t="str">
            <v>DIV</v>
          </cell>
          <cell r="I319">
            <v>2001</v>
          </cell>
          <cell r="J319" t="str">
            <v>I</v>
          </cell>
          <cell r="K319" t="str">
            <v>AD</v>
          </cell>
          <cell r="L319" t="str">
            <v>KN</v>
          </cell>
          <cell r="Y319">
            <v>0</v>
          </cell>
          <cell r="Z319">
            <v>0</v>
          </cell>
          <cell r="AA319">
            <v>0</v>
          </cell>
          <cell r="AB319">
            <v>0</v>
          </cell>
          <cell r="AC319">
            <v>0</v>
          </cell>
          <cell r="AD319">
            <v>0</v>
          </cell>
          <cell r="AE319">
            <v>0</v>
          </cell>
          <cell r="AF319">
            <v>0</v>
          </cell>
        </row>
        <row r="320">
          <cell r="B320" t="str">
            <v>CO-KE-A01M310</v>
          </cell>
          <cell r="C320" t="str">
            <v>CO-A01M310</v>
          </cell>
          <cell r="D320" t="str">
            <v>CO-KE</v>
          </cell>
          <cell r="E320" t="str">
            <v>DIV-CO-KE</v>
          </cell>
          <cell r="F320" t="str">
            <v>DIV-KE</v>
          </cell>
          <cell r="G320" t="str">
            <v>A01M310</v>
          </cell>
          <cell r="H320" t="str">
            <v>DIV</v>
          </cell>
          <cell r="I320">
            <v>2001</v>
          </cell>
          <cell r="J320" t="str">
            <v>I</v>
          </cell>
          <cell r="K320" t="str">
            <v>CO</v>
          </cell>
          <cell r="L320" t="str">
            <v>KE</v>
          </cell>
          <cell r="Y320">
            <v>0</v>
          </cell>
          <cell r="Z320">
            <v>0</v>
          </cell>
          <cell r="AA320">
            <v>0</v>
          </cell>
          <cell r="AB320">
            <v>0</v>
          </cell>
          <cell r="AC320">
            <v>0</v>
          </cell>
          <cell r="AD320">
            <v>0</v>
          </cell>
          <cell r="AE320">
            <v>0</v>
          </cell>
          <cell r="AF320">
            <v>0</v>
          </cell>
        </row>
        <row r="321">
          <cell r="B321" t="str">
            <v>CO-KN-A01M310</v>
          </cell>
          <cell r="C321" t="str">
            <v>CO-A01M310</v>
          </cell>
          <cell r="D321" t="str">
            <v>CO-KN</v>
          </cell>
          <cell r="E321" t="str">
            <v>DIV-CO-KN</v>
          </cell>
          <cell r="F321" t="str">
            <v>DIV-KN</v>
          </cell>
          <cell r="G321" t="str">
            <v>A01M310</v>
          </cell>
          <cell r="H321" t="str">
            <v>DIV</v>
          </cell>
          <cell r="I321">
            <v>2001</v>
          </cell>
          <cell r="J321" t="str">
            <v>I</v>
          </cell>
          <cell r="K321" t="str">
            <v>CO</v>
          </cell>
          <cell r="L321" t="str">
            <v>KN</v>
          </cell>
          <cell r="Q321">
            <v>24.3</v>
          </cell>
          <cell r="R321">
            <v>2.8</v>
          </cell>
          <cell r="Y321">
            <v>0</v>
          </cell>
          <cell r="Z321">
            <v>27.1</v>
          </cell>
          <cell r="AA321">
            <v>0</v>
          </cell>
          <cell r="AB321">
            <v>27.1</v>
          </cell>
          <cell r="AC321">
            <v>27.1</v>
          </cell>
          <cell r="AD321">
            <v>27.1</v>
          </cell>
          <cell r="AE321">
            <v>0</v>
          </cell>
          <cell r="AF321">
            <v>-2.6462847135499996</v>
          </cell>
        </row>
        <row r="322">
          <cell r="B322" t="str">
            <v>IN-KE-A01M310</v>
          </cell>
          <cell r="C322" t="str">
            <v>IN-A01M310</v>
          </cell>
          <cell r="D322" t="str">
            <v>IN-KE</v>
          </cell>
          <cell r="E322" t="str">
            <v>DIV-IN-KE</v>
          </cell>
          <cell r="F322" t="str">
            <v>DIV-KE</v>
          </cell>
          <cell r="G322" t="str">
            <v>A01M310</v>
          </cell>
          <cell r="H322" t="str">
            <v>DIV</v>
          </cell>
          <cell r="I322">
            <v>2001</v>
          </cell>
          <cell r="J322" t="str">
            <v>I</v>
          </cell>
          <cell r="K322" t="str">
            <v>IN</v>
          </cell>
          <cell r="L322" t="str">
            <v>KE</v>
          </cell>
          <cell r="Y322">
            <v>0</v>
          </cell>
          <cell r="Z322">
            <v>0</v>
          </cell>
          <cell r="AA322">
            <v>0</v>
          </cell>
          <cell r="AB322">
            <v>0</v>
          </cell>
          <cell r="AC322">
            <v>0</v>
          </cell>
          <cell r="AD322">
            <v>0</v>
          </cell>
          <cell r="AE322">
            <v>0</v>
          </cell>
          <cell r="AF322">
            <v>0</v>
          </cell>
        </row>
        <row r="323">
          <cell r="B323" t="str">
            <v>IN-KN-A01M310</v>
          </cell>
          <cell r="C323" t="str">
            <v>IN-A01M310</v>
          </cell>
          <cell r="D323" t="str">
            <v>IN-KN</v>
          </cell>
          <cell r="E323" t="str">
            <v>DIV-IN-KN</v>
          </cell>
          <cell r="F323" t="str">
            <v>DIV-KN</v>
          </cell>
          <cell r="G323" t="str">
            <v>A01M310</v>
          </cell>
          <cell r="H323" t="str">
            <v>DIV</v>
          </cell>
          <cell r="I323">
            <v>2001</v>
          </cell>
          <cell r="J323" t="str">
            <v>I</v>
          </cell>
          <cell r="K323" t="str">
            <v>IN</v>
          </cell>
          <cell r="L323" t="str">
            <v>KN</v>
          </cell>
          <cell r="Q323">
            <v>3.4</v>
          </cell>
          <cell r="R323">
            <v>1.8</v>
          </cell>
          <cell r="Y323">
            <v>0</v>
          </cell>
          <cell r="Z323">
            <v>5.2</v>
          </cell>
          <cell r="AA323">
            <v>0</v>
          </cell>
          <cell r="AB323">
            <v>5.2</v>
          </cell>
          <cell r="AC323">
            <v>5.2</v>
          </cell>
          <cell r="AD323">
            <v>5.2</v>
          </cell>
          <cell r="AE323">
            <v>0</v>
          </cell>
          <cell r="AF323">
            <v>-0.53351866597999997</v>
          </cell>
        </row>
        <row r="324">
          <cell r="B324" t="str">
            <v>AD-KE-A01M312</v>
          </cell>
          <cell r="C324" t="str">
            <v>AD-A01M312</v>
          </cell>
          <cell r="D324" t="str">
            <v>AD-KE</v>
          </cell>
          <cell r="E324" t="str">
            <v>DIV-AD-KE</v>
          </cell>
          <cell r="F324" t="str">
            <v>DIV-KE</v>
          </cell>
          <cell r="G324" t="str">
            <v>A01M312</v>
          </cell>
          <cell r="H324" t="str">
            <v>DIV</v>
          </cell>
          <cell r="I324">
            <v>2001</v>
          </cell>
          <cell r="J324" t="str">
            <v>I</v>
          </cell>
          <cell r="K324" t="str">
            <v>AD</v>
          </cell>
          <cell r="L324" t="str">
            <v>KE</v>
          </cell>
          <cell r="Y324">
            <v>0</v>
          </cell>
          <cell r="Z324">
            <v>0</v>
          </cell>
          <cell r="AA324">
            <v>0</v>
          </cell>
          <cell r="AB324">
            <v>0</v>
          </cell>
          <cell r="AC324">
            <v>0</v>
          </cell>
          <cell r="AD324">
            <v>0</v>
          </cell>
          <cell r="AE324">
            <v>0</v>
          </cell>
          <cell r="AF324">
            <v>0</v>
          </cell>
        </row>
        <row r="325">
          <cell r="B325" t="str">
            <v>AD-KN-A01M312</v>
          </cell>
          <cell r="C325" t="str">
            <v>AD-A01M312</v>
          </cell>
          <cell r="D325" t="str">
            <v>AD-KN</v>
          </cell>
          <cell r="E325" t="str">
            <v>DIV-AD-KN</v>
          </cell>
          <cell r="F325" t="str">
            <v>DIV-KN</v>
          </cell>
          <cell r="G325" t="str">
            <v>A01M312</v>
          </cell>
          <cell r="H325" t="str">
            <v>DIV</v>
          </cell>
          <cell r="I325">
            <v>2001</v>
          </cell>
          <cell r="J325" t="str">
            <v>I</v>
          </cell>
          <cell r="K325" t="str">
            <v>AD</v>
          </cell>
          <cell r="L325" t="str">
            <v>KN</v>
          </cell>
          <cell r="R325">
            <v>0</v>
          </cell>
          <cell r="S325">
            <v>0.5</v>
          </cell>
          <cell r="U325">
            <v>33.4</v>
          </cell>
          <cell r="Y325">
            <v>0</v>
          </cell>
          <cell r="Z325">
            <v>33.9</v>
          </cell>
          <cell r="AA325">
            <v>0</v>
          </cell>
          <cell r="AB325">
            <v>33.9</v>
          </cell>
          <cell r="AC325">
            <v>0.5</v>
          </cell>
          <cell r="AD325">
            <v>0.5</v>
          </cell>
          <cell r="AE325">
            <v>33.4</v>
          </cell>
          <cell r="AF325">
            <v>-9.5698729600000004E-2</v>
          </cell>
        </row>
        <row r="326">
          <cell r="B326" t="str">
            <v>CO-KE-A01M312</v>
          </cell>
          <cell r="C326" t="str">
            <v>CO-A01M312</v>
          </cell>
          <cell r="D326" t="str">
            <v>CO-KE</v>
          </cell>
          <cell r="E326" t="str">
            <v>DIV-CO-KE</v>
          </cell>
          <cell r="F326" t="str">
            <v>DIV-KE</v>
          </cell>
          <cell r="G326" t="str">
            <v>A01M312</v>
          </cell>
          <cell r="H326" t="str">
            <v>DIV</v>
          </cell>
          <cell r="I326">
            <v>2001</v>
          </cell>
          <cell r="J326" t="str">
            <v>I</v>
          </cell>
          <cell r="K326" t="str">
            <v>CO</v>
          </cell>
          <cell r="L326" t="str">
            <v>KE</v>
          </cell>
          <cell r="Y326">
            <v>0</v>
          </cell>
          <cell r="Z326">
            <v>0</v>
          </cell>
          <cell r="AA326">
            <v>0</v>
          </cell>
          <cell r="AB326">
            <v>0</v>
          </cell>
          <cell r="AC326">
            <v>0</v>
          </cell>
          <cell r="AD326">
            <v>0</v>
          </cell>
          <cell r="AE326">
            <v>0</v>
          </cell>
          <cell r="AF326">
            <v>0</v>
          </cell>
        </row>
        <row r="327">
          <cell r="B327" t="str">
            <v>CO-KN-A01M312</v>
          </cell>
          <cell r="C327" t="str">
            <v>CO-A01M312</v>
          </cell>
          <cell r="D327" t="str">
            <v>CO-KN</v>
          </cell>
          <cell r="E327" t="str">
            <v>DIV-CO-KN</v>
          </cell>
          <cell r="F327" t="str">
            <v>DIV-KN</v>
          </cell>
          <cell r="G327" t="str">
            <v>A01M312</v>
          </cell>
          <cell r="H327" t="str">
            <v>DIV</v>
          </cell>
          <cell r="I327">
            <v>2001</v>
          </cell>
          <cell r="J327" t="str">
            <v>I</v>
          </cell>
          <cell r="K327" t="str">
            <v>CO</v>
          </cell>
          <cell r="L327" t="str">
            <v>KN</v>
          </cell>
          <cell r="T327">
            <v>19.5</v>
          </cell>
          <cell r="U327">
            <v>28.4</v>
          </cell>
          <cell r="Y327">
            <v>0</v>
          </cell>
          <cell r="Z327">
            <v>47.9</v>
          </cell>
          <cell r="AA327">
            <v>0</v>
          </cell>
          <cell r="AB327">
            <v>47.9</v>
          </cell>
          <cell r="AC327">
            <v>0</v>
          </cell>
          <cell r="AD327">
            <v>0</v>
          </cell>
          <cell r="AE327">
            <v>47.9</v>
          </cell>
          <cell r="AF327">
            <v>0</v>
          </cell>
        </row>
        <row r="328">
          <cell r="B328" t="str">
            <v>IN-KE-A01M312</v>
          </cell>
          <cell r="C328" t="str">
            <v>IN-A01M312</v>
          </cell>
          <cell r="D328" t="str">
            <v>IN-KE</v>
          </cell>
          <cell r="E328" t="str">
            <v>DIV-IN-KE</v>
          </cell>
          <cell r="F328" t="str">
            <v>DIV-KE</v>
          </cell>
          <cell r="G328" t="str">
            <v>A01M312</v>
          </cell>
          <cell r="H328" t="str">
            <v>DIV</v>
          </cell>
          <cell r="I328">
            <v>2001</v>
          </cell>
          <cell r="J328" t="str">
            <v>I</v>
          </cell>
          <cell r="K328" t="str">
            <v>IN</v>
          </cell>
          <cell r="L328" t="str">
            <v>KE</v>
          </cell>
          <cell r="Y328">
            <v>0</v>
          </cell>
          <cell r="Z328">
            <v>0</v>
          </cell>
          <cell r="AA328">
            <v>0</v>
          </cell>
          <cell r="AB328">
            <v>0</v>
          </cell>
          <cell r="AC328">
            <v>0</v>
          </cell>
          <cell r="AD328">
            <v>0</v>
          </cell>
          <cell r="AE328">
            <v>0</v>
          </cell>
          <cell r="AF328">
            <v>0</v>
          </cell>
        </row>
        <row r="329">
          <cell r="B329" t="str">
            <v>IN-KN-A01M312</v>
          </cell>
          <cell r="C329" t="str">
            <v>IN-A01M312</v>
          </cell>
          <cell r="D329" t="str">
            <v>IN-KN</v>
          </cell>
          <cell r="E329" t="str">
            <v>DIV-IN-KN</v>
          </cell>
          <cell r="F329" t="str">
            <v>DIV-KN</v>
          </cell>
          <cell r="G329" t="str">
            <v>A01M312</v>
          </cell>
          <cell r="H329" t="str">
            <v>DIV</v>
          </cell>
          <cell r="I329">
            <v>2001</v>
          </cell>
          <cell r="J329" t="str">
            <v>I</v>
          </cell>
          <cell r="K329" t="str">
            <v>IN</v>
          </cell>
          <cell r="L329" t="str">
            <v>KN</v>
          </cell>
          <cell r="Q329">
            <v>3</v>
          </cell>
          <cell r="R329">
            <v>6.1</v>
          </cell>
          <cell r="S329">
            <v>2.8</v>
          </cell>
          <cell r="T329">
            <v>3.2</v>
          </cell>
          <cell r="U329">
            <v>4.5</v>
          </cell>
          <cell r="Y329">
            <v>0</v>
          </cell>
          <cell r="Z329">
            <v>19.599999999999998</v>
          </cell>
          <cell r="AA329">
            <v>0</v>
          </cell>
          <cell r="AB329">
            <v>19.599999999999998</v>
          </cell>
          <cell r="AC329">
            <v>11.899999999999999</v>
          </cell>
          <cell r="AD329">
            <v>11.899999999999999</v>
          </cell>
          <cell r="AE329">
            <v>7.6999999999999993</v>
          </cell>
          <cell r="AF329">
            <v>-1.52971497688</v>
          </cell>
        </row>
        <row r="330">
          <cell r="B330" t="str">
            <v>AD-KE-A01M317</v>
          </cell>
          <cell r="C330" t="str">
            <v>AD-A01M317</v>
          </cell>
          <cell r="D330" t="str">
            <v>AD-KE</v>
          </cell>
          <cell r="E330" t="str">
            <v>DIV-AD-KE</v>
          </cell>
          <cell r="F330" t="str">
            <v>DIV-KE</v>
          </cell>
          <cell r="G330" t="str">
            <v>A01M317</v>
          </cell>
          <cell r="H330" t="str">
            <v>DIV</v>
          </cell>
          <cell r="I330">
            <v>2001</v>
          </cell>
          <cell r="J330" t="str">
            <v>I</v>
          </cell>
          <cell r="K330" t="str">
            <v>AD</v>
          </cell>
          <cell r="L330" t="str">
            <v>KE</v>
          </cell>
          <cell r="Y330">
            <v>0</v>
          </cell>
          <cell r="Z330">
            <v>0</v>
          </cell>
          <cell r="AA330">
            <v>0</v>
          </cell>
          <cell r="AB330">
            <v>0</v>
          </cell>
          <cell r="AC330">
            <v>0</v>
          </cell>
          <cell r="AD330">
            <v>0</v>
          </cell>
          <cell r="AE330">
            <v>0</v>
          </cell>
          <cell r="AF330">
            <v>0</v>
          </cell>
        </row>
        <row r="331">
          <cell r="B331" t="str">
            <v>AD-KN-A01M317</v>
          </cell>
          <cell r="C331" t="str">
            <v>AD-A01M317</v>
          </cell>
          <cell r="D331" t="str">
            <v>AD-KN</v>
          </cell>
          <cell r="E331" t="str">
            <v>DIV-AD-KN</v>
          </cell>
          <cell r="F331" t="str">
            <v>DIV-KN</v>
          </cell>
          <cell r="G331" t="str">
            <v>A01M317</v>
          </cell>
          <cell r="H331" t="str">
            <v>DIV</v>
          </cell>
          <cell r="I331">
            <v>2001</v>
          </cell>
          <cell r="J331" t="str">
            <v>I</v>
          </cell>
          <cell r="K331" t="str">
            <v>AD</v>
          </cell>
          <cell r="L331" t="str">
            <v>KN</v>
          </cell>
          <cell r="U331">
            <v>11.8</v>
          </cell>
          <cell r="V331">
            <v>11.8</v>
          </cell>
          <cell r="X331">
            <v>2.4</v>
          </cell>
          <cell r="Y331">
            <v>0</v>
          </cell>
          <cell r="Z331">
            <v>26</v>
          </cell>
          <cell r="AA331">
            <v>0</v>
          </cell>
          <cell r="AB331">
            <v>26</v>
          </cell>
          <cell r="AC331">
            <v>0</v>
          </cell>
          <cell r="AD331">
            <v>0</v>
          </cell>
          <cell r="AE331">
            <v>26</v>
          </cell>
          <cell r="AF331">
            <v>0</v>
          </cell>
        </row>
        <row r="332">
          <cell r="B332" t="str">
            <v>CO-KE-A01M317</v>
          </cell>
          <cell r="C332" t="str">
            <v>CO-A01M317</v>
          </cell>
          <cell r="D332" t="str">
            <v>CO-KE</v>
          </cell>
          <cell r="E332" t="str">
            <v>DIV-CO-KE</v>
          </cell>
          <cell r="F332" t="str">
            <v>DIV-KE</v>
          </cell>
          <cell r="G332" t="str">
            <v>A01M317</v>
          </cell>
          <cell r="H332" t="str">
            <v>DIV</v>
          </cell>
          <cell r="I332">
            <v>2001</v>
          </cell>
          <cell r="J332" t="str">
            <v>I</v>
          </cell>
          <cell r="K332" t="str">
            <v>CO</v>
          </cell>
          <cell r="L332" t="str">
            <v>KE</v>
          </cell>
          <cell r="Y332">
            <v>0</v>
          </cell>
          <cell r="Z332">
            <v>0</v>
          </cell>
          <cell r="AA332">
            <v>0</v>
          </cell>
          <cell r="AB332">
            <v>0</v>
          </cell>
          <cell r="AC332">
            <v>0</v>
          </cell>
          <cell r="AD332">
            <v>0</v>
          </cell>
          <cell r="AE332">
            <v>0</v>
          </cell>
          <cell r="AF332">
            <v>0</v>
          </cell>
        </row>
        <row r="333">
          <cell r="B333" t="str">
            <v>CO-KN-A01M317</v>
          </cell>
          <cell r="C333" t="str">
            <v>CO-A01M317</v>
          </cell>
          <cell r="D333" t="str">
            <v>CO-KN</v>
          </cell>
          <cell r="E333" t="str">
            <v>DIV-CO-KN</v>
          </cell>
          <cell r="F333" t="str">
            <v>DIV-KN</v>
          </cell>
          <cell r="G333" t="str">
            <v>A01M317</v>
          </cell>
          <cell r="H333" t="str">
            <v>DIV</v>
          </cell>
          <cell r="I333">
            <v>2001</v>
          </cell>
          <cell r="J333" t="str">
            <v>I</v>
          </cell>
          <cell r="K333" t="str">
            <v>CO</v>
          </cell>
          <cell r="L333" t="str">
            <v>KN</v>
          </cell>
          <cell r="U333">
            <v>12.3</v>
          </cell>
          <cell r="V333">
            <v>62</v>
          </cell>
          <cell r="W333">
            <v>19.8</v>
          </cell>
          <cell r="X333">
            <v>9.4</v>
          </cell>
          <cell r="Y333">
            <v>0</v>
          </cell>
          <cell r="Z333">
            <v>103.5</v>
          </cell>
          <cell r="AA333">
            <v>0</v>
          </cell>
          <cell r="AB333">
            <v>103.5</v>
          </cell>
          <cell r="AC333">
            <v>0</v>
          </cell>
          <cell r="AD333">
            <v>0</v>
          </cell>
          <cell r="AE333">
            <v>103.5</v>
          </cell>
          <cell r="AF333">
            <v>0</v>
          </cell>
        </row>
        <row r="334">
          <cell r="B334" t="str">
            <v>IN-KE-A01M317</v>
          </cell>
          <cell r="C334" t="str">
            <v>IN-A01M317</v>
          </cell>
          <cell r="D334" t="str">
            <v>IN-KE</v>
          </cell>
          <cell r="E334" t="str">
            <v>DIV-IN-KE</v>
          </cell>
          <cell r="F334" t="str">
            <v>DIV-KE</v>
          </cell>
          <cell r="G334" t="str">
            <v>A01M317</v>
          </cell>
          <cell r="H334" t="str">
            <v>DIV</v>
          </cell>
          <cell r="I334">
            <v>2001</v>
          </cell>
          <cell r="J334" t="str">
            <v>I</v>
          </cell>
          <cell r="K334" t="str">
            <v>IN</v>
          </cell>
          <cell r="L334" t="str">
            <v>KE</v>
          </cell>
          <cell r="Y334">
            <v>0</v>
          </cell>
          <cell r="Z334">
            <v>0</v>
          </cell>
          <cell r="AA334">
            <v>0</v>
          </cell>
          <cell r="AB334">
            <v>0</v>
          </cell>
          <cell r="AC334">
            <v>0</v>
          </cell>
          <cell r="AD334">
            <v>0</v>
          </cell>
          <cell r="AE334">
            <v>0</v>
          </cell>
          <cell r="AF334">
            <v>0</v>
          </cell>
        </row>
        <row r="335">
          <cell r="B335" t="str">
            <v>IN-KN-A01M317</v>
          </cell>
          <cell r="C335" t="str">
            <v>IN-A01M317</v>
          </cell>
          <cell r="D335" t="str">
            <v>IN-KN</v>
          </cell>
          <cell r="E335" t="str">
            <v>DIV-IN-KN</v>
          </cell>
          <cell r="F335" t="str">
            <v>DIV-KN</v>
          </cell>
          <cell r="G335" t="str">
            <v>A01M317</v>
          </cell>
          <cell r="H335" t="str">
            <v>DIV</v>
          </cell>
          <cell r="I335">
            <v>2001</v>
          </cell>
          <cell r="J335" t="str">
            <v>I</v>
          </cell>
          <cell r="K335" t="str">
            <v>IN</v>
          </cell>
          <cell r="L335" t="str">
            <v>KN</v>
          </cell>
          <cell r="S335">
            <v>3.1</v>
          </cell>
          <cell r="T335">
            <v>7.4</v>
          </cell>
          <cell r="U335">
            <v>4.8</v>
          </cell>
          <cell r="V335">
            <v>2.6</v>
          </cell>
          <cell r="W335">
            <v>2.1</v>
          </cell>
          <cell r="X335">
            <v>5</v>
          </cell>
          <cell r="Y335">
            <v>0</v>
          </cell>
          <cell r="Z335">
            <v>25.000000000000004</v>
          </cell>
          <cell r="AA335">
            <v>0</v>
          </cell>
          <cell r="AB335">
            <v>25.000000000000004</v>
          </cell>
          <cell r="AC335">
            <v>3.1</v>
          </cell>
          <cell r="AD335">
            <v>3.1</v>
          </cell>
          <cell r="AE335">
            <v>21.900000000000002</v>
          </cell>
          <cell r="AF335">
            <v>-0.59333212352000009</v>
          </cell>
        </row>
        <row r="336">
          <cell r="B336" t="str">
            <v>AD-KE-A01M321</v>
          </cell>
          <cell r="C336" t="str">
            <v>AD-A01M321</v>
          </cell>
          <cell r="D336" t="str">
            <v>AD-KE</v>
          </cell>
          <cell r="E336" t="str">
            <v>DIV-AD-KE</v>
          </cell>
          <cell r="F336" t="str">
            <v>DIV-KE</v>
          </cell>
          <cell r="G336" t="str">
            <v>A01M321</v>
          </cell>
          <cell r="H336" t="str">
            <v>DIV</v>
          </cell>
          <cell r="I336">
            <v>2001</v>
          </cell>
          <cell r="J336" t="str">
            <v>I</v>
          </cell>
          <cell r="K336" t="str">
            <v>AD</v>
          </cell>
          <cell r="L336" t="str">
            <v>KE</v>
          </cell>
          <cell r="Y336">
            <v>0</v>
          </cell>
          <cell r="Z336">
            <v>0</v>
          </cell>
          <cell r="AA336">
            <v>0</v>
          </cell>
          <cell r="AB336">
            <v>0</v>
          </cell>
          <cell r="AC336">
            <v>0</v>
          </cell>
          <cell r="AD336">
            <v>0</v>
          </cell>
          <cell r="AE336">
            <v>0</v>
          </cell>
          <cell r="AF336">
            <v>0</v>
          </cell>
        </row>
        <row r="337">
          <cell r="B337" t="str">
            <v>AD-KN-A01M321</v>
          </cell>
          <cell r="C337" t="str">
            <v>AD-A01M321</v>
          </cell>
          <cell r="D337" t="str">
            <v>AD-KN</v>
          </cell>
          <cell r="E337" t="str">
            <v>DIV-AD-KN</v>
          </cell>
          <cell r="F337" t="str">
            <v>DIV-KN</v>
          </cell>
          <cell r="G337" t="str">
            <v>A01M321</v>
          </cell>
          <cell r="H337" t="str">
            <v>DIV</v>
          </cell>
          <cell r="I337">
            <v>2001</v>
          </cell>
          <cell r="J337" t="str">
            <v>I</v>
          </cell>
          <cell r="K337" t="str">
            <v>AD</v>
          </cell>
          <cell r="L337" t="str">
            <v>KN</v>
          </cell>
          <cell r="Q337">
            <v>10</v>
          </cell>
          <cell r="R337">
            <v>31</v>
          </cell>
          <cell r="S337">
            <v>42</v>
          </cell>
          <cell r="T337">
            <v>45</v>
          </cell>
          <cell r="U337">
            <v>51</v>
          </cell>
          <cell r="V337">
            <v>44</v>
          </cell>
          <cell r="W337">
            <v>25</v>
          </cell>
          <cell r="Y337">
            <v>0</v>
          </cell>
          <cell r="Z337">
            <v>248</v>
          </cell>
          <cell r="AA337">
            <v>0</v>
          </cell>
          <cell r="AB337">
            <v>248</v>
          </cell>
          <cell r="AC337">
            <v>83</v>
          </cell>
          <cell r="AD337">
            <v>83</v>
          </cell>
          <cell r="AE337">
            <v>165</v>
          </cell>
          <cell r="AF337">
            <v>-12.5879570056</v>
          </cell>
        </row>
        <row r="338">
          <cell r="B338" t="str">
            <v>CO-KE-A01M321</v>
          </cell>
          <cell r="C338" t="str">
            <v>CO-A01M321</v>
          </cell>
          <cell r="D338" t="str">
            <v>CO-KE</v>
          </cell>
          <cell r="E338" t="str">
            <v>DIV-CO-KE</v>
          </cell>
          <cell r="F338" t="str">
            <v>DIV-KE</v>
          </cell>
          <cell r="G338" t="str">
            <v>A01M321</v>
          </cell>
          <cell r="H338" t="str">
            <v>DIV</v>
          </cell>
          <cell r="I338">
            <v>2001</v>
          </cell>
          <cell r="J338" t="str">
            <v>I</v>
          </cell>
          <cell r="K338" t="str">
            <v>CO</v>
          </cell>
          <cell r="L338" t="str">
            <v>KE</v>
          </cell>
          <cell r="Y338">
            <v>0</v>
          </cell>
          <cell r="Z338">
            <v>0</v>
          </cell>
          <cell r="AA338">
            <v>0</v>
          </cell>
          <cell r="AB338">
            <v>0</v>
          </cell>
          <cell r="AC338">
            <v>0</v>
          </cell>
          <cell r="AD338">
            <v>0</v>
          </cell>
          <cell r="AE338">
            <v>0</v>
          </cell>
          <cell r="AF338">
            <v>0</v>
          </cell>
        </row>
        <row r="339">
          <cell r="B339" t="str">
            <v>CO-KN-A01M321</v>
          </cell>
          <cell r="C339" t="str">
            <v>CO-A01M321</v>
          </cell>
          <cell r="D339" t="str">
            <v>CO-KN</v>
          </cell>
          <cell r="E339" t="str">
            <v>DIV-CO-KN</v>
          </cell>
          <cell r="F339" t="str">
            <v>DIV-KN</v>
          </cell>
          <cell r="G339" t="str">
            <v>A01M321</v>
          </cell>
          <cell r="H339" t="str">
            <v>DIV</v>
          </cell>
          <cell r="I339">
            <v>2001</v>
          </cell>
          <cell r="J339" t="str">
            <v>I</v>
          </cell>
          <cell r="K339" t="str">
            <v>CO</v>
          </cell>
          <cell r="L339" t="str">
            <v>KN</v>
          </cell>
          <cell r="R339">
            <v>24</v>
          </cell>
          <cell r="S339">
            <v>31</v>
          </cell>
          <cell r="T339">
            <v>32</v>
          </cell>
          <cell r="U339">
            <v>32</v>
          </cell>
          <cell r="V339">
            <v>22</v>
          </cell>
          <cell r="W339">
            <v>10</v>
          </cell>
          <cell r="X339">
            <v>21</v>
          </cell>
          <cell r="Y339">
            <v>0</v>
          </cell>
          <cell r="Z339">
            <v>172</v>
          </cell>
          <cell r="AA339">
            <v>0</v>
          </cell>
          <cell r="AB339">
            <v>172</v>
          </cell>
          <cell r="AC339">
            <v>55</v>
          </cell>
          <cell r="AD339">
            <v>55</v>
          </cell>
          <cell r="AE339">
            <v>117</v>
          </cell>
          <cell r="AF339">
            <v>-8.7156489199999996</v>
          </cell>
        </row>
        <row r="340">
          <cell r="B340" t="str">
            <v>IN-KE-A01M321</v>
          </cell>
          <cell r="C340" t="str">
            <v>IN-A01M321</v>
          </cell>
          <cell r="D340" t="str">
            <v>IN-KE</v>
          </cell>
          <cell r="E340" t="str">
            <v>DIV-IN-KE</v>
          </cell>
          <cell r="F340" t="str">
            <v>DIV-KE</v>
          </cell>
          <cell r="G340" t="str">
            <v>A01M321</v>
          </cell>
          <cell r="H340" t="str">
            <v>DIV</v>
          </cell>
          <cell r="I340">
            <v>2001</v>
          </cell>
          <cell r="J340" t="str">
            <v>I</v>
          </cell>
          <cell r="K340" t="str">
            <v>IN</v>
          </cell>
          <cell r="L340" t="str">
            <v>KE</v>
          </cell>
          <cell r="Y340">
            <v>0</v>
          </cell>
          <cell r="Z340">
            <v>0</v>
          </cell>
          <cell r="AA340">
            <v>0</v>
          </cell>
          <cell r="AB340">
            <v>0</v>
          </cell>
          <cell r="AC340">
            <v>0</v>
          </cell>
          <cell r="AD340">
            <v>0</v>
          </cell>
          <cell r="AE340">
            <v>0</v>
          </cell>
          <cell r="AF340">
            <v>0</v>
          </cell>
        </row>
        <row r="341">
          <cell r="B341" t="str">
            <v>IN-KN-A01M321</v>
          </cell>
          <cell r="C341" t="str">
            <v>IN-A01M321</v>
          </cell>
          <cell r="D341" t="str">
            <v>IN-KN</v>
          </cell>
          <cell r="E341" t="str">
            <v>DIV-IN-KN</v>
          </cell>
          <cell r="F341" t="str">
            <v>DIV-KN</v>
          </cell>
          <cell r="G341" t="str">
            <v>A01M321</v>
          </cell>
          <cell r="H341" t="str">
            <v>DIV</v>
          </cell>
          <cell r="I341">
            <v>2001</v>
          </cell>
          <cell r="J341" t="str">
            <v>I</v>
          </cell>
          <cell r="K341" t="str">
            <v>IN</v>
          </cell>
          <cell r="L341" t="str">
            <v>KN</v>
          </cell>
          <cell r="Q341">
            <v>3</v>
          </cell>
          <cell r="R341">
            <v>3</v>
          </cell>
          <cell r="S341">
            <v>8</v>
          </cell>
          <cell r="T341">
            <v>6</v>
          </cell>
          <cell r="U341">
            <v>6</v>
          </cell>
          <cell r="V341">
            <v>6</v>
          </cell>
          <cell r="W341">
            <v>6</v>
          </cell>
          <cell r="X341">
            <v>2</v>
          </cell>
          <cell r="Y341">
            <v>0</v>
          </cell>
          <cell r="Z341">
            <v>40</v>
          </cell>
          <cell r="AA341">
            <v>0</v>
          </cell>
          <cell r="AB341">
            <v>40</v>
          </cell>
          <cell r="AC341">
            <v>14</v>
          </cell>
          <cell r="AD341">
            <v>14</v>
          </cell>
          <cell r="AE341">
            <v>26</v>
          </cell>
          <cell r="AF341">
            <v>-2.1655977720999999</v>
          </cell>
        </row>
        <row r="342">
          <cell r="B342" t="str">
            <v>AD-KE-A01M322</v>
          </cell>
          <cell r="C342" t="str">
            <v>AD-A01M322</v>
          </cell>
          <cell r="D342" t="str">
            <v>AD-KE</v>
          </cell>
          <cell r="E342" t="str">
            <v>DIV-AD-KE</v>
          </cell>
          <cell r="F342" t="str">
            <v>DIV-KE</v>
          </cell>
          <cell r="G342" t="str">
            <v>A01M322</v>
          </cell>
          <cell r="H342" t="str">
            <v>DIV</v>
          </cell>
          <cell r="I342">
            <v>2001</v>
          </cell>
          <cell r="J342" t="str">
            <v>I</v>
          </cell>
          <cell r="K342" t="str">
            <v>AD</v>
          </cell>
          <cell r="L342" t="str">
            <v>KE</v>
          </cell>
          <cell r="Y342">
            <v>0</v>
          </cell>
          <cell r="Z342">
            <v>0</v>
          </cell>
          <cell r="AA342">
            <v>0</v>
          </cell>
          <cell r="AB342">
            <v>0</v>
          </cell>
          <cell r="AC342">
            <v>0</v>
          </cell>
          <cell r="AD342">
            <v>0</v>
          </cell>
          <cell r="AE342">
            <v>0</v>
          </cell>
          <cell r="AF342">
            <v>0</v>
          </cell>
        </row>
        <row r="343">
          <cell r="B343" t="str">
            <v>AD-KN-A01M322</v>
          </cell>
          <cell r="C343" t="str">
            <v>AD-A01M322</v>
          </cell>
          <cell r="D343" t="str">
            <v>AD-KN</v>
          </cell>
          <cell r="E343" t="str">
            <v>DIV-AD-KN</v>
          </cell>
          <cell r="F343" t="str">
            <v>DIV-KN</v>
          </cell>
          <cell r="G343" t="str">
            <v>A01M322</v>
          </cell>
          <cell r="H343" t="str">
            <v>DIV</v>
          </cell>
          <cell r="I343">
            <v>2001</v>
          </cell>
          <cell r="J343" t="str">
            <v>I</v>
          </cell>
          <cell r="K343" t="str">
            <v>AD</v>
          </cell>
          <cell r="L343" t="str">
            <v>KN</v>
          </cell>
          <cell r="Q343">
            <v>23.7</v>
          </cell>
          <cell r="R343">
            <v>71.400000000000006</v>
          </cell>
          <cell r="S343">
            <v>0</v>
          </cell>
          <cell r="T343">
            <v>0</v>
          </cell>
          <cell r="Y343">
            <v>0</v>
          </cell>
          <cell r="Z343">
            <v>95.100000000000009</v>
          </cell>
          <cell r="AA343">
            <v>0</v>
          </cell>
          <cell r="AB343">
            <v>95.100000000000009</v>
          </cell>
          <cell r="AC343">
            <v>95.100000000000009</v>
          </cell>
          <cell r="AD343">
            <v>95.100000000000009</v>
          </cell>
          <cell r="AE343">
            <v>0</v>
          </cell>
          <cell r="AF343">
            <v>-10.541779251690002</v>
          </cell>
        </row>
        <row r="344">
          <cell r="B344" t="str">
            <v>CO-KE-A01M322</v>
          </cell>
          <cell r="C344" t="str">
            <v>CO-A01M322</v>
          </cell>
          <cell r="D344" t="str">
            <v>CO-KE</v>
          </cell>
          <cell r="E344" t="str">
            <v>DIV-CO-KE</v>
          </cell>
          <cell r="F344" t="str">
            <v>DIV-KE</v>
          </cell>
          <cell r="G344" t="str">
            <v>A01M322</v>
          </cell>
          <cell r="H344" t="str">
            <v>DIV</v>
          </cell>
          <cell r="I344">
            <v>2001</v>
          </cell>
          <cell r="J344" t="str">
            <v>I</v>
          </cell>
          <cell r="K344" t="str">
            <v>CO</v>
          </cell>
          <cell r="L344" t="str">
            <v>KE</v>
          </cell>
          <cell r="Y344">
            <v>0</v>
          </cell>
          <cell r="Z344">
            <v>0</v>
          </cell>
          <cell r="AA344">
            <v>0</v>
          </cell>
          <cell r="AB344">
            <v>0</v>
          </cell>
          <cell r="AC344">
            <v>0</v>
          </cell>
          <cell r="AD344">
            <v>0</v>
          </cell>
          <cell r="AE344">
            <v>0</v>
          </cell>
          <cell r="AF344">
            <v>0</v>
          </cell>
        </row>
        <row r="345">
          <cell r="B345" t="str">
            <v>CO-KN-A01M322</v>
          </cell>
          <cell r="C345" t="str">
            <v>CO-A01M322</v>
          </cell>
          <cell r="D345" t="str">
            <v>CO-KN</v>
          </cell>
          <cell r="E345" t="str">
            <v>DIV-CO-KN</v>
          </cell>
          <cell r="F345" t="str">
            <v>DIV-KN</v>
          </cell>
          <cell r="G345" t="str">
            <v>A01M322</v>
          </cell>
          <cell r="H345" t="str">
            <v>DIV</v>
          </cell>
          <cell r="I345">
            <v>2001</v>
          </cell>
          <cell r="J345" t="str">
            <v>I</v>
          </cell>
          <cell r="K345" t="str">
            <v>CO</v>
          </cell>
          <cell r="L345" t="str">
            <v>KN</v>
          </cell>
          <cell r="Q345">
            <v>15.3</v>
          </cell>
          <cell r="R345">
            <v>28.4</v>
          </cell>
          <cell r="S345">
            <v>0.5</v>
          </cell>
          <cell r="T345">
            <v>0.5</v>
          </cell>
          <cell r="U345">
            <v>16.5</v>
          </cell>
          <cell r="V345">
            <v>0.5</v>
          </cell>
          <cell r="Y345">
            <v>0</v>
          </cell>
          <cell r="Z345">
            <v>61.7</v>
          </cell>
          <cell r="AA345">
            <v>0</v>
          </cell>
          <cell r="AB345">
            <v>61.7</v>
          </cell>
          <cell r="AC345">
            <v>44.2</v>
          </cell>
          <cell r="AD345">
            <v>44.2</v>
          </cell>
          <cell r="AE345">
            <v>17.5</v>
          </cell>
          <cell r="AF345">
            <v>-4.8499182265699998</v>
          </cell>
        </row>
        <row r="346">
          <cell r="B346" t="str">
            <v>IN-KE-A01M322</v>
          </cell>
          <cell r="C346" t="str">
            <v>IN-A01M322</v>
          </cell>
          <cell r="D346" t="str">
            <v>IN-KE</v>
          </cell>
          <cell r="E346" t="str">
            <v>DIV-IN-KE</v>
          </cell>
          <cell r="F346" t="str">
            <v>DIV-KE</v>
          </cell>
          <cell r="G346" t="str">
            <v>A01M322</v>
          </cell>
          <cell r="H346" t="str">
            <v>DIV</v>
          </cell>
          <cell r="I346">
            <v>2001</v>
          </cell>
          <cell r="J346" t="str">
            <v>I</v>
          </cell>
          <cell r="K346" t="str">
            <v>IN</v>
          </cell>
          <cell r="L346" t="str">
            <v>KE</v>
          </cell>
          <cell r="Y346">
            <v>0</v>
          </cell>
          <cell r="Z346">
            <v>0</v>
          </cell>
          <cell r="AA346">
            <v>0</v>
          </cell>
          <cell r="AB346">
            <v>0</v>
          </cell>
          <cell r="AC346">
            <v>0</v>
          </cell>
          <cell r="AD346">
            <v>0</v>
          </cell>
          <cell r="AE346">
            <v>0</v>
          </cell>
          <cell r="AF346">
            <v>0</v>
          </cell>
        </row>
        <row r="347">
          <cell r="B347" t="str">
            <v>IN-KN-A01M322</v>
          </cell>
          <cell r="C347" t="str">
            <v>IN-A01M322</v>
          </cell>
          <cell r="D347" t="str">
            <v>IN-KN</v>
          </cell>
          <cell r="E347" t="str">
            <v>DIV-IN-KN</v>
          </cell>
          <cell r="F347" t="str">
            <v>DIV-KN</v>
          </cell>
          <cell r="G347" t="str">
            <v>A01M322</v>
          </cell>
          <cell r="H347" t="str">
            <v>DIV</v>
          </cell>
          <cell r="I347">
            <v>2001</v>
          </cell>
          <cell r="J347" t="str">
            <v>I</v>
          </cell>
          <cell r="K347" t="str">
            <v>IN</v>
          </cell>
          <cell r="L347" t="str">
            <v>KN</v>
          </cell>
          <cell r="Q347">
            <v>2.2000000000000002</v>
          </cell>
          <cell r="R347">
            <v>-0.3</v>
          </cell>
          <cell r="S347">
            <v>2.5</v>
          </cell>
          <cell r="T347">
            <v>1</v>
          </cell>
          <cell r="U347">
            <v>1</v>
          </cell>
          <cell r="V347">
            <v>1</v>
          </cell>
          <cell r="W347">
            <v>2</v>
          </cell>
          <cell r="Y347">
            <v>0</v>
          </cell>
          <cell r="Z347">
            <v>9.4</v>
          </cell>
          <cell r="AA347">
            <v>0</v>
          </cell>
          <cell r="AB347">
            <v>9.4</v>
          </cell>
          <cell r="AC347">
            <v>4.4000000000000004</v>
          </cell>
          <cell r="AD347">
            <v>4.4000000000000004</v>
          </cell>
          <cell r="AE347">
            <v>5</v>
          </cell>
          <cell r="AF347">
            <v>-0.65390778640000002</v>
          </cell>
        </row>
        <row r="348">
          <cell r="B348" t="str">
            <v>AD-KE-A01M323</v>
          </cell>
          <cell r="C348" t="str">
            <v>AD-A01M323</v>
          </cell>
          <cell r="D348" t="str">
            <v>AD-KE</v>
          </cell>
          <cell r="E348" t="str">
            <v>DIV-AD-KE</v>
          </cell>
          <cell r="F348" t="str">
            <v>DIV-KE</v>
          </cell>
          <cell r="G348" t="str">
            <v>A01M323</v>
          </cell>
          <cell r="H348" t="str">
            <v>DIV</v>
          </cell>
          <cell r="I348">
            <v>2001</v>
          </cell>
          <cell r="J348" t="str">
            <v>I</v>
          </cell>
          <cell r="K348" t="str">
            <v>AD</v>
          </cell>
          <cell r="L348" t="str">
            <v>KE</v>
          </cell>
          <cell r="Y348">
            <v>0</v>
          </cell>
          <cell r="Z348">
            <v>0</v>
          </cell>
          <cell r="AA348">
            <v>0</v>
          </cell>
          <cell r="AB348">
            <v>0</v>
          </cell>
          <cell r="AC348">
            <v>0</v>
          </cell>
          <cell r="AD348">
            <v>0</v>
          </cell>
          <cell r="AE348">
            <v>0</v>
          </cell>
          <cell r="AF348">
            <v>0</v>
          </cell>
        </row>
        <row r="349">
          <cell r="B349" t="str">
            <v>AD-KN-A01M323</v>
          </cell>
          <cell r="C349" t="str">
            <v>AD-A01M323</v>
          </cell>
          <cell r="D349" t="str">
            <v>AD-KN</v>
          </cell>
          <cell r="E349" t="str">
            <v>DIV-AD-KN</v>
          </cell>
          <cell r="F349" t="str">
            <v>DIV-KN</v>
          </cell>
          <cell r="G349" t="str">
            <v>A01M323</v>
          </cell>
          <cell r="H349" t="str">
            <v>DIV</v>
          </cell>
          <cell r="I349">
            <v>2001</v>
          </cell>
          <cell r="J349" t="str">
            <v>I</v>
          </cell>
          <cell r="K349" t="str">
            <v>AD</v>
          </cell>
          <cell r="L349" t="str">
            <v>KN</v>
          </cell>
          <cell r="Y349">
            <v>0</v>
          </cell>
          <cell r="Z349">
            <v>0</v>
          </cell>
          <cell r="AA349">
            <v>0</v>
          </cell>
          <cell r="AB349">
            <v>0</v>
          </cell>
          <cell r="AC349">
            <v>0</v>
          </cell>
          <cell r="AD349">
            <v>0</v>
          </cell>
          <cell r="AE349">
            <v>0</v>
          </cell>
          <cell r="AF349">
            <v>0</v>
          </cell>
        </row>
        <row r="350">
          <cell r="B350" t="str">
            <v>CO-KE-A01M323</v>
          </cell>
          <cell r="C350" t="str">
            <v>CO-A01M323</v>
          </cell>
          <cell r="D350" t="str">
            <v>CO-KE</v>
          </cell>
          <cell r="E350" t="str">
            <v>DIV-CO-KE</v>
          </cell>
          <cell r="F350" t="str">
            <v>DIV-KE</v>
          </cell>
          <cell r="G350" t="str">
            <v>A01M323</v>
          </cell>
          <cell r="H350" t="str">
            <v>DIV</v>
          </cell>
          <cell r="I350">
            <v>2001</v>
          </cell>
          <cell r="J350" t="str">
            <v>I</v>
          </cell>
          <cell r="K350" t="str">
            <v>CO</v>
          </cell>
          <cell r="L350" t="str">
            <v>KE</v>
          </cell>
          <cell r="Y350">
            <v>0</v>
          </cell>
          <cell r="Z350">
            <v>0</v>
          </cell>
          <cell r="AA350">
            <v>0</v>
          </cell>
          <cell r="AB350">
            <v>0</v>
          </cell>
          <cell r="AC350">
            <v>0</v>
          </cell>
          <cell r="AD350">
            <v>0</v>
          </cell>
          <cell r="AE350">
            <v>0</v>
          </cell>
          <cell r="AF350">
            <v>0</v>
          </cell>
        </row>
        <row r="351">
          <cell r="B351" t="str">
            <v>CO-KN-A01M323</v>
          </cell>
          <cell r="C351" t="str">
            <v>CO-A01M323</v>
          </cell>
          <cell r="D351" t="str">
            <v>CO-KN</v>
          </cell>
          <cell r="E351" t="str">
            <v>DIV-CO-KN</v>
          </cell>
          <cell r="F351" t="str">
            <v>DIV-KN</v>
          </cell>
          <cell r="G351" t="str">
            <v>A01M323</v>
          </cell>
          <cell r="H351" t="str">
            <v>DIV</v>
          </cell>
          <cell r="I351">
            <v>2001</v>
          </cell>
          <cell r="J351" t="str">
            <v>I</v>
          </cell>
          <cell r="K351" t="str">
            <v>CO</v>
          </cell>
          <cell r="L351" t="str">
            <v>KN</v>
          </cell>
          <cell r="R351">
            <v>60.9</v>
          </cell>
          <cell r="S351">
            <v>0</v>
          </cell>
          <cell r="T351">
            <v>13.3</v>
          </cell>
          <cell r="V351">
            <v>20.5</v>
          </cell>
          <cell r="W351">
            <v>32.4</v>
          </cell>
          <cell r="Y351">
            <v>0</v>
          </cell>
          <cell r="Z351">
            <v>127.1</v>
          </cell>
          <cell r="AA351">
            <v>0</v>
          </cell>
          <cell r="AB351">
            <v>127.1</v>
          </cell>
          <cell r="AC351">
            <v>60.9</v>
          </cell>
          <cell r="AD351">
            <v>60.9</v>
          </cell>
          <cell r="AE351">
            <v>66.199999999999989</v>
          </cell>
          <cell r="AF351">
            <v>-7.0601565001800006</v>
          </cell>
        </row>
        <row r="352">
          <cell r="B352" t="str">
            <v>IN-KE-A01M323</v>
          </cell>
          <cell r="C352" t="str">
            <v>IN-A01M323</v>
          </cell>
          <cell r="D352" t="str">
            <v>IN-KE</v>
          </cell>
          <cell r="E352" t="str">
            <v>DIV-IN-KE</v>
          </cell>
          <cell r="F352" t="str">
            <v>DIV-KE</v>
          </cell>
          <cell r="G352" t="str">
            <v>A01M323</v>
          </cell>
          <cell r="H352" t="str">
            <v>DIV</v>
          </cell>
          <cell r="I352">
            <v>2001</v>
          </cell>
          <cell r="J352" t="str">
            <v>I</v>
          </cell>
          <cell r="K352" t="str">
            <v>IN</v>
          </cell>
          <cell r="L352" t="str">
            <v>KE</v>
          </cell>
          <cell r="Y352">
            <v>0</v>
          </cell>
          <cell r="Z352">
            <v>0</v>
          </cell>
          <cell r="AA352">
            <v>0</v>
          </cell>
          <cell r="AB352">
            <v>0</v>
          </cell>
          <cell r="AC352">
            <v>0</v>
          </cell>
          <cell r="AD352">
            <v>0</v>
          </cell>
          <cell r="AE352">
            <v>0</v>
          </cell>
          <cell r="AF352">
            <v>0</v>
          </cell>
        </row>
        <row r="353">
          <cell r="B353" t="str">
            <v>IN-KN-A01M323</v>
          </cell>
          <cell r="C353" t="str">
            <v>IN-A01M323</v>
          </cell>
          <cell r="D353" t="str">
            <v>IN-KN</v>
          </cell>
          <cell r="E353" t="str">
            <v>DIV-IN-KN</v>
          </cell>
          <cell r="F353" t="str">
            <v>DIV-KN</v>
          </cell>
          <cell r="G353" t="str">
            <v>A01M323</v>
          </cell>
          <cell r="H353" t="str">
            <v>DIV</v>
          </cell>
          <cell r="I353">
            <v>2001</v>
          </cell>
          <cell r="J353" t="str">
            <v>I</v>
          </cell>
          <cell r="K353" t="str">
            <v>IN</v>
          </cell>
          <cell r="L353" t="str">
            <v>KN</v>
          </cell>
          <cell r="R353">
            <v>19</v>
          </cell>
          <cell r="S353">
            <v>1.5</v>
          </cell>
          <cell r="T353">
            <v>1.2</v>
          </cell>
          <cell r="V353">
            <v>3.3</v>
          </cell>
          <cell r="W353">
            <v>3.4</v>
          </cell>
          <cell r="Y353">
            <v>0</v>
          </cell>
          <cell r="Z353">
            <v>28.4</v>
          </cell>
          <cell r="AA353">
            <v>0</v>
          </cell>
          <cell r="AB353">
            <v>28.4</v>
          </cell>
          <cell r="AC353">
            <v>20.5</v>
          </cell>
          <cell r="AD353">
            <v>20.5</v>
          </cell>
          <cell r="AE353">
            <v>7.8999999999999986</v>
          </cell>
          <cell r="AF353">
            <v>-2.4897722726000002</v>
          </cell>
        </row>
        <row r="354">
          <cell r="B354" t="str">
            <v>AD-KE-A01MDIVI</v>
          </cell>
          <cell r="C354" t="str">
            <v>AD-A01MDIVI</v>
          </cell>
          <cell r="D354" t="str">
            <v>AD-KE</v>
          </cell>
          <cell r="E354" t="str">
            <v>DIV-AD-KE</v>
          </cell>
          <cell r="F354" t="str">
            <v>DIV-KE</v>
          </cell>
          <cell r="G354" t="str">
            <v>A01MDIVI</v>
          </cell>
          <cell r="H354" t="str">
            <v>DIV</v>
          </cell>
          <cell r="I354">
            <v>2001</v>
          </cell>
          <cell r="J354" t="str">
            <v>I</v>
          </cell>
          <cell r="K354" t="str">
            <v>AD</v>
          </cell>
          <cell r="L354" t="str">
            <v>KE</v>
          </cell>
          <cell r="Z354">
            <v>0</v>
          </cell>
          <cell r="AA354">
            <v>0</v>
          </cell>
          <cell r="AB354">
            <v>0</v>
          </cell>
          <cell r="AC354">
            <v>0</v>
          </cell>
          <cell r="AD354">
            <v>0</v>
          </cell>
          <cell r="AE354">
            <v>0</v>
          </cell>
          <cell r="AF354">
            <v>0</v>
          </cell>
        </row>
        <row r="355">
          <cell r="B355" t="str">
            <v>AD-KN-A01MDIVI</v>
          </cell>
          <cell r="C355" t="str">
            <v>AD-A01MDIVI</v>
          </cell>
          <cell r="D355" t="str">
            <v>AD-KN</v>
          </cell>
          <cell r="E355" t="str">
            <v>DIV-AD-KN</v>
          </cell>
          <cell r="F355" t="str">
            <v>DIV-KN</v>
          </cell>
          <cell r="G355" t="str">
            <v>A01MDIVI</v>
          </cell>
          <cell r="H355" t="str">
            <v>DIV</v>
          </cell>
          <cell r="I355">
            <v>2001</v>
          </cell>
          <cell r="J355" t="str">
            <v>I</v>
          </cell>
          <cell r="K355" t="str">
            <v>AD</v>
          </cell>
          <cell r="L355" t="str">
            <v>KN</v>
          </cell>
          <cell r="Z355">
            <v>0</v>
          </cell>
          <cell r="AA355">
            <v>0</v>
          </cell>
          <cell r="AB355">
            <v>0</v>
          </cell>
          <cell r="AC355">
            <v>0</v>
          </cell>
          <cell r="AD355">
            <v>0</v>
          </cell>
          <cell r="AE355">
            <v>0</v>
          </cell>
          <cell r="AF355">
            <v>0</v>
          </cell>
        </row>
        <row r="356">
          <cell r="B356" t="str">
            <v>CO-KE-A01MDIVI</v>
          </cell>
          <cell r="C356" t="str">
            <v>CO-A01MDIVI</v>
          </cell>
          <cell r="D356" t="str">
            <v>CO-KE</v>
          </cell>
          <cell r="E356" t="str">
            <v>DIV-CO-KE</v>
          </cell>
          <cell r="F356" t="str">
            <v>DIV-KE</v>
          </cell>
          <cell r="G356" t="str">
            <v>A01MDIVI</v>
          </cell>
          <cell r="H356" t="str">
            <v>DIV</v>
          </cell>
          <cell r="I356">
            <v>2001</v>
          </cell>
          <cell r="J356" t="str">
            <v>I</v>
          </cell>
          <cell r="K356" t="str">
            <v>CO</v>
          </cell>
          <cell r="L356" t="str">
            <v>KE</v>
          </cell>
          <cell r="Z356">
            <v>0</v>
          </cell>
          <cell r="AA356">
            <v>0</v>
          </cell>
          <cell r="AB356">
            <v>0</v>
          </cell>
          <cell r="AC356">
            <v>0</v>
          </cell>
          <cell r="AD356">
            <v>0</v>
          </cell>
          <cell r="AE356">
            <v>0</v>
          </cell>
          <cell r="AF356">
            <v>0</v>
          </cell>
        </row>
        <row r="357">
          <cell r="B357" t="str">
            <v>CO-KN-A01MDIVI</v>
          </cell>
          <cell r="C357" t="str">
            <v>CO-A01MDIVI</v>
          </cell>
          <cell r="D357" t="str">
            <v>CO-KN</v>
          </cell>
          <cell r="E357" t="str">
            <v>DIV-CO-KN</v>
          </cell>
          <cell r="F357" t="str">
            <v>DIV-KN</v>
          </cell>
          <cell r="G357" t="str">
            <v>A01MDIVI</v>
          </cell>
          <cell r="H357" t="str">
            <v>DIV</v>
          </cell>
          <cell r="I357">
            <v>2001</v>
          </cell>
          <cell r="J357" t="str">
            <v>I</v>
          </cell>
          <cell r="K357" t="str">
            <v>CO</v>
          </cell>
          <cell r="L357" t="str">
            <v>KN</v>
          </cell>
          <cell r="U357">
            <v>260</v>
          </cell>
          <cell r="V357">
            <v>325</v>
          </cell>
          <cell r="W357">
            <v>325</v>
          </cell>
          <cell r="X357">
            <v>390</v>
          </cell>
          <cell r="Z357">
            <v>1300</v>
          </cell>
          <cell r="AA357">
            <v>0</v>
          </cell>
          <cell r="AB357">
            <v>1300</v>
          </cell>
          <cell r="AC357">
            <v>0</v>
          </cell>
          <cell r="AD357">
            <v>0</v>
          </cell>
          <cell r="AE357">
            <v>1300</v>
          </cell>
          <cell r="AF357">
            <v>0</v>
          </cell>
        </row>
        <row r="358">
          <cell r="B358" t="str">
            <v>IN-KE-A01MDIVI</v>
          </cell>
          <cell r="C358" t="str">
            <v>IN-A01MDIVI</v>
          </cell>
          <cell r="D358" t="str">
            <v>IN-KE</v>
          </cell>
          <cell r="E358" t="str">
            <v>DIV-IN-KE</v>
          </cell>
          <cell r="F358" t="str">
            <v>DIV-KE</v>
          </cell>
          <cell r="G358" t="str">
            <v>A01MDIVI</v>
          </cell>
          <cell r="H358" t="str">
            <v>DIV</v>
          </cell>
          <cell r="I358">
            <v>2001</v>
          </cell>
          <cell r="J358" t="str">
            <v>I</v>
          </cell>
          <cell r="K358" t="str">
            <v>IN</v>
          </cell>
          <cell r="L358" t="str">
            <v>KE</v>
          </cell>
          <cell r="Z358">
            <v>0</v>
          </cell>
          <cell r="AA358">
            <v>0</v>
          </cell>
          <cell r="AB358">
            <v>0</v>
          </cell>
          <cell r="AC358">
            <v>0</v>
          </cell>
          <cell r="AD358">
            <v>0</v>
          </cell>
          <cell r="AE358">
            <v>0</v>
          </cell>
          <cell r="AF358">
            <v>0</v>
          </cell>
        </row>
        <row r="359">
          <cell r="B359" t="str">
            <v>IN-KN-A01MDIVI</v>
          </cell>
          <cell r="C359" t="str">
            <v>IN-A01MDIVI</v>
          </cell>
          <cell r="D359" t="str">
            <v>IN-KN</v>
          </cell>
          <cell r="E359" t="str">
            <v>DIV-IN-KN</v>
          </cell>
          <cell r="F359" t="str">
            <v>DIV-KN</v>
          </cell>
          <cell r="G359" t="str">
            <v>A01MDIVI</v>
          </cell>
          <cell r="H359" t="str">
            <v>DIV</v>
          </cell>
          <cell r="I359">
            <v>2001</v>
          </cell>
          <cell r="J359" t="str">
            <v>I</v>
          </cell>
          <cell r="K359" t="str">
            <v>IN</v>
          </cell>
          <cell r="L359" t="str">
            <v>KN</v>
          </cell>
          <cell r="Z359">
            <v>0</v>
          </cell>
          <cell r="AA359">
            <v>0</v>
          </cell>
          <cell r="AB359">
            <v>0</v>
          </cell>
          <cell r="AC359">
            <v>0</v>
          </cell>
          <cell r="AD359">
            <v>0</v>
          </cell>
          <cell r="AE359">
            <v>0</v>
          </cell>
          <cell r="AF359">
            <v>0</v>
          </cell>
        </row>
        <row r="360">
          <cell r="B360" t="str">
            <v>AD-KE-A01MEXT</v>
          </cell>
          <cell r="C360" t="str">
            <v>AD-A01MEXT</v>
          </cell>
          <cell r="D360" t="str">
            <v>AD-KE</v>
          </cell>
          <cell r="E360" t="str">
            <v>EXT-AD-KE</v>
          </cell>
          <cell r="F360" t="str">
            <v>EXT-KE</v>
          </cell>
          <cell r="G360" t="str">
            <v>A01MEXT</v>
          </cell>
          <cell r="H360" t="str">
            <v>EXT</v>
          </cell>
          <cell r="I360">
            <v>2001</v>
          </cell>
          <cell r="J360" t="str">
            <v>I</v>
          </cell>
          <cell r="K360" t="str">
            <v>AD</v>
          </cell>
          <cell r="L360" t="str">
            <v>KE</v>
          </cell>
          <cell r="Z360">
            <v>0</v>
          </cell>
          <cell r="AA360">
            <v>0</v>
          </cell>
          <cell r="AB360">
            <v>0</v>
          </cell>
          <cell r="AC360">
            <v>0</v>
          </cell>
          <cell r="AD360">
            <v>0</v>
          </cell>
          <cell r="AE360">
            <v>0</v>
          </cell>
          <cell r="AF360">
            <v>0</v>
          </cell>
        </row>
        <row r="361">
          <cell r="B361" t="str">
            <v>AD-KN-A01MEXT</v>
          </cell>
          <cell r="C361" t="str">
            <v>AD-A01MEXT</v>
          </cell>
          <cell r="D361" t="str">
            <v>AD-KN</v>
          </cell>
          <cell r="E361" t="str">
            <v>EXT-AD-KN</v>
          </cell>
          <cell r="F361" t="str">
            <v>EXT-KN</v>
          </cell>
          <cell r="G361" t="str">
            <v>A01MEXT</v>
          </cell>
          <cell r="H361" t="str">
            <v>EXT</v>
          </cell>
          <cell r="I361">
            <v>2001</v>
          </cell>
          <cell r="J361" t="str">
            <v>I</v>
          </cell>
          <cell r="K361" t="str">
            <v>AD</v>
          </cell>
          <cell r="L361" t="str">
            <v>KN</v>
          </cell>
          <cell r="Z361">
            <v>0</v>
          </cell>
          <cell r="AA361">
            <v>0</v>
          </cell>
          <cell r="AB361">
            <v>0</v>
          </cell>
          <cell r="AC361">
            <v>0</v>
          </cell>
          <cell r="AD361">
            <v>0</v>
          </cell>
          <cell r="AE361">
            <v>0</v>
          </cell>
          <cell r="AF361">
            <v>0</v>
          </cell>
        </row>
        <row r="362">
          <cell r="B362" t="str">
            <v>CO-KE-A01MEXT</v>
          </cell>
          <cell r="C362" t="str">
            <v>CO-A01MEXT</v>
          </cell>
          <cell r="D362" t="str">
            <v>CO-KE</v>
          </cell>
          <cell r="E362" t="str">
            <v>EXT-CO-KE</v>
          </cell>
          <cell r="F362" t="str">
            <v>EXT-KE</v>
          </cell>
          <cell r="G362" t="str">
            <v>A01MEXT</v>
          </cell>
          <cell r="H362" t="str">
            <v>EXT</v>
          </cell>
          <cell r="I362">
            <v>2001</v>
          </cell>
          <cell r="J362" t="str">
            <v>I</v>
          </cell>
          <cell r="K362" t="str">
            <v>CO</v>
          </cell>
          <cell r="L362" t="str">
            <v>KE</v>
          </cell>
          <cell r="Z362">
            <v>0</v>
          </cell>
          <cell r="AA362">
            <v>0</v>
          </cell>
          <cell r="AB362">
            <v>0</v>
          </cell>
          <cell r="AC362">
            <v>0</v>
          </cell>
          <cell r="AD362">
            <v>0</v>
          </cell>
          <cell r="AE362">
            <v>0</v>
          </cell>
          <cell r="AF362">
            <v>0</v>
          </cell>
        </row>
        <row r="363">
          <cell r="B363" t="str">
            <v>CO-KN-A01MEXT</v>
          </cell>
          <cell r="C363" t="str">
            <v>CO-A01MEXT</v>
          </cell>
          <cell r="D363" t="str">
            <v>CO-KN</v>
          </cell>
          <cell r="E363" t="str">
            <v>EXT-CO-KN</v>
          </cell>
          <cell r="F363" t="str">
            <v>EXT-KN</v>
          </cell>
          <cell r="G363" t="str">
            <v>A01MEXT</v>
          </cell>
          <cell r="H363" t="str">
            <v>EXT</v>
          </cell>
          <cell r="I363">
            <v>2001</v>
          </cell>
          <cell r="J363" t="str">
            <v>I</v>
          </cell>
          <cell r="K363" t="str">
            <v>CO</v>
          </cell>
          <cell r="L363" t="str">
            <v>KN</v>
          </cell>
          <cell r="U363">
            <v>1172.4000000000001</v>
          </cell>
          <cell r="V363">
            <v>1465.5</v>
          </cell>
          <cell r="W363">
            <v>1465.5</v>
          </cell>
          <cell r="X363">
            <v>1758.6000000000001</v>
          </cell>
          <cell r="Z363">
            <v>5862</v>
          </cell>
          <cell r="AA363">
            <v>0</v>
          </cell>
          <cell r="AB363">
            <v>5862</v>
          </cell>
          <cell r="AC363">
            <v>0</v>
          </cell>
          <cell r="AD363">
            <v>0</v>
          </cell>
          <cell r="AE363">
            <v>5862</v>
          </cell>
          <cell r="AF363">
            <v>0</v>
          </cell>
        </row>
        <row r="364">
          <cell r="B364" t="str">
            <v>IN-KE-A01MEXT</v>
          </cell>
          <cell r="C364" t="str">
            <v>IN-A01MEXT</v>
          </cell>
          <cell r="D364" t="str">
            <v>IN-KE</v>
          </cell>
          <cell r="E364" t="str">
            <v>EXT-IN-KE</v>
          </cell>
          <cell r="F364" t="str">
            <v>EXT-KE</v>
          </cell>
          <cell r="G364" t="str">
            <v>A01MEXT</v>
          </cell>
          <cell r="H364" t="str">
            <v>EXT</v>
          </cell>
          <cell r="I364">
            <v>2001</v>
          </cell>
          <cell r="J364" t="str">
            <v>I</v>
          </cell>
          <cell r="K364" t="str">
            <v>IN</v>
          </cell>
          <cell r="L364" t="str">
            <v>KE</v>
          </cell>
          <cell r="Z364">
            <v>0</v>
          </cell>
          <cell r="AA364">
            <v>0</v>
          </cell>
          <cell r="AB364">
            <v>0</v>
          </cell>
          <cell r="AC364">
            <v>0</v>
          </cell>
          <cell r="AD364">
            <v>0</v>
          </cell>
          <cell r="AE364">
            <v>0</v>
          </cell>
          <cell r="AF364">
            <v>0</v>
          </cell>
        </row>
        <row r="365">
          <cell r="B365" t="str">
            <v>IN-KN-A01MEXT</v>
          </cell>
          <cell r="C365" t="str">
            <v>IN-A01MEXT</v>
          </cell>
          <cell r="D365" t="str">
            <v>IN-KN</v>
          </cell>
          <cell r="E365" t="str">
            <v>EXT-IN-KN</v>
          </cell>
          <cell r="F365" t="str">
            <v>EXT-KN</v>
          </cell>
          <cell r="G365" t="str">
            <v>A01MEXT</v>
          </cell>
          <cell r="H365" t="str">
            <v>EXT</v>
          </cell>
          <cell r="I365">
            <v>2001</v>
          </cell>
          <cell r="J365" t="str">
            <v>I</v>
          </cell>
          <cell r="K365" t="str">
            <v>IN</v>
          </cell>
          <cell r="L365" t="str">
            <v>KN</v>
          </cell>
          <cell r="Z365">
            <v>0</v>
          </cell>
          <cell r="AA365">
            <v>0</v>
          </cell>
          <cell r="AB365">
            <v>0</v>
          </cell>
          <cell r="AC365">
            <v>0</v>
          </cell>
          <cell r="AD365">
            <v>0</v>
          </cell>
          <cell r="AE365">
            <v>0</v>
          </cell>
          <cell r="AF365">
            <v>0</v>
          </cell>
        </row>
        <row r="366">
          <cell r="B366" t="str">
            <v>AD-KE-A00M417</v>
          </cell>
          <cell r="C366" t="str">
            <v>AD-A00M417</v>
          </cell>
          <cell r="D366" t="str">
            <v>AD-KE</v>
          </cell>
          <cell r="E366" t="str">
            <v>PRI-AD-KE</v>
          </cell>
          <cell r="F366" t="str">
            <v>PRI-KE</v>
          </cell>
          <cell r="G366" t="str">
            <v>A00M417</v>
          </cell>
          <cell r="H366" t="str">
            <v>PRI</v>
          </cell>
          <cell r="I366">
            <v>2001</v>
          </cell>
          <cell r="J366" t="str">
            <v>I</v>
          </cell>
          <cell r="K366" t="str">
            <v>AD</v>
          </cell>
          <cell r="L366" t="str">
            <v>KE</v>
          </cell>
          <cell r="N366">
            <v>1</v>
          </cell>
          <cell r="O366">
            <v>188.7</v>
          </cell>
          <cell r="P366">
            <v>2219</v>
          </cell>
          <cell r="Q366">
            <v>60</v>
          </cell>
          <cell r="R366">
            <v>13.3</v>
          </cell>
          <cell r="Y366">
            <v>0</v>
          </cell>
          <cell r="Z366">
            <v>2482</v>
          </cell>
          <cell r="AA366">
            <v>0</v>
          </cell>
          <cell r="AB366">
            <v>2482</v>
          </cell>
          <cell r="AC366">
            <v>2482</v>
          </cell>
          <cell r="AD366">
            <v>2482</v>
          </cell>
          <cell r="AE366">
            <v>0</v>
          </cell>
          <cell r="AF366">
            <v>-8.042302222770001</v>
          </cell>
        </row>
        <row r="367">
          <cell r="B367" t="str">
            <v>AD-KN-A00M417</v>
          </cell>
          <cell r="C367" t="str">
            <v>AD-A00M417</v>
          </cell>
          <cell r="D367" t="str">
            <v>AD-KN</v>
          </cell>
          <cell r="E367" t="str">
            <v>PRI-AD-KN</v>
          </cell>
          <cell r="F367" t="str">
            <v>PRI-KN</v>
          </cell>
          <cell r="G367" t="str">
            <v>A00M417</v>
          </cell>
          <cell r="H367" t="str">
            <v>PRI</v>
          </cell>
          <cell r="I367">
            <v>2001</v>
          </cell>
          <cell r="J367" t="str">
            <v>I</v>
          </cell>
          <cell r="K367" t="str">
            <v>AD</v>
          </cell>
          <cell r="L367" t="str">
            <v>KN</v>
          </cell>
          <cell r="N367">
            <v>1</v>
          </cell>
          <cell r="O367">
            <v>813</v>
          </cell>
          <cell r="P367">
            <v>483</v>
          </cell>
          <cell r="Q367">
            <v>25</v>
          </cell>
          <cell r="R367">
            <v>6</v>
          </cell>
          <cell r="W367">
            <v>52</v>
          </cell>
          <cell r="Y367">
            <v>128.38</v>
          </cell>
          <cell r="Z367">
            <v>1380</v>
          </cell>
          <cell r="AA367">
            <v>0</v>
          </cell>
          <cell r="AB367">
            <v>1508.38</v>
          </cell>
          <cell r="AC367">
            <v>1328</v>
          </cell>
          <cell r="AD367">
            <v>1456.38</v>
          </cell>
          <cell r="AE367">
            <v>52</v>
          </cell>
          <cell r="AF367">
            <v>-107.0979084536</v>
          </cell>
        </row>
        <row r="368">
          <cell r="B368" t="str">
            <v>CO-KE-A00M417</v>
          </cell>
          <cell r="C368" t="str">
            <v>CO-A00M417</v>
          </cell>
          <cell r="D368" t="str">
            <v>CO-KE</v>
          </cell>
          <cell r="E368" t="str">
            <v>PRI-CO-KE</v>
          </cell>
          <cell r="F368" t="str">
            <v>PRI-KE</v>
          </cell>
          <cell r="G368" t="str">
            <v>A00M417</v>
          </cell>
          <cell r="H368" t="str">
            <v>PRI</v>
          </cell>
          <cell r="I368">
            <v>2001</v>
          </cell>
          <cell r="J368" t="str">
            <v>I</v>
          </cell>
          <cell r="K368" t="str">
            <v>CO</v>
          </cell>
          <cell r="L368" t="str">
            <v>KE</v>
          </cell>
          <cell r="Y368">
            <v>0</v>
          </cell>
          <cell r="Z368">
            <v>0</v>
          </cell>
          <cell r="AA368">
            <v>0</v>
          </cell>
          <cell r="AB368">
            <v>0</v>
          </cell>
          <cell r="AC368">
            <v>0</v>
          </cell>
          <cell r="AD368">
            <v>0</v>
          </cell>
          <cell r="AE368">
            <v>0</v>
          </cell>
          <cell r="AF368">
            <v>0</v>
          </cell>
        </row>
        <row r="369">
          <cell r="B369" t="str">
            <v>CO-KN-A00M417</v>
          </cell>
          <cell r="C369" t="str">
            <v>CO-A00M417</v>
          </cell>
          <cell r="D369" t="str">
            <v>CO-KN</v>
          </cell>
          <cell r="E369" t="str">
            <v>PRI-CO-KN</v>
          </cell>
          <cell r="F369" t="str">
            <v>PRI-KN</v>
          </cell>
          <cell r="G369" t="str">
            <v>A00M417</v>
          </cell>
          <cell r="H369" t="str">
            <v>PRI</v>
          </cell>
          <cell r="I369">
            <v>2001</v>
          </cell>
          <cell r="J369" t="str">
            <v>I</v>
          </cell>
          <cell r="K369" t="str">
            <v>CO</v>
          </cell>
          <cell r="L369" t="str">
            <v>KN</v>
          </cell>
          <cell r="M369">
            <v>-52</v>
          </cell>
          <cell r="N369">
            <v>785</v>
          </cell>
          <cell r="O369">
            <v>1091.5</v>
          </cell>
          <cell r="P369">
            <v>2921</v>
          </cell>
          <cell r="Q369">
            <v>-342</v>
          </cell>
          <cell r="R369">
            <v>-95.5</v>
          </cell>
          <cell r="W369">
            <v>97</v>
          </cell>
          <cell r="X369">
            <v>-1230</v>
          </cell>
          <cell r="Y369">
            <v>1360.41</v>
          </cell>
          <cell r="Z369">
            <v>3175</v>
          </cell>
          <cell r="AA369">
            <v>0</v>
          </cell>
          <cell r="AB369">
            <v>4535.41</v>
          </cell>
          <cell r="AC369">
            <v>4308</v>
          </cell>
          <cell r="AD369">
            <v>5668.41</v>
          </cell>
          <cell r="AE369">
            <v>-1133</v>
          </cell>
          <cell r="AF369">
            <v>-324.39932968660003</v>
          </cell>
        </row>
        <row r="370">
          <cell r="B370" t="str">
            <v>IN-KE-A00M417</v>
          </cell>
          <cell r="C370" t="str">
            <v>IN-A00M417</v>
          </cell>
          <cell r="D370" t="str">
            <v>IN-KE</v>
          </cell>
          <cell r="E370" t="str">
            <v>PRI-IN-KE</v>
          </cell>
          <cell r="F370" t="str">
            <v>PRI-KE</v>
          </cell>
          <cell r="G370" t="str">
            <v>A00M417</v>
          </cell>
          <cell r="H370" t="str">
            <v>PRI</v>
          </cell>
          <cell r="I370">
            <v>2001</v>
          </cell>
          <cell r="J370" t="str">
            <v>I</v>
          </cell>
          <cell r="K370" t="str">
            <v>IN</v>
          </cell>
          <cell r="L370" t="str">
            <v>KE</v>
          </cell>
          <cell r="Y370">
            <v>0</v>
          </cell>
          <cell r="Z370">
            <v>0</v>
          </cell>
          <cell r="AA370">
            <v>0</v>
          </cell>
          <cell r="AB370">
            <v>0</v>
          </cell>
          <cell r="AC370">
            <v>0</v>
          </cell>
          <cell r="AD370">
            <v>0</v>
          </cell>
          <cell r="AE370">
            <v>0</v>
          </cell>
          <cell r="AF370">
            <v>0</v>
          </cell>
        </row>
        <row r="371">
          <cell r="B371" t="str">
            <v>IN-KN-A00M417</v>
          </cell>
          <cell r="C371" t="str">
            <v>IN-A00M417</v>
          </cell>
          <cell r="D371" t="str">
            <v>IN-KN</v>
          </cell>
          <cell r="E371" t="str">
            <v>PRI-IN-KN</v>
          </cell>
          <cell r="F371" t="str">
            <v>PRI-KN</v>
          </cell>
          <cell r="G371" t="str">
            <v>A00M417</v>
          </cell>
          <cell r="H371" t="str">
            <v>PRI</v>
          </cell>
          <cell r="I371">
            <v>2001</v>
          </cell>
          <cell r="J371" t="str">
            <v>I</v>
          </cell>
          <cell r="K371" t="str">
            <v>IN</v>
          </cell>
          <cell r="L371" t="str">
            <v>KN</v>
          </cell>
          <cell r="M371">
            <v>1</v>
          </cell>
          <cell r="N371">
            <v>231</v>
          </cell>
          <cell r="O371">
            <v>399.2</v>
          </cell>
          <cell r="P371">
            <v>66</v>
          </cell>
          <cell r="Q371">
            <v>340</v>
          </cell>
          <cell r="R371">
            <v>47.98</v>
          </cell>
          <cell r="S371">
            <v>19</v>
          </cell>
          <cell r="T371">
            <v>19</v>
          </cell>
          <cell r="U371">
            <v>19</v>
          </cell>
          <cell r="V371">
            <v>12</v>
          </cell>
          <cell r="W371">
            <v>12</v>
          </cell>
          <cell r="Y371">
            <v>222.85</v>
          </cell>
          <cell r="Z371">
            <v>1166.18</v>
          </cell>
          <cell r="AA371">
            <v>0</v>
          </cell>
          <cell r="AB371">
            <v>1389.03</v>
          </cell>
          <cell r="AC371">
            <v>1104.18</v>
          </cell>
          <cell r="AD371">
            <v>1327.03</v>
          </cell>
          <cell r="AE371">
            <v>62</v>
          </cell>
          <cell r="AF371">
            <v>-85.43696881231601</v>
          </cell>
        </row>
        <row r="372">
          <cell r="B372" t="str">
            <v>AD-KE-A01M401</v>
          </cell>
          <cell r="C372" t="str">
            <v>AD-A01M401</v>
          </cell>
          <cell r="D372" t="str">
            <v>AD-KE</v>
          </cell>
          <cell r="E372" t="str">
            <v>PRI-AD-KE</v>
          </cell>
          <cell r="F372" t="str">
            <v>PRI-KE</v>
          </cell>
          <cell r="G372" t="str">
            <v>A01M401</v>
          </cell>
          <cell r="H372" t="str">
            <v>PRI</v>
          </cell>
          <cell r="I372">
            <v>2003</v>
          </cell>
          <cell r="J372" t="str">
            <v>I</v>
          </cell>
          <cell r="K372" t="str">
            <v>AD</v>
          </cell>
          <cell r="L372" t="str">
            <v>KE</v>
          </cell>
          <cell r="S372">
            <v>204</v>
          </cell>
          <cell r="T372">
            <v>59</v>
          </cell>
          <cell r="W372">
            <v>191</v>
          </cell>
          <cell r="X372">
            <v>390</v>
          </cell>
          <cell r="Y372">
            <v>0</v>
          </cell>
          <cell r="Z372">
            <v>844</v>
          </cell>
          <cell r="AA372">
            <v>0</v>
          </cell>
          <cell r="AB372">
            <v>844</v>
          </cell>
          <cell r="AC372">
            <v>204</v>
          </cell>
          <cell r="AD372">
            <v>204</v>
          </cell>
          <cell r="AE372">
            <v>640</v>
          </cell>
          <cell r="AF372">
            <v>-0.1792093692</v>
          </cell>
        </row>
        <row r="373">
          <cell r="B373" t="str">
            <v>AD-KN-A01M401</v>
          </cell>
          <cell r="C373" t="str">
            <v>AD-A01M401</v>
          </cell>
          <cell r="D373" t="str">
            <v>AD-KN</v>
          </cell>
          <cell r="E373" t="str">
            <v>PRI-AD-KN</v>
          </cell>
          <cell r="F373" t="str">
            <v>PRI-KN</v>
          </cell>
          <cell r="G373" t="str">
            <v>A01M401</v>
          </cell>
          <cell r="H373" t="str">
            <v>PRI</v>
          </cell>
          <cell r="I373">
            <v>2003</v>
          </cell>
          <cell r="J373" t="str">
            <v>I</v>
          </cell>
          <cell r="K373" t="str">
            <v>AD</v>
          </cell>
          <cell r="L373" t="str">
            <v>KN</v>
          </cell>
          <cell r="S373">
            <v>115</v>
          </cell>
          <cell r="T373">
            <v>46</v>
          </cell>
          <cell r="U373">
            <v>46</v>
          </cell>
          <cell r="V373">
            <v>356</v>
          </cell>
          <cell r="X373">
            <v>115</v>
          </cell>
          <cell r="Y373">
            <v>0</v>
          </cell>
          <cell r="Z373">
            <v>678</v>
          </cell>
          <cell r="AA373">
            <v>0</v>
          </cell>
          <cell r="AB373">
            <v>678</v>
          </cell>
          <cell r="AC373">
            <v>115</v>
          </cell>
          <cell r="AD373">
            <v>115</v>
          </cell>
          <cell r="AE373">
            <v>563</v>
          </cell>
          <cell r="AF373">
            <v>-22.010707807999999</v>
          </cell>
        </row>
        <row r="374">
          <cell r="B374" t="str">
            <v>CO-KE-A01M401</v>
          </cell>
          <cell r="C374" t="str">
            <v>CO-A01M401</v>
          </cell>
          <cell r="D374" t="str">
            <v>CO-KE</v>
          </cell>
          <cell r="E374" t="str">
            <v>PRI-CO-KE</v>
          </cell>
          <cell r="F374" t="str">
            <v>PRI-KE</v>
          </cell>
          <cell r="G374" t="str">
            <v>A01M401</v>
          </cell>
          <cell r="H374" t="str">
            <v>PRI</v>
          </cell>
          <cell r="I374">
            <v>2003</v>
          </cell>
          <cell r="J374" t="str">
            <v>I</v>
          </cell>
          <cell r="K374" t="str">
            <v>CO</v>
          </cell>
          <cell r="L374" t="str">
            <v>KE</v>
          </cell>
          <cell r="Y374">
            <v>0</v>
          </cell>
          <cell r="Z374">
            <v>0</v>
          </cell>
          <cell r="AA374">
            <v>0</v>
          </cell>
          <cell r="AB374">
            <v>0</v>
          </cell>
          <cell r="AC374">
            <v>0</v>
          </cell>
          <cell r="AD374">
            <v>0</v>
          </cell>
          <cell r="AE374">
            <v>0</v>
          </cell>
          <cell r="AF374">
            <v>0</v>
          </cell>
        </row>
        <row r="375">
          <cell r="B375" t="str">
            <v>CO-KN-A01M401</v>
          </cell>
          <cell r="C375" t="str">
            <v>CO-A01M401</v>
          </cell>
          <cell r="D375" t="str">
            <v>CO-KN</v>
          </cell>
          <cell r="E375" t="str">
            <v>PRI-CO-KN</v>
          </cell>
          <cell r="F375" t="str">
            <v>PRI-KN</v>
          </cell>
          <cell r="G375" t="str">
            <v>A01M401</v>
          </cell>
          <cell r="H375" t="str">
            <v>PRI</v>
          </cell>
          <cell r="I375">
            <v>2003</v>
          </cell>
          <cell r="J375" t="str">
            <v>I</v>
          </cell>
          <cell r="K375" t="str">
            <v>CO</v>
          </cell>
          <cell r="L375" t="str">
            <v>KN</v>
          </cell>
          <cell r="R375">
            <v>583</v>
          </cell>
          <cell r="S375">
            <v>98</v>
          </cell>
          <cell r="T375">
            <v>916</v>
          </cell>
          <cell r="U375">
            <v>1032</v>
          </cell>
          <cell r="V375">
            <v>1467</v>
          </cell>
          <cell r="W375">
            <v>1527</v>
          </cell>
          <cell r="X375">
            <v>1999</v>
          </cell>
          <cell r="Y375">
            <v>0</v>
          </cell>
          <cell r="Z375">
            <v>7622</v>
          </cell>
          <cell r="AA375">
            <v>0</v>
          </cell>
          <cell r="AB375">
            <v>7622</v>
          </cell>
          <cell r="AC375">
            <v>681</v>
          </cell>
          <cell r="AD375">
            <v>681</v>
          </cell>
          <cell r="AE375">
            <v>6941</v>
          </cell>
          <cell r="AF375">
            <v>-86.344327678200003</v>
          </cell>
        </row>
        <row r="376">
          <cell r="B376" t="str">
            <v>IN-KE-A01M401</v>
          </cell>
          <cell r="C376" t="str">
            <v>IN-A01M401</v>
          </cell>
          <cell r="D376" t="str">
            <v>IN-KE</v>
          </cell>
          <cell r="E376" t="str">
            <v>PRI-IN-KE</v>
          </cell>
          <cell r="F376" t="str">
            <v>PRI-KE</v>
          </cell>
          <cell r="G376" t="str">
            <v>A01M401</v>
          </cell>
          <cell r="H376" t="str">
            <v>PRI</v>
          </cell>
          <cell r="I376">
            <v>2003</v>
          </cell>
          <cell r="J376" t="str">
            <v>I</v>
          </cell>
          <cell r="K376" t="str">
            <v>IN</v>
          </cell>
          <cell r="L376" t="str">
            <v>KE</v>
          </cell>
          <cell r="Y376">
            <v>0</v>
          </cell>
          <cell r="Z376">
            <v>0</v>
          </cell>
          <cell r="AA376">
            <v>0</v>
          </cell>
          <cell r="AB376">
            <v>0</v>
          </cell>
          <cell r="AC376">
            <v>0</v>
          </cell>
          <cell r="AD376">
            <v>0</v>
          </cell>
          <cell r="AE376">
            <v>0</v>
          </cell>
          <cell r="AF376">
            <v>0</v>
          </cell>
        </row>
        <row r="377">
          <cell r="B377" t="str">
            <v>IN-KN-A01M401</v>
          </cell>
          <cell r="C377" t="str">
            <v>IN-A01M401</v>
          </cell>
          <cell r="D377" t="str">
            <v>IN-KN</v>
          </cell>
          <cell r="E377" t="str">
            <v>PRI-IN-KN</v>
          </cell>
          <cell r="F377" t="str">
            <v>PRI-KN</v>
          </cell>
          <cell r="G377" t="str">
            <v>A01M401</v>
          </cell>
          <cell r="H377" t="str">
            <v>PRI</v>
          </cell>
          <cell r="I377">
            <v>2003</v>
          </cell>
          <cell r="J377" t="str">
            <v>I</v>
          </cell>
          <cell r="K377" t="str">
            <v>IN</v>
          </cell>
          <cell r="L377" t="str">
            <v>KN</v>
          </cell>
          <cell r="R377">
            <v>255</v>
          </cell>
          <cell r="S377">
            <v>156</v>
          </cell>
          <cell r="T377">
            <v>265</v>
          </cell>
          <cell r="U377">
            <v>290</v>
          </cell>
          <cell r="V377">
            <v>311</v>
          </cell>
          <cell r="W377">
            <v>335</v>
          </cell>
          <cell r="X377">
            <v>350</v>
          </cell>
          <cell r="Y377">
            <v>0</v>
          </cell>
          <cell r="Z377">
            <v>1962</v>
          </cell>
          <cell r="AA377">
            <v>0</v>
          </cell>
          <cell r="AB377">
            <v>1962</v>
          </cell>
          <cell r="AC377">
            <v>411</v>
          </cell>
          <cell r="AD377">
            <v>411</v>
          </cell>
          <cell r="AE377">
            <v>1551</v>
          </cell>
          <cell r="AF377">
            <v>-59.420235286200004</v>
          </cell>
        </row>
        <row r="378">
          <cell r="B378" t="str">
            <v>AD-KE-A01M403</v>
          </cell>
          <cell r="C378" t="str">
            <v>AD-A01M403</v>
          </cell>
          <cell r="D378" t="str">
            <v>AD-KE</v>
          </cell>
          <cell r="E378" t="str">
            <v>OTR-AD-KE</v>
          </cell>
          <cell r="F378" t="str">
            <v>OTR-KE</v>
          </cell>
          <cell r="G378" t="str">
            <v>A01M403</v>
          </cell>
          <cell r="H378" t="str">
            <v>OTR</v>
          </cell>
          <cell r="I378">
            <v>2002</v>
          </cell>
          <cell r="J378" t="str">
            <v>I</v>
          </cell>
          <cell r="K378" t="str">
            <v>AD</v>
          </cell>
          <cell r="L378" t="str">
            <v>KE</v>
          </cell>
          <cell r="X378">
            <v>478.4</v>
          </cell>
          <cell r="Y378">
            <v>0</v>
          </cell>
          <cell r="Z378">
            <v>478.4</v>
          </cell>
          <cell r="AA378">
            <v>0</v>
          </cell>
          <cell r="AB378">
            <v>478.4</v>
          </cell>
          <cell r="AC378">
            <v>0</v>
          </cell>
          <cell r="AD378">
            <v>0</v>
          </cell>
          <cell r="AE378">
            <v>478.4</v>
          </cell>
          <cell r="AF378">
            <v>0</v>
          </cell>
        </row>
        <row r="379">
          <cell r="B379" t="str">
            <v>AD-KN-A01M403</v>
          </cell>
          <cell r="C379" t="str">
            <v>AD-A01M403</v>
          </cell>
          <cell r="D379" t="str">
            <v>AD-KN</v>
          </cell>
          <cell r="E379" t="str">
            <v>OTR-AD-KN</v>
          </cell>
          <cell r="F379" t="str">
            <v>OTR-KN</v>
          </cell>
          <cell r="G379" t="str">
            <v>A01M403</v>
          </cell>
          <cell r="H379" t="str">
            <v>OTR</v>
          </cell>
          <cell r="I379">
            <v>2002</v>
          </cell>
          <cell r="J379" t="str">
            <v>I</v>
          </cell>
          <cell r="K379" t="str">
            <v>AD</v>
          </cell>
          <cell r="L379" t="str">
            <v>KN</v>
          </cell>
          <cell r="Y379">
            <v>0</v>
          </cell>
          <cell r="Z379">
            <v>0</v>
          </cell>
          <cell r="AA379">
            <v>0</v>
          </cell>
          <cell r="AB379">
            <v>0</v>
          </cell>
          <cell r="AC379">
            <v>0</v>
          </cell>
          <cell r="AD379">
            <v>0</v>
          </cell>
          <cell r="AE379">
            <v>0</v>
          </cell>
          <cell r="AF379">
            <v>0</v>
          </cell>
        </row>
        <row r="380">
          <cell r="B380" t="str">
            <v>CO-KE-A01M403</v>
          </cell>
          <cell r="C380" t="str">
            <v>CO-A01M403</v>
          </cell>
          <cell r="D380" t="str">
            <v>CO-KE</v>
          </cell>
          <cell r="E380" t="str">
            <v>OTR-CO-KE</v>
          </cell>
          <cell r="F380" t="str">
            <v>OTR-KE</v>
          </cell>
          <cell r="G380" t="str">
            <v>A01M403</v>
          </cell>
          <cell r="H380" t="str">
            <v>OTR</v>
          </cell>
          <cell r="I380">
            <v>2002</v>
          </cell>
          <cell r="J380" t="str">
            <v>I</v>
          </cell>
          <cell r="K380" t="str">
            <v>CO</v>
          </cell>
          <cell r="L380" t="str">
            <v>KE</v>
          </cell>
          <cell r="W380">
            <v>20.6</v>
          </cell>
          <cell r="X380">
            <v>41.2</v>
          </cell>
          <cell r="Y380">
            <v>0</v>
          </cell>
          <cell r="Z380">
            <v>61.800000000000004</v>
          </cell>
          <cell r="AA380">
            <v>0</v>
          </cell>
          <cell r="AB380">
            <v>61.800000000000004</v>
          </cell>
          <cell r="AC380">
            <v>0</v>
          </cell>
          <cell r="AD380">
            <v>0</v>
          </cell>
          <cell r="AE380">
            <v>61.800000000000004</v>
          </cell>
          <cell r="AF380">
            <v>0</v>
          </cell>
        </row>
        <row r="381">
          <cell r="B381" t="str">
            <v>CO-KN-A01M403</v>
          </cell>
          <cell r="C381" t="str">
            <v>CO-A01M403</v>
          </cell>
          <cell r="D381" t="str">
            <v>CO-KN</v>
          </cell>
          <cell r="E381" t="str">
            <v>OTR-CO-KN</v>
          </cell>
          <cell r="F381" t="str">
            <v>OTR-KN</v>
          </cell>
          <cell r="G381" t="str">
            <v>A01M403</v>
          </cell>
          <cell r="H381" t="str">
            <v>OTR</v>
          </cell>
          <cell r="I381">
            <v>2002</v>
          </cell>
          <cell r="J381" t="str">
            <v>I</v>
          </cell>
          <cell r="K381" t="str">
            <v>CO</v>
          </cell>
          <cell r="L381" t="str">
            <v>KN</v>
          </cell>
          <cell r="V381">
            <v>2</v>
          </cell>
          <cell r="W381">
            <v>2</v>
          </cell>
          <cell r="X381">
            <v>2</v>
          </cell>
          <cell r="Y381">
            <v>0</v>
          </cell>
          <cell r="Z381">
            <v>6</v>
          </cell>
          <cell r="AA381">
            <v>0</v>
          </cell>
          <cell r="AB381">
            <v>6</v>
          </cell>
          <cell r="AC381">
            <v>0</v>
          </cell>
          <cell r="AD381">
            <v>0</v>
          </cell>
          <cell r="AE381">
            <v>6</v>
          </cell>
          <cell r="AF381">
            <v>0</v>
          </cell>
        </row>
        <row r="382">
          <cell r="B382" t="str">
            <v>IN-KE-A01M403</v>
          </cell>
          <cell r="C382" t="str">
            <v>IN-A01M403</v>
          </cell>
          <cell r="D382" t="str">
            <v>IN-KE</v>
          </cell>
          <cell r="E382" t="str">
            <v>OTR-IN-KE</v>
          </cell>
          <cell r="F382" t="str">
            <v>OTR-KE</v>
          </cell>
          <cell r="G382" t="str">
            <v>A01M403</v>
          </cell>
          <cell r="H382" t="str">
            <v>OTR</v>
          </cell>
          <cell r="I382">
            <v>2002</v>
          </cell>
          <cell r="J382" t="str">
            <v>I</v>
          </cell>
          <cell r="K382" t="str">
            <v>IN</v>
          </cell>
          <cell r="L382" t="str">
            <v>KE</v>
          </cell>
          <cell r="T382">
            <v>3</v>
          </cell>
          <cell r="U382">
            <v>14.9</v>
          </cell>
          <cell r="V382">
            <v>2</v>
          </cell>
          <cell r="Y382">
            <v>0</v>
          </cell>
          <cell r="Z382">
            <v>19.899999999999999</v>
          </cell>
          <cell r="AA382">
            <v>0</v>
          </cell>
          <cell r="AB382">
            <v>19.899999999999999</v>
          </cell>
          <cell r="AC382">
            <v>0</v>
          </cell>
          <cell r="AD382">
            <v>0</v>
          </cell>
          <cell r="AE382">
            <v>19.899999999999999</v>
          </cell>
          <cell r="AF382">
            <v>0</v>
          </cell>
        </row>
        <row r="383">
          <cell r="B383" t="str">
            <v>IN-KN-A01M403</v>
          </cell>
          <cell r="C383" t="str">
            <v>IN-A01M403</v>
          </cell>
          <cell r="D383" t="str">
            <v>IN-KN</v>
          </cell>
          <cell r="E383" t="str">
            <v>OTR-IN-KN</v>
          </cell>
          <cell r="F383" t="str">
            <v>OTR-KN</v>
          </cell>
          <cell r="G383" t="str">
            <v>A01M403</v>
          </cell>
          <cell r="H383" t="str">
            <v>OTR</v>
          </cell>
          <cell r="I383">
            <v>2002</v>
          </cell>
          <cell r="J383" t="str">
            <v>I</v>
          </cell>
          <cell r="K383" t="str">
            <v>IN</v>
          </cell>
          <cell r="L383" t="str">
            <v>KN</v>
          </cell>
          <cell r="O383">
            <v>0.3</v>
          </cell>
          <cell r="P383">
            <v>6.6</v>
          </cell>
          <cell r="Q383">
            <v>6.5</v>
          </cell>
          <cell r="R383">
            <v>4.7</v>
          </cell>
          <cell r="S383">
            <v>8.6999999999999993</v>
          </cell>
          <cell r="T383">
            <v>3.3</v>
          </cell>
          <cell r="U383">
            <v>3.2</v>
          </cell>
          <cell r="V383">
            <v>1.2</v>
          </cell>
          <cell r="W383">
            <v>1.2</v>
          </cell>
          <cell r="X383">
            <v>2.2000000000000002</v>
          </cell>
          <cell r="Y383">
            <v>0</v>
          </cell>
          <cell r="Z383">
            <v>37.900000000000006</v>
          </cell>
          <cell r="AA383">
            <v>0</v>
          </cell>
          <cell r="AB383">
            <v>37.900000000000006</v>
          </cell>
          <cell r="AC383">
            <v>26.799999999999997</v>
          </cell>
          <cell r="AD383">
            <v>26.799999999999997</v>
          </cell>
          <cell r="AE383">
            <v>11.100000000000009</v>
          </cell>
          <cell r="AF383">
            <v>-3.4452186400099998</v>
          </cell>
        </row>
        <row r="384">
          <cell r="B384" t="str">
            <v>AD-KE-A01M407</v>
          </cell>
          <cell r="C384" t="str">
            <v>AD-A01M407</v>
          </cell>
          <cell r="D384" t="str">
            <v>AD-KE</v>
          </cell>
          <cell r="E384" t="str">
            <v>DIV-AD-KE</v>
          </cell>
          <cell r="F384" t="str">
            <v>DIV-KE</v>
          </cell>
          <cell r="G384" t="str">
            <v>A01M407</v>
          </cell>
          <cell r="H384" t="str">
            <v>DIV</v>
          </cell>
          <cell r="I384">
            <v>2001</v>
          </cell>
          <cell r="J384" t="str">
            <v>I</v>
          </cell>
          <cell r="K384" t="str">
            <v>AD</v>
          </cell>
          <cell r="L384" t="str">
            <v>KE</v>
          </cell>
          <cell r="X384">
            <v>277</v>
          </cell>
          <cell r="Y384">
            <v>0</v>
          </cell>
          <cell r="Z384">
            <v>277</v>
          </cell>
          <cell r="AA384">
            <v>0</v>
          </cell>
          <cell r="AB384">
            <v>277</v>
          </cell>
          <cell r="AC384">
            <v>0</v>
          </cell>
          <cell r="AD384">
            <v>0</v>
          </cell>
          <cell r="AE384">
            <v>277</v>
          </cell>
          <cell r="AF384">
            <v>0</v>
          </cell>
        </row>
        <row r="385">
          <cell r="B385" t="str">
            <v>AD-KN-A01M407</v>
          </cell>
          <cell r="C385" t="str">
            <v>AD-A01M407</v>
          </cell>
          <cell r="D385" t="str">
            <v>AD-KN</v>
          </cell>
          <cell r="E385" t="str">
            <v>DIV-AD-KN</v>
          </cell>
          <cell r="F385" t="str">
            <v>DIV-KN</v>
          </cell>
          <cell r="G385" t="str">
            <v>A01M407</v>
          </cell>
          <cell r="H385" t="str">
            <v>DIV</v>
          </cell>
          <cell r="I385">
            <v>2001</v>
          </cell>
          <cell r="J385" t="str">
            <v>I</v>
          </cell>
          <cell r="K385" t="str">
            <v>AD</v>
          </cell>
          <cell r="L385" t="str">
            <v>KN</v>
          </cell>
          <cell r="Q385">
            <v>1</v>
          </cell>
          <cell r="V385">
            <v>1</v>
          </cell>
          <cell r="W385">
            <v>1</v>
          </cell>
          <cell r="X385">
            <v>1</v>
          </cell>
          <cell r="Y385">
            <v>0</v>
          </cell>
          <cell r="Z385">
            <v>4</v>
          </cell>
          <cell r="AA385">
            <v>0</v>
          </cell>
          <cell r="AB385">
            <v>4</v>
          </cell>
          <cell r="AC385">
            <v>1</v>
          </cell>
          <cell r="AD385">
            <v>1</v>
          </cell>
          <cell r="AE385">
            <v>3</v>
          </cell>
          <cell r="AF385">
            <v>-9.5542379299999994E-2</v>
          </cell>
        </row>
        <row r="386">
          <cell r="B386" t="str">
            <v>CO-KE-A01M407</v>
          </cell>
          <cell r="C386" t="str">
            <v>CO-A01M407</v>
          </cell>
          <cell r="D386" t="str">
            <v>CO-KE</v>
          </cell>
          <cell r="E386" t="str">
            <v>DIV-CO-KE</v>
          </cell>
          <cell r="F386" t="str">
            <v>DIV-KE</v>
          </cell>
          <cell r="G386" t="str">
            <v>A01M407</v>
          </cell>
          <cell r="H386" t="str">
            <v>DIV</v>
          </cell>
          <cell r="I386">
            <v>2001</v>
          </cell>
          <cell r="J386" t="str">
            <v>I</v>
          </cell>
          <cell r="K386" t="str">
            <v>CO</v>
          </cell>
          <cell r="L386" t="str">
            <v>KE</v>
          </cell>
          <cell r="Y386">
            <v>0</v>
          </cell>
          <cell r="Z386">
            <v>0</v>
          </cell>
          <cell r="AA386">
            <v>0</v>
          </cell>
          <cell r="AB386">
            <v>0</v>
          </cell>
          <cell r="AC386">
            <v>0</v>
          </cell>
          <cell r="AD386">
            <v>0</v>
          </cell>
          <cell r="AE386">
            <v>0</v>
          </cell>
          <cell r="AF386">
            <v>0</v>
          </cell>
        </row>
        <row r="387">
          <cell r="B387" t="str">
            <v>CO-KN-A01M407</v>
          </cell>
          <cell r="C387" t="str">
            <v>CO-A01M407</v>
          </cell>
          <cell r="D387" t="str">
            <v>CO-KN</v>
          </cell>
          <cell r="E387" t="str">
            <v>DIV-CO-KN</v>
          </cell>
          <cell r="F387" t="str">
            <v>DIV-KN</v>
          </cell>
          <cell r="G387" t="str">
            <v>A01M407</v>
          </cell>
          <cell r="H387" t="str">
            <v>DIV</v>
          </cell>
          <cell r="I387">
            <v>2001</v>
          </cell>
          <cell r="J387" t="str">
            <v>I</v>
          </cell>
          <cell r="K387" t="str">
            <v>CO</v>
          </cell>
          <cell r="L387" t="str">
            <v>KN</v>
          </cell>
          <cell r="Y387">
            <v>0</v>
          </cell>
          <cell r="Z387">
            <v>0</v>
          </cell>
          <cell r="AA387">
            <v>0</v>
          </cell>
          <cell r="AB387">
            <v>0</v>
          </cell>
          <cell r="AC387">
            <v>0</v>
          </cell>
          <cell r="AD387">
            <v>0</v>
          </cell>
          <cell r="AE387">
            <v>0</v>
          </cell>
          <cell r="AF387">
            <v>0</v>
          </cell>
        </row>
        <row r="388">
          <cell r="B388" t="str">
            <v>IN-KE-A01M407</v>
          </cell>
          <cell r="C388" t="str">
            <v>IN-A01M407</v>
          </cell>
          <cell r="D388" t="str">
            <v>IN-KE</v>
          </cell>
          <cell r="E388" t="str">
            <v>DIV-IN-KE</v>
          </cell>
          <cell r="F388" t="str">
            <v>DIV-KE</v>
          </cell>
          <cell r="G388" t="str">
            <v>A01M407</v>
          </cell>
          <cell r="H388" t="str">
            <v>DIV</v>
          </cell>
          <cell r="I388">
            <v>2001</v>
          </cell>
          <cell r="J388" t="str">
            <v>I</v>
          </cell>
          <cell r="K388" t="str">
            <v>IN</v>
          </cell>
          <cell r="L388" t="str">
            <v>KE</v>
          </cell>
          <cell r="Y388">
            <v>0</v>
          </cell>
          <cell r="Z388">
            <v>0</v>
          </cell>
          <cell r="AA388">
            <v>0</v>
          </cell>
          <cell r="AB388">
            <v>0</v>
          </cell>
          <cell r="AC388">
            <v>0</v>
          </cell>
          <cell r="AD388">
            <v>0</v>
          </cell>
          <cell r="AE388">
            <v>0</v>
          </cell>
          <cell r="AF388">
            <v>0</v>
          </cell>
        </row>
        <row r="389">
          <cell r="B389" t="str">
            <v>IN-KN-A01M407</v>
          </cell>
          <cell r="C389" t="str">
            <v>IN-A01M407</v>
          </cell>
          <cell r="D389" t="str">
            <v>IN-KN</v>
          </cell>
          <cell r="E389" t="str">
            <v>DIV-IN-KN</v>
          </cell>
          <cell r="F389" t="str">
            <v>DIV-KN</v>
          </cell>
          <cell r="G389" t="str">
            <v>A01M407</v>
          </cell>
          <cell r="H389" t="str">
            <v>DIV</v>
          </cell>
          <cell r="I389">
            <v>2001</v>
          </cell>
          <cell r="J389" t="str">
            <v>I</v>
          </cell>
          <cell r="K389" t="str">
            <v>IN</v>
          </cell>
          <cell r="L389" t="str">
            <v>KN</v>
          </cell>
          <cell r="P389">
            <v>2.8</v>
          </cell>
          <cell r="Q389">
            <v>3</v>
          </cell>
          <cell r="R389">
            <v>4.2</v>
          </cell>
          <cell r="S389">
            <v>3</v>
          </cell>
          <cell r="T389">
            <v>2</v>
          </cell>
          <cell r="U389">
            <v>3</v>
          </cell>
          <cell r="V389">
            <v>3</v>
          </cell>
          <cell r="W389">
            <v>3</v>
          </cell>
          <cell r="X389">
            <v>3</v>
          </cell>
          <cell r="Y389">
            <v>0</v>
          </cell>
          <cell r="Z389">
            <v>27</v>
          </cell>
          <cell r="AA389">
            <v>0</v>
          </cell>
          <cell r="AB389">
            <v>27</v>
          </cell>
          <cell r="AC389">
            <v>13</v>
          </cell>
          <cell r="AD389">
            <v>13</v>
          </cell>
          <cell r="AE389">
            <v>14</v>
          </cell>
          <cell r="AF389">
            <v>-1.59878274374</v>
          </cell>
        </row>
        <row r="390">
          <cell r="B390" t="str">
            <v>AD-KE-A01M412</v>
          </cell>
          <cell r="C390" t="str">
            <v>AD-A01M412</v>
          </cell>
          <cell r="D390" t="str">
            <v>AD-KE</v>
          </cell>
          <cell r="E390" t="str">
            <v>OTR-AD-KE</v>
          </cell>
          <cell r="F390" t="str">
            <v>OTR-KE</v>
          </cell>
          <cell r="G390" t="str">
            <v>A01M412</v>
          </cell>
          <cell r="H390" t="str">
            <v>OTR</v>
          </cell>
          <cell r="I390">
            <v>2002</v>
          </cell>
          <cell r="J390" t="str">
            <v>I</v>
          </cell>
          <cell r="K390" t="str">
            <v>AD</v>
          </cell>
          <cell r="L390" t="str">
            <v>KE</v>
          </cell>
          <cell r="Y390">
            <v>0</v>
          </cell>
          <cell r="Z390">
            <v>0</v>
          </cell>
          <cell r="AA390">
            <v>0</v>
          </cell>
          <cell r="AB390">
            <v>0</v>
          </cell>
          <cell r="AC390">
            <v>0</v>
          </cell>
          <cell r="AD390">
            <v>0</v>
          </cell>
          <cell r="AE390">
            <v>0</v>
          </cell>
          <cell r="AF390">
            <v>0</v>
          </cell>
        </row>
        <row r="391">
          <cell r="B391" t="str">
            <v>AD-KN-A01M412</v>
          </cell>
          <cell r="C391" t="str">
            <v>AD-A01M412</v>
          </cell>
          <cell r="D391" t="str">
            <v>AD-KN</v>
          </cell>
          <cell r="E391" t="str">
            <v>OTR-AD-KN</v>
          </cell>
          <cell r="F391" t="str">
            <v>OTR-KN</v>
          </cell>
          <cell r="G391" t="str">
            <v>A01M412</v>
          </cell>
          <cell r="H391" t="str">
            <v>OTR</v>
          </cell>
          <cell r="I391">
            <v>2002</v>
          </cell>
          <cell r="J391" t="str">
            <v>I</v>
          </cell>
          <cell r="K391" t="str">
            <v>AD</v>
          </cell>
          <cell r="L391" t="str">
            <v>KN</v>
          </cell>
          <cell r="T391">
            <v>146.9</v>
          </cell>
          <cell r="V391">
            <v>525.20000000000005</v>
          </cell>
          <cell r="Y391">
            <v>0</v>
          </cell>
          <cell r="Z391">
            <v>672.1</v>
          </cell>
          <cell r="AA391">
            <v>0</v>
          </cell>
          <cell r="AB391">
            <v>672.1</v>
          </cell>
          <cell r="AC391">
            <v>0</v>
          </cell>
          <cell r="AD391">
            <v>0</v>
          </cell>
          <cell r="AE391">
            <v>672.1</v>
          </cell>
          <cell r="AF391">
            <v>0</v>
          </cell>
        </row>
        <row r="392">
          <cell r="B392" t="str">
            <v>CO-KE-A01M412</v>
          </cell>
          <cell r="C392" t="str">
            <v>CO-A01M412</v>
          </cell>
          <cell r="D392" t="str">
            <v>CO-KE</v>
          </cell>
          <cell r="E392" t="str">
            <v>OTR-CO-KE</v>
          </cell>
          <cell r="F392" t="str">
            <v>OTR-KE</v>
          </cell>
          <cell r="G392" t="str">
            <v>A01M412</v>
          </cell>
          <cell r="H392" t="str">
            <v>OTR</v>
          </cell>
          <cell r="I392">
            <v>2002</v>
          </cell>
          <cell r="J392" t="str">
            <v>I</v>
          </cell>
          <cell r="K392" t="str">
            <v>CO</v>
          </cell>
          <cell r="L392" t="str">
            <v>KE</v>
          </cell>
          <cell r="Y392">
            <v>0</v>
          </cell>
          <cell r="Z392">
            <v>0</v>
          </cell>
          <cell r="AA392">
            <v>0</v>
          </cell>
          <cell r="AB392">
            <v>0</v>
          </cell>
          <cell r="AC392">
            <v>0</v>
          </cell>
          <cell r="AD392">
            <v>0</v>
          </cell>
          <cell r="AE392">
            <v>0</v>
          </cell>
          <cell r="AF392">
            <v>0</v>
          </cell>
        </row>
        <row r="393">
          <cell r="B393" t="str">
            <v>CO-KN-A01M412</v>
          </cell>
          <cell r="C393" t="str">
            <v>CO-A01M412</v>
          </cell>
          <cell r="D393" t="str">
            <v>CO-KN</v>
          </cell>
          <cell r="E393" t="str">
            <v>OTR-CO-KN</v>
          </cell>
          <cell r="F393" t="str">
            <v>OTR-KN</v>
          </cell>
          <cell r="G393" t="str">
            <v>A01M412</v>
          </cell>
          <cell r="H393" t="str">
            <v>OTR</v>
          </cell>
          <cell r="I393">
            <v>2002</v>
          </cell>
          <cell r="J393" t="str">
            <v>I</v>
          </cell>
          <cell r="K393" t="str">
            <v>CO</v>
          </cell>
          <cell r="L393" t="str">
            <v>KN</v>
          </cell>
          <cell r="X393">
            <v>16</v>
          </cell>
          <cell r="Y393">
            <v>0</v>
          </cell>
          <cell r="Z393">
            <v>16</v>
          </cell>
          <cell r="AA393">
            <v>0</v>
          </cell>
          <cell r="AB393">
            <v>16</v>
          </cell>
          <cell r="AC393">
            <v>0</v>
          </cell>
          <cell r="AD393">
            <v>0</v>
          </cell>
          <cell r="AE393">
            <v>16</v>
          </cell>
          <cell r="AF393">
            <v>0</v>
          </cell>
        </row>
        <row r="394">
          <cell r="B394" t="str">
            <v>IN-KE-A01M412</v>
          </cell>
          <cell r="C394" t="str">
            <v>IN-A01M412</v>
          </cell>
          <cell r="D394" t="str">
            <v>IN-KE</v>
          </cell>
          <cell r="E394" t="str">
            <v>OTR-IN-KE</v>
          </cell>
          <cell r="F394" t="str">
            <v>OTR-KE</v>
          </cell>
          <cell r="G394" t="str">
            <v>A01M412</v>
          </cell>
          <cell r="H394" t="str">
            <v>OTR</v>
          </cell>
          <cell r="I394">
            <v>2002</v>
          </cell>
          <cell r="J394" t="str">
            <v>I</v>
          </cell>
          <cell r="K394" t="str">
            <v>IN</v>
          </cell>
          <cell r="L394" t="str">
            <v>KE</v>
          </cell>
          <cell r="Y394">
            <v>0</v>
          </cell>
          <cell r="Z394">
            <v>0</v>
          </cell>
          <cell r="AA394">
            <v>0</v>
          </cell>
          <cell r="AB394">
            <v>0</v>
          </cell>
          <cell r="AC394">
            <v>0</v>
          </cell>
          <cell r="AD394">
            <v>0</v>
          </cell>
          <cell r="AE394">
            <v>0</v>
          </cell>
          <cell r="AF394">
            <v>0</v>
          </cell>
        </row>
        <row r="395">
          <cell r="B395" t="str">
            <v>IN-KN-A01M412</v>
          </cell>
          <cell r="C395" t="str">
            <v>IN-A01M412</v>
          </cell>
          <cell r="D395" t="str">
            <v>IN-KN</v>
          </cell>
          <cell r="E395" t="str">
            <v>OTR-IN-KN</v>
          </cell>
          <cell r="F395" t="str">
            <v>OTR-KN</v>
          </cell>
          <cell r="G395" t="str">
            <v>A01M412</v>
          </cell>
          <cell r="H395" t="str">
            <v>OTR</v>
          </cell>
          <cell r="I395">
            <v>2002</v>
          </cell>
          <cell r="J395" t="str">
            <v>I</v>
          </cell>
          <cell r="K395" t="str">
            <v>IN</v>
          </cell>
          <cell r="L395" t="str">
            <v>KN</v>
          </cell>
          <cell r="O395">
            <v>1</v>
          </cell>
          <cell r="P395">
            <v>1</v>
          </cell>
          <cell r="Q395">
            <v>5</v>
          </cell>
          <cell r="R395">
            <v>2</v>
          </cell>
          <cell r="S395">
            <v>3</v>
          </cell>
          <cell r="T395">
            <v>9</v>
          </cell>
          <cell r="U395">
            <v>12</v>
          </cell>
          <cell r="V395">
            <v>7</v>
          </cell>
          <cell r="W395">
            <v>8</v>
          </cell>
          <cell r="X395">
            <v>9</v>
          </cell>
          <cell r="Y395">
            <v>0</v>
          </cell>
          <cell r="Z395">
            <v>57</v>
          </cell>
          <cell r="AA395">
            <v>0</v>
          </cell>
          <cell r="AB395">
            <v>57</v>
          </cell>
          <cell r="AC395">
            <v>12</v>
          </cell>
          <cell r="AD395">
            <v>12</v>
          </cell>
          <cell r="AE395">
            <v>45</v>
          </cell>
          <cell r="AF395">
            <v>-1.4480550376000001</v>
          </cell>
        </row>
        <row r="396">
          <cell r="B396" t="str">
            <v>AD-KE-A01M415</v>
          </cell>
          <cell r="C396" t="str">
            <v>AD-A01M415</v>
          </cell>
          <cell r="D396" t="str">
            <v>AD-KE</v>
          </cell>
          <cell r="E396" t="str">
            <v>PRI-AD-KE</v>
          </cell>
          <cell r="F396" t="str">
            <v>PRI-KE</v>
          </cell>
          <cell r="G396" t="str">
            <v>A01M415</v>
          </cell>
          <cell r="H396" t="str">
            <v>PRI</v>
          </cell>
          <cell r="I396">
            <v>2001</v>
          </cell>
          <cell r="J396" t="str">
            <v>I</v>
          </cell>
          <cell r="K396" t="str">
            <v>AD</v>
          </cell>
          <cell r="L396" t="str">
            <v>KE</v>
          </cell>
          <cell r="Z396">
            <v>0</v>
          </cell>
          <cell r="AA396">
            <v>0</v>
          </cell>
          <cell r="AB396">
            <v>0</v>
          </cell>
          <cell r="AC396">
            <v>0</v>
          </cell>
          <cell r="AD396">
            <v>0</v>
          </cell>
          <cell r="AE396">
            <v>0</v>
          </cell>
          <cell r="AF396">
            <v>0</v>
          </cell>
        </row>
        <row r="397">
          <cell r="B397" t="str">
            <v>AD-KN-A01M415</v>
          </cell>
          <cell r="C397" t="str">
            <v>AD-A01M415</v>
          </cell>
          <cell r="D397" t="str">
            <v>AD-KN</v>
          </cell>
          <cell r="E397" t="str">
            <v>PRI-AD-KN</v>
          </cell>
          <cell r="F397" t="str">
            <v>PRI-KN</v>
          </cell>
          <cell r="G397" t="str">
            <v>A01M415</v>
          </cell>
          <cell r="H397" t="str">
            <v>PRI</v>
          </cell>
          <cell r="I397">
            <v>2001</v>
          </cell>
          <cell r="J397" t="str">
            <v>I</v>
          </cell>
          <cell r="K397" t="str">
            <v>AD</v>
          </cell>
          <cell r="L397" t="str">
            <v>KN</v>
          </cell>
          <cell r="T397">
            <v>993</v>
          </cell>
          <cell r="Z397">
            <v>993</v>
          </cell>
          <cell r="AA397">
            <v>0</v>
          </cell>
          <cell r="AB397">
            <v>993</v>
          </cell>
          <cell r="AC397">
            <v>0</v>
          </cell>
          <cell r="AD397">
            <v>0</v>
          </cell>
          <cell r="AE397">
            <v>993</v>
          </cell>
          <cell r="AF397">
            <v>0</v>
          </cell>
        </row>
        <row r="398">
          <cell r="B398" t="str">
            <v>CO-KE-A01M415</v>
          </cell>
          <cell r="C398" t="str">
            <v>CO-A01M415</v>
          </cell>
          <cell r="D398" t="str">
            <v>CO-KE</v>
          </cell>
          <cell r="E398" t="str">
            <v>PRI-CO-KE</v>
          </cell>
          <cell r="F398" t="str">
            <v>PRI-KE</v>
          </cell>
          <cell r="G398" t="str">
            <v>A01M415</v>
          </cell>
          <cell r="H398" t="str">
            <v>PRI</v>
          </cell>
          <cell r="I398">
            <v>2001</v>
          </cell>
          <cell r="J398" t="str">
            <v>I</v>
          </cell>
          <cell r="K398" t="str">
            <v>CO</v>
          </cell>
          <cell r="L398" t="str">
            <v>KE</v>
          </cell>
          <cell r="Z398">
            <v>0</v>
          </cell>
          <cell r="AA398">
            <v>0</v>
          </cell>
          <cell r="AB398">
            <v>0</v>
          </cell>
          <cell r="AC398">
            <v>0</v>
          </cell>
          <cell r="AD398">
            <v>0</v>
          </cell>
          <cell r="AE398">
            <v>0</v>
          </cell>
          <cell r="AF398">
            <v>0</v>
          </cell>
        </row>
        <row r="399">
          <cell r="B399" t="str">
            <v>CO-KN-A01M415</v>
          </cell>
          <cell r="C399" t="str">
            <v>CO-A01M415</v>
          </cell>
          <cell r="D399" t="str">
            <v>CO-KN</v>
          </cell>
          <cell r="E399" t="str">
            <v>PRI-CO-KN</v>
          </cell>
          <cell r="F399" t="str">
            <v>PRI-KN</v>
          </cell>
          <cell r="G399" t="str">
            <v>A01M415</v>
          </cell>
          <cell r="H399" t="str">
            <v>PRI</v>
          </cell>
          <cell r="I399">
            <v>2001</v>
          </cell>
          <cell r="J399" t="str">
            <v>I</v>
          </cell>
          <cell r="K399" t="str">
            <v>CO</v>
          </cell>
          <cell r="L399" t="str">
            <v>KN</v>
          </cell>
          <cell r="Z399">
            <v>0</v>
          </cell>
          <cell r="AA399">
            <v>0</v>
          </cell>
          <cell r="AB399">
            <v>0</v>
          </cell>
          <cell r="AC399">
            <v>0</v>
          </cell>
          <cell r="AD399">
            <v>0</v>
          </cell>
          <cell r="AE399">
            <v>0</v>
          </cell>
          <cell r="AF399">
            <v>0</v>
          </cell>
        </row>
        <row r="400">
          <cell r="B400" t="str">
            <v>IN-KE-A01M415</v>
          </cell>
          <cell r="C400" t="str">
            <v>IN-A01M415</v>
          </cell>
          <cell r="D400" t="str">
            <v>IN-KE</v>
          </cell>
          <cell r="E400" t="str">
            <v>PRI-IN-KE</v>
          </cell>
          <cell r="F400" t="str">
            <v>PRI-KE</v>
          </cell>
          <cell r="G400" t="str">
            <v>A01M415</v>
          </cell>
          <cell r="H400" t="str">
            <v>PRI</v>
          </cell>
          <cell r="I400">
            <v>2001</v>
          </cell>
          <cell r="J400" t="str">
            <v>I</v>
          </cell>
          <cell r="K400" t="str">
            <v>IN</v>
          </cell>
          <cell r="L400" t="str">
            <v>KE</v>
          </cell>
          <cell r="Z400">
            <v>0</v>
          </cell>
          <cell r="AA400">
            <v>0</v>
          </cell>
          <cell r="AB400">
            <v>0</v>
          </cell>
          <cell r="AC400">
            <v>0</v>
          </cell>
          <cell r="AD400">
            <v>0</v>
          </cell>
          <cell r="AE400">
            <v>0</v>
          </cell>
          <cell r="AF400">
            <v>0</v>
          </cell>
        </row>
        <row r="401">
          <cell r="B401" t="str">
            <v>IN-KN-A01M415</v>
          </cell>
          <cell r="C401" t="str">
            <v>IN-A01M415</v>
          </cell>
          <cell r="D401" t="str">
            <v>IN-KN</v>
          </cell>
          <cell r="E401" t="str">
            <v>PRI-IN-KN</v>
          </cell>
          <cell r="F401" t="str">
            <v>PRI-KN</v>
          </cell>
          <cell r="G401" t="str">
            <v>A01M415</v>
          </cell>
          <cell r="H401" t="str">
            <v>PRI</v>
          </cell>
          <cell r="I401">
            <v>2001</v>
          </cell>
          <cell r="J401" t="str">
            <v>I</v>
          </cell>
          <cell r="K401" t="str">
            <v>IN</v>
          </cell>
          <cell r="L401" t="str">
            <v>KN</v>
          </cell>
          <cell r="T401">
            <v>7</v>
          </cell>
          <cell r="U401">
            <v>4</v>
          </cell>
          <cell r="Z401">
            <v>11</v>
          </cell>
          <cell r="AA401">
            <v>0</v>
          </cell>
          <cell r="AB401">
            <v>11</v>
          </cell>
          <cell r="AC401">
            <v>0</v>
          </cell>
          <cell r="AD401">
            <v>0</v>
          </cell>
          <cell r="AE401">
            <v>11</v>
          </cell>
          <cell r="AF401">
            <v>0</v>
          </cell>
        </row>
        <row r="402">
          <cell r="B402" t="str">
            <v>AD-KE-A01M416</v>
          </cell>
          <cell r="C402" t="str">
            <v>AD-A01M416</v>
          </cell>
          <cell r="D402" t="str">
            <v>AD-KE</v>
          </cell>
          <cell r="E402" t="str">
            <v>PRI-AD-KE</v>
          </cell>
          <cell r="F402" t="str">
            <v>PRI-KE</v>
          </cell>
          <cell r="G402" t="str">
            <v>A01M416</v>
          </cell>
          <cell r="H402" t="str">
            <v>PRI</v>
          </cell>
          <cell r="I402">
            <v>2001</v>
          </cell>
          <cell r="J402" t="str">
            <v>I</v>
          </cell>
          <cell r="K402" t="str">
            <v>AD</v>
          </cell>
          <cell r="L402" t="str">
            <v>KE</v>
          </cell>
          <cell r="X402">
            <v>87</v>
          </cell>
          <cell r="Y402">
            <v>0</v>
          </cell>
          <cell r="Z402">
            <v>87</v>
          </cell>
          <cell r="AA402">
            <v>0</v>
          </cell>
          <cell r="AB402">
            <v>87</v>
          </cell>
          <cell r="AC402">
            <v>0</v>
          </cell>
          <cell r="AD402">
            <v>0</v>
          </cell>
          <cell r="AE402">
            <v>87</v>
          </cell>
          <cell r="AF402">
            <v>0</v>
          </cell>
        </row>
        <row r="403">
          <cell r="B403" t="str">
            <v>AD-KN-A01M416</v>
          </cell>
          <cell r="C403" t="str">
            <v>AD-A01M416</v>
          </cell>
          <cell r="D403" t="str">
            <v>AD-KN</v>
          </cell>
          <cell r="E403" t="str">
            <v>PRI-AD-KN</v>
          </cell>
          <cell r="F403" t="str">
            <v>PRI-KN</v>
          </cell>
          <cell r="G403" t="str">
            <v>A01M416</v>
          </cell>
          <cell r="H403" t="str">
            <v>PRI</v>
          </cell>
          <cell r="I403">
            <v>2001</v>
          </cell>
          <cell r="J403" t="str">
            <v>I</v>
          </cell>
          <cell r="K403" t="str">
            <v>AD</v>
          </cell>
          <cell r="L403" t="str">
            <v>KN</v>
          </cell>
          <cell r="O403">
            <v>213</v>
          </cell>
          <cell r="P403">
            <v>5</v>
          </cell>
          <cell r="Q403">
            <v>4</v>
          </cell>
          <cell r="U403">
            <v>27</v>
          </cell>
          <cell r="W403">
            <v>257</v>
          </cell>
          <cell r="X403">
            <v>112</v>
          </cell>
          <cell r="Y403">
            <v>0</v>
          </cell>
          <cell r="Z403">
            <v>618</v>
          </cell>
          <cell r="AA403">
            <v>0</v>
          </cell>
          <cell r="AB403">
            <v>618</v>
          </cell>
          <cell r="AC403">
            <v>222</v>
          </cell>
          <cell r="AD403">
            <v>222</v>
          </cell>
          <cell r="AE403">
            <v>396</v>
          </cell>
          <cell r="AF403">
            <v>-16.726100113499999</v>
          </cell>
        </row>
        <row r="404">
          <cell r="B404" t="str">
            <v>CO-KE-A01M416</v>
          </cell>
          <cell r="C404" t="str">
            <v>CO-A01M416</v>
          </cell>
          <cell r="D404" t="str">
            <v>CO-KE</v>
          </cell>
          <cell r="E404" t="str">
            <v>PRI-CO-KE</v>
          </cell>
          <cell r="F404" t="str">
            <v>PRI-KE</v>
          </cell>
          <cell r="G404" t="str">
            <v>A01M416</v>
          </cell>
          <cell r="H404" t="str">
            <v>PRI</v>
          </cell>
          <cell r="I404">
            <v>2001</v>
          </cell>
          <cell r="J404" t="str">
            <v>I</v>
          </cell>
          <cell r="K404" t="str">
            <v>CO</v>
          </cell>
          <cell r="L404" t="str">
            <v>KE</v>
          </cell>
          <cell r="Y404">
            <v>0</v>
          </cell>
          <cell r="Z404">
            <v>0</v>
          </cell>
          <cell r="AA404">
            <v>0</v>
          </cell>
          <cell r="AB404">
            <v>0</v>
          </cell>
          <cell r="AC404">
            <v>0</v>
          </cell>
          <cell r="AD404">
            <v>0</v>
          </cell>
          <cell r="AE404">
            <v>0</v>
          </cell>
          <cell r="AF404">
            <v>0</v>
          </cell>
        </row>
        <row r="405">
          <cell r="B405" t="str">
            <v>CO-KN-A01M416</v>
          </cell>
          <cell r="C405" t="str">
            <v>CO-A01M416</v>
          </cell>
          <cell r="D405" t="str">
            <v>CO-KN</v>
          </cell>
          <cell r="E405" t="str">
            <v>PRI-CO-KN</v>
          </cell>
          <cell r="F405" t="str">
            <v>PRI-KN</v>
          </cell>
          <cell r="G405" t="str">
            <v>A01M416</v>
          </cell>
          <cell r="H405" t="str">
            <v>PRI</v>
          </cell>
          <cell r="I405">
            <v>2001</v>
          </cell>
          <cell r="J405" t="str">
            <v>I</v>
          </cell>
          <cell r="K405" t="str">
            <v>CO</v>
          </cell>
          <cell r="L405" t="str">
            <v>KN</v>
          </cell>
          <cell r="O405">
            <v>105</v>
          </cell>
          <cell r="P405">
            <v>171</v>
          </cell>
          <cell r="Q405">
            <v>188</v>
          </cell>
          <cell r="R405">
            <v>30</v>
          </cell>
          <cell r="S405">
            <v>3</v>
          </cell>
          <cell r="T405">
            <v>84</v>
          </cell>
          <cell r="U405">
            <v>23</v>
          </cell>
          <cell r="V405">
            <v>106</v>
          </cell>
          <cell r="W405">
            <v>350</v>
          </cell>
          <cell r="X405">
            <v>195</v>
          </cell>
          <cell r="Y405">
            <v>0</v>
          </cell>
          <cell r="Z405">
            <v>1255</v>
          </cell>
          <cell r="AA405">
            <v>0</v>
          </cell>
          <cell r="AB405">
            <v>1255</v>
          </cell>
          <cell r="AC405">
            <v>497</v>
          </cell>
          <cell r="AD405">
            <v>497</v>
          </cell>
          <cell r="AE405">
            <v>758</v>
          </cell>
          <cell r="AF405">
            <v>-45.182278040499995</v>
          </cell>
        </row>
        <row r="406">
          <cell r="B406" t="str">
            <v>IN-KE-A01M416</v>
          </cell>
          <cell r="C406" t="str">
            <v>IN-A01M416</v>
          </cell>
          <cell r="D406" t="str">
            <v>IN-KE</v>
          </cell>
          <cell r="E406" t="str">
            <v>PRI-IN-KE</v>
          </cell>
          <cell r="F406" t="str">
            <v>PRI-KE</v>
          </cell>
          <cell r="G406" t="str">
            <v>A01M416</v>
          </cell>
          <cell r="H406" t="str">
            <v>PRI</v>
          </cell>
          <cell r="I406">
            <v>2001</v>
          </cell>
          <cell r="J406" t="str">
            <v>I</v>
          </cell>
          <cell r="K406" t="str">
            <v>IN</v>
          </cell>
          <cell r="L406" t="str">
            <v>KE</v>
          </cell>
          <cell r="T406">
            <v>0</v>
          </cell>
          <cell r="Y406">
            <v>0</v>
          </cell>
          <cell r="Z406">
            <v>0</v>
          </cell>
          <cell r="AA406">
            <v>0</v>
          </cell>
          <cell r="AB406">
            <v>0</v>
          </cell>
          <cell r="AC406">
            <v>0</v>
          </cell>
          <cell r="AD406">
            <v>0</v>
          </cell>
          <cell r="AE406">
            <v>0</v>
          </cell>
          <cell r="AF406">
            <v>0</v>
          </cell>
        </row>
        <row r="407">
          <cell r="B407" t="str">
            <v>IN-KN-A01M416</v>
          </cell>
          <cell r="C407" t="str">
            <v>IN-A01M416</v>
          </cell>
          <cell r="D407" t="str">
            <v>IN-KN</v>
          </cell>
          <cell r="E407" t="str">
            <v>PRI-IN-KN</v>
          </cell>
          <cell r="F407" t="str">
            <v>PRI-KN</v>
          </cell>
          <cell r="G407" t="str">
            <v>A01M416</v>
          </cell>
          <cell r="H407" t="str">
            <v>PRI</v>
          </cell>
          <cell r="I407">
            <v>2001</v>
          </cell>
          <cell r="J407" t="str">
            <v>I</v>
          </cell>
          <cell r="K407" t="str">
            <v>IN</v>
          </cell>
          <cell r="L407" t="str">
            <v>KN</v>
          </cell>
          <cell r="O407">
            <v>62</v>
          </cell>
          <cell r="P407">
            <v>10</v>
          </cell>
          <cell r="Q407">
            <v>16</v>
          </cell>
          <cell r="R407">
            <v>18</v>
          </cell>
          <cell r="S407">
            <v>16</v>
          </cell>
          <cell r="T407">
            <v>7</v>
          </cell>
          <cell r="U407">
            <v>5</v>
          </cell>
          <cell r="V407">
            <v>7</v>
          </cell>
          <cell r="W407">
            <v>7</v>
          </cell>
          <cell r="X407">
            <v>30</v>
          </cell>
          <cell r="Y407">
            <v>0</v>
          </cell>
          <cell r="Z407">
            <v>178</v>
          </cell>
          <cell r="AA407">
            <v>0</v>
          </cell>
          <cell r="AB407">
            <v>178</v>
          </cell>
          <cell r="AC407">
            <v>122</v>
          </cell>
          <cell r="AD407">
            <v>122</v>
          </cell>
          <cell r="AE407">
            <v>56</v>
          </cell>
          <cell r="AF407">
            <v>-12.201304405799998</v>
          </cell>
        </row>
        <row r="408">
          <cell r="B408" t="str">
            <v>AD-KE-A99M101</v>
          </cell>
          <cell r="C408" t="str">
            <v>AD-A99M101</v>
          </cell>
          <cell r="D408" t="str">
            <v>AD-KE</v>
          </cell>
          <cell r="E408" t="str">
            <v>DIV-AD-KE</v>
          </cell>
          <cell r="F408" t="str">
            <v>DIV-KE</v>
          </cell>
          <cell r="G408" t="str">
            <v>A99M101</v>
          </cell>
          <cell r="H408" t="str">
            <v>DIV</v>
          </cell>
          <cell r="I408">
            <v>1999</v>
          </cell>
          <cell r="J408" t="str">
            <v>I</v>
          </cell>
          <cell r="K408" t="str">
            <v>AD</v>
          </cell>
          <cell r="L408" t="str">
            <v>KE</v>
          </cell>
          <cell r="Y408">
            <v>0</v>
          </cell>
          <cell r="Z408">
            <v>0</v>
          </cell>
          <cell r="AA408">
            <v>0</v>
          </cell>
          <cell r="AB408">
            <v>0</v>
          </cell>
          <cell r="AC408">
            <v>0</v>
          </cell>
          <cell r="AD408">
            <v>0</v>
          </cell>
          <cell r="AE408">
            <v>0</v>
          </cell>
          <cell r="AF408">
            <v>0</v>
          </cell>
        </row>
        <row r="409">
          <cell r="B409" t="str">
            <v>AD-KN-A99M101</v>
          </cell>
          <cell r="C409" t="str">
            <v>AD-A99M101</v>
          </cell>
          <cell r="D409" t="str">
            <v>AD-KN</v>
          </cell>
          <cell r="E409" t="str">
            <v>DIV-AD-KN</v>
          </cell>
          <cell r="F409" t="str">
            <v>DIV-KN</v>
          </cell>
          <cell r="G409" t="str">
            <v>A99M101</v>
          </cell>
          <cell r="H409" t="str">
            <v>DIV</v>
          </cell>
          <cell r="I409">
            <v>1999</v>
          </cell>
          <cell r="J409" t="str">
            <v>I</v>
          </cell>
          <cell r="K409" t="str">
            <v>AD</v>
          </cell>
          <cell r="L409" t="str">
            <v>KN</v>
          </cell>
          <cell r="Y409">
            <v>0</v>
          </cell>
          <cell r="Z409">
            <v>0</v>
          </cell>
          <cell r="AA409">
            <v>0</v>
          </cell>
          <cell r="AB409">
            <v>0</v>
          </cell>
          <cell r="AC409">
            <v>0</v>
          </cell>
          <cell r="AD409">
            <v>0</v>
          </cell>
          <cell r="AE409">
            <v>0</v>
          </cell>
          <cell r="AF409">
            <v>0</v>
          </cell>
        </row>
        <row r="410">
          <cell r="B410" t="str">
            <v>CO-KE-A99M101</v>
          </cell>
          <cell r="C410" t="str">
            <v>CO-A99M101</v>
          </cell>
          <cell r="D410" t="str">
            <v>CO-KE</v>
          </cell>
          <cell r="E410" t="str">
            <v>DIV-CO-KE</v>
          </cell>
          <cell r="F410" t="str">
            <v>DIV-KE</v>
          </cell>
          <cell r="G410" t="str">
            <v>A99M101</v>
          </cell>
          <cell r="H410" t="str">
            <v>DIV</v>
          </cell>
          <cell r="I410">
            <v>1999</v>
          </cell>
          <cell r="J410" t="str">
            <v>I</v>
          </cell>
          <cell r="K410" t="str">
            <v>CO</v>
          </cell>
          <cell r="L410" t="str">
            <v>KE</v>
          </cell>
          <cell r="Y410">
            <v>0</v>
          </cell>
          <cell r="Z410">
            <v>0</v>
          </cell>
          <cell r="AA410">
            <v>0</v>
          </cell>
          <cell r="AB410">
            <v>0</v>
          </cell>
          <cell r="AC410">
            <v>0</v>
          </cell>
          <cell r="AD410">
            <v>0</v>
          </cell>
          <cell r="AE410">
            <v>0</v>
          </cell>
          <cell r="AF410">
            <v>0</v>
          </cell>
        </row>
        <row r="411">
          <cell r="B411" t="str">
            <v>CO-KN-A99M101</v>
          </cell>
          <cell r="C411" t="str">
            <v>CO-A99M101</v>
          </cell>
          <cell r="D411" t="str">
            <v>CO-KN</v>
          </cell>
          <cell r="E411" t="str">
            <v>DIV-CO-KN</v>
          </cell>
          <cell r="F411" t="str">
            <v>DIV-KN</v>
          </cell>
          <cell r="G411" t="str">
            <v>A99M101</v>
          </cell>
          <cell r="H411" t="str">
            <v>DIV</v>
          </cell>
          <cell r="I411">
            <v>1999</v>
          </cell>
          <cell r="J411" t="str">
            <v>I</v>
          </cell>
          <cell r="K411" t="str">
            <v>CO</v>
          </cell>
          <cell r="L411" t="str">
            <v>KN</v>
          </cell>
          <cell r="Y411">
            <v>0</v>
          </cell>
          <cell r="Z411">
            <v>0</v>
          </cell>
          <cell r="AA411">
            <v>0</v>
          </cell>
          <cell r="AB411">
            <v>0</v>
          </cell>
          <cell r="AC411">
            <v>0</v>
          </cell>
          <cell r="AD411">
            <v>0</v>
          </cell>
          <cell r="AE411">
            <v>0</v>
          </cell>
          <cell r="AF411">
            <v>0</v>
          </cell>
        </row>
        <row r="412">
          <cell r="B412" t="str">
            <v>IN-KE-A99M101</v>
          </cell>
          <cell r="C412" t="str">
            <v>IN-A99M101</v>
          </cell>
          <cell r="D412" t="str">
            <v>IN-KE</v>
          </cell>
          <cell r="E412" t="str">
            <v>DIV-IN-KE</v>
          </cell>
          <cell r="F412" t="str">
            <v>DIV-KE</v>
          </cell>
          <cell r="G412" t="str">
            <v>A99M101</v>
          </cell>
          <cell r="H412" t="str">
            <v>DIV</v>
          </cell>
          <cell r="I412">
            <v>1999</v>
          </cell>
          <cell r="J412" t="str">
            <v>I</v>
          </cell>
          <cell r="K412" t="str">
            <v>IN</v>
          </cell>
          <cell r="L412" t="str">
            <v>KE</v>
          </cell>
          <cell r="Y412">
            <v>0</v>
          </cell>
          <cell r="Z412">
            <v>0</v>
          </cell>
          <cell r="AA412">
            <v>0</v>
          </cell>
          <cell r="AB412">
            <v>0</v>
          </cell>
          <cell r="AC412">
            <v>0</v>
          </cell>
          <cell r="AD412">
            <v>0</v>
          </cell>
          <cell r="AE412">
            <v>0</v>
          </cell>
          <cell r="AF412">
            <v>0</v>
          </cell>
        </row>
        <row r="413">
          <cell r="B413" t="str">
            <v>IN-KN-A99M101</v>
          </cell>
          <cell r="C413" t="str">
            <v>IN-A99M101</v>
          </cell>
          <cell r="D413" t="str">
            <v>IN-KN</v>
          </cell>
          <cell r="E413" t="str">
            <v>DIV-IN-KN</v>
          </cell>
          <cell r="F413" t="str">
            <v>DIV-KN</v>
          </cell>
          <cell r="G413" t="str">
            <v>A99M101</v>
          </cell>
          <cell r="H413" t="str">
            <v>DIV</v>
          </cell>
          <cell r="I413">
            <v>1999</v>
          </cell>
          <cell r="J413" t="str">
            <v>I</v>
          </cell>
          <cell r="K413" t="str">
            <v>IN</v>
          </cell>
          <cell r="L413" t="str">
            <v>KN</v>
          </cell>
          <cell r="Y413">
            <v>0</v>
          </cell>
          <cell r="Z413">
            <v>0</v>
          </cell>
          <cell r="AA413">
            <v>0</v>
          </cell>
          <cell r="AB413">
            <v>0</v>
          </cell>
          <cell r="AC413">
            <v>0</v>
          </cell>
          <cell r="AD413">
            <v>0</v>
          </cell>
          <cell r="AE413">
            <v>0</v>
          </cell>
          <cell r="AF413">
            <v>0</v>
          </cell>
        </row>
        <row r="414">
          <cell r="B414" t="str">
            <v>AD-KE-A99M102</v>
          </cell>
          <cell r="C414" t="str">
            <v>AD-A99M102</v>
          </cell>
          <cell r="D414" t="str">
            <v>AD-KE</v>
          </cell>
          <cell r="E414" t="str">
            <v>DIV-AD-KE</v>
          </cell>
          <cell r="F414" t="str">
            <v>DIV-KE</v>
          </cell>
          <cell r="G414" t="str">
            <v>A99M102</v>
          </cell>
          <cell r="H414" t="str">
            <v>DIV</v>
          </cell>
          <cell r="I414">
            <v>1999</v>
          </cell>
          <cell r="J414" t="str">
            <v>I</v>
          </cell>
          <cell r="K414" t="str">
            <v>AD</v>
          </cell>
          <cell r="L414" t="str">
            <v>KE</v>
          </cell>
          <cell r="Y414">
            <v>0</v>
          </cell>
          <cell r="Z414">
            <v>0</v>
          </cell>
          <cell r="AA414">
            <v>0</v>
          </cell>
          <cell r="AB414">
            <v>0</v>
          </cell>
          <cell r="AC414">
            <v>0</v>
          </cell>
          <cell r="AD414">
            <v>0</v>
          </cell>
          <cell r="AE414">
            <v>0</v>
          </cell>
          <cell r="AF414">
            <v>0</v>
          </cell>
        </row>
        <row r="415">
          <cell r="B415" t="str">
            <v>AD-KN-A99M102</v>
          </cell>
          <cell r="C415" t="str">
            <v>AD-A99M102</v>
          </cell>
          <cell r="D415" t="str">
            <v>AD-KN</v>
          </cell>
          <cell r="E415" t="str">
            <v>DIV-AD-KN</v>
          </cell>
          <cell r="F415" t="str">
            <v>DIV-KN</v>
          </cell>
          <cell r="G415" t="str">
            <v>A99M102</v>
          </cell>
          <cell r="H415" t="str">
            <v>DIV</v>
          </cell>
          <cell r="I415">
            <v>1999</v>
          </cell>
          <cell r="J415" t="str">
            <v>I</v>
          </cell>
          <cell r="K415" t="str">
            <v>AD</v>
          </cell>
          <cell r="L415" t="str">
            <v>KN</v>
          </cell>
          <cell r="Y415">
            <v>0</v>
          </cell>
          <cell r="Z415">
            <v>0</v>
          </cell>
          <cell r="AA415">
            <v>0</v>
          </cell>
          <cell r="AB415">
            <v>0</v>
          </cell>
          <cell r="AC415">
            <v>0</v>
          </cell>
          <cell r="AD415">
            <v>0</v>
          </cell>
          <cell r="AE415">
            <v>0</v>
          </cell>
          <cell r="AF415">
            <v>0</v>
          </cell>
        </row>
        <row r="416">
          <cell r="B416" t="str">
            <v>CO-KE-A99M102</v>
          </cell>
          <cell r="C416" t="str">
            <v>CO-A99M102</v>
          </cell>
          <cell r="D416" t="str">
            <v>CO-KE</v>
          </cell>
          <cell r="E416" t="str">
            <v>DIV-CO-KE</v>
          </cell>
          <cell r="F416" t="str">
            <v>DIV-KE</v>
          </cell>
          <cell r="G416" t="str">
            <v>A99M102</v>
          </cell>
          <cell r="H416" t="str">
            <v>DIV</v>
          </cell>
          <cell r="I416">
            <v>1999</v>
          </cell>
          <cell r="J416" t="str">
            <v>I</v>
          </cell>
          <cell r="K416" t="str">
            <v>CO</v>
          </cell>
          <cell r="L416" t="str">
            <v>KE</v>
          </cell>
          <cell r="Y416">
            <v>0</v>
          </cell>
          <cell r="Z416">
            <v>0</v>
          </cell>
          <cell r="AA416">
            <v>0</v>
          </cell>
          <cell r="AB416">
            <v>0</v>
          </cell>
          <cell r="AC416">
            <v>0</v>
          </cell>
          <cell r="AD416">
            <v>0</v>
          </cell>
          <cell r="AE416">
            <v>0</v>
          </cell>
          <cell r="AF416">
            <v>0</v>
          </cell>
        </row>
        <row r="417">
          <cell r="B417" t="str">
            <v>CO-KN-A99M102</v>
          </cell>
          <cell r="C417" t="str">
            <v>CO-A99M102</v>
          </cell>
          <cell r="D417" t="str">
            <v>CO-KN</v>
          </cell>
          <cell r="E417" t="str">
            <v>DIV-CO-KN</v>
          </cell>
          <cell r="F417" t="str">
            <v>DIV-KN</v>
          </cell>
          <cell r="G417" t="str">
            <v>A99M102</v>
          </cell>
          <cell r="H417" t="str">
            <v>DIV</v>
          </cell>
          <cell r="I417">
            <v>1999</v>
          </cell>
          <cell r="J417" t="str">
            <v>I</v>
          </cell>
          <cell r="K417" t="str">
            <v>CO</v>
          </cell>
          <cell r="L417" t="str">
            <v>KN</v>
          </cell>
          <cell r="Y417">
            <v>0</v>
          </cell>
          <cell r="Z417">
            <v>0</v>
          </cell>
          <cell r="AA417">
            <v>0</v>
          </cell>
          <cell r="AB417">
            <v>0</v>
          </cell>
          <cell r="AC417">
            <v>0</v>
          </cell>
          <cell r="AD417">
            <v>0</v>
          </cell>
          <cell r="AE417">
            <v>0</v>
          </cell>
          <cell r="AF417">
            <v>0</v>
          </cell>
        </row>
        <row r="418">
          <cell r="B418" t="str">
            <v>IN-KE-A99M102</v>
          </cell>
          <cell r="C418" t="str">
            <v>IN-A99M102</v>
          </cell>
          <cell r="D418" t="str">
            <v>IN-KE</v>
          </cell>
          <cell r="E418" t="str">
            <v>DIV-IN-KE</v>
          </cell>
          <cell r="F418" t="str">
            <v>DIV-KE</v>
          </cell>
          <cell r="G418" t="str">
            <v>A99M102</v>
          </cell>
          <cell r="H418" t="str">
            <v>DIV</v>
          </cell>
          <cell r="I418">
            <v>1999</v>
          </cell>
          <cell r="J418" t="str">
            <v>I</v>
          </cell>
          <cell r="K418" t="str">
            <v>IN</v>
          </cell>
          <cell r="L418" t="str">
            <v>KE</v>
          </cell>
          <cell r="Y418">
            <v>0</v>
          </cell>
          <cell r="Z418">
            <v>0</v>
          </cell>
          <cell r="AA418">
            <v>0</v>
          </cell>
          <cell r="AB418">
            <v>0</v>
          </cell>
          <cell r="AC418">
            <v>0</v>
          </cell>
          <cell r="AD418">
            <v>0</v>
          </cell>
          <cell r="AE418">
            <v>0</v>
          </cell>
          <cell r="AF418">
            <v>0</v>
          </cell>
        </row>
        <row r="419">
          <cell r="B419" t="str">
            <v>IN-KN-A99M102</v>
          </cell>
          <cell r="C419" t="str">
            <v>IN-A99M102</v>
          </cell>
          <cell r="D419" t="str">
            <v>IN-KN</v>
          </cell>
          <cell r="E419" t="str">
            <v>DIV-IN-KN</v>
          </cell>
          <cell r="F419" t="str">
            <v>DIV-KN</v>
          </cell>
          <cell r="G419" t="str">
            <v>A99M102</v>
          </cell>
          <cell r="H419" t="str">
            <v>DIV</v>
          </cell>
          <cell r="I419">
            <v>1999</v>
          </cell>
          <cell r="J419" t="str">
            <v>I</v>
          </cell>
          <cell r="K419" t="str">
            <v>IN</v>
          </cell>
          <cell r="L419" t="str">
            <v>KN</v>
          </cell>
          <cell r="Y419">
            <v>0</v>
          </cell>
          <cell r="Z419">
            <v>0</v>
          </cell>
          <cell r="AA419">
            <v>0</v>
          </cell>
          <cell r="AB419">
            <v>0</v>
          </cell>
          <cell r="AC419">
            <v>0</v>
          </cell>
          <cell r="AD419">
            <v>0</v>
          </cell>
          <cell r="AE419">
            <v>0</v>
          </cell>
          <cell r="AF419">
            <v>0</v>
          </cell>
        </row>
        <row r="420">
          <cell r="B420" t="str">
            <v>AD-KE-A99M103</v>
          </cell>
          <cell r="C420" t="str">
            <v>AD-A99M103</v>
          </cell>
          <cell r="D420" t="str">
            <v>AD-KE</v>
          </cell>
          <cell r="E420" t="str">
            <v>DIV-AD-KE</v>
          </cell>
          <cell r="F420" t="str">
            <v>DIV-KE</v>
          </cell>
          <cell r="G420" t="str">
            <v>A99M103</v>
          </cell>
          <cell r="H420" t="str">
            <v>DIV</v>
          </cell>
          <cell r="I420">
            <v>2000</v>
          </cell>
          <cell r="J420" t="str">
            <v>I</v>
          </cell>
          <cell r="K420" t="str">
            <v>AD</v>
          </cell>
          <cell r="L420" t="str">
            <v>KE</v>
          </cell>
          <cell r="Y420">
            <v>0</v>
          </cell>
          <cell r="Z420">
            <v>0</v>
          </cell>
          <cell r="AA420">
            <v>0</v>
          </cell>
          <cell r="AB420">
            <v>0</v>
          </cell>
          <cell r="AC420">
            <v>0</v>
          </cell>
          <cell r="AD420">
            <v>0</v>
          </cell>
          <cell r="AE420">
            <v>0</v>
          </cell>
          <cell r="AF420">
            <v>0</v>
          </cell>
        </row>
        <row r="421">
          <cell r="B421" t="str">
            <v>AD-KN-A99M103</v>
          </cell>
          <cell r="C421" t="str">
            <v>AD-A99M103</v>
          </cell>
          <cell r="D421" t="str">
            <v>AD-KN</v>
          </cell>
          <cell r="E421" t="str">
            <v>DIV-AD-KN</v>
          </cell>
          <cell r="F421" t="str">
            <v>DIV-KN</v>
          </cell>
          <cell r="G421" t="str">
            <v>A99M103</v>
          </cell>
          <cell r="H421" t="str">
            <v>DIV</v>
          </cell>
          <cell r="I421">
            <v>2000</v>
          </cell>
          <cell r="J421" t="str">
            <v>I</v>
          </cell>
          <cell r="K421" t="str">
            <v>AD</v>
          </cell>
          <cell r="L421" t="str">
            <v>KN</v>
          </cell>
          <cell r="Y421">
            <v>0</v>
          </cell>
          <cell r="Z421">
            <v>0</v>
          </cell>
          <cell r="AA421">
            <v>0</v>
          </cell>
          <cell r="AB421">
            <v>0</v>
          </cell>
          <cell r="AC421">
            <v>0</v>
          </cell>
          <cell r="AD421">
            <v>0</v>
          </cell>
          <cell r="AE421">
            <v>0</v>
          </cell>
          <cell r="AF421">
            <v>0</v>
          </cell>
        </row>
        <row r="422">
          <cell r="B422" t="str">
            <v>CO-KE-A99M103</v>
          </cell>
          <cell r="C422" t="str">
            <v>CO-A99M103</v>
          </cell>
          <cell r="D422" t="str">
            <v>CO-KE</v>
          </cell>
          <cell r="E422" t="str">
            <v>DIV-CO-KE</v>
          </cell>
          <cell r="F422" t="str">
            <v>DIV-KE</v>
          </cell>
          <cell r="G422" t="str">
            <v>A99M103</v>
          </cell>
          <cell r="H422" t="str">
            <v>DIV</v>
          </cell>
          <cell r="I422">
            <v>2000</v>
          </cell>
          <cell r="J422" t="str">
            <v>I</v>
          </cell>
          <cell r="K422" t="str">
            <v>CO</v>
          </cell>
          <cell r="L422" t="str">
            <v>KE</v>
          </cell>
          <cell r="Y422">
            <v>0</v>
          </cell>
          <cell r="Z422">
            <v>0</v>
          </cell>
          <cell r="AA422">
            <v>0</v>
          </cell>
          <cell r="AB422">
            <v>0</v>
          </cell>
          <cell r="AC422">
            <v>0</v>
          </cell>
          <cell r="AD422">
            <v>0</v>
          </cell>
          <cell r="AE422">
            <v>0</v>
          </cell>
          <cell r="AF422">
            <v>0</v>
          </cell>
        </row>
        <row r="423">
          <cell r="B423" t="str">
            <v>CO-KN-A99M103</v>
          </cell>
          <cell r="C423" t="str">
            <v>CO-A99M103</v>
          </cell>
          <cell r="D423" t="str">
            <v>CO-KN</v>
          </cell>
          <cell r="E423" t="str">
            <v>DIV-CO-KN</v>
          </cell>
          <cell r="F423" t="str">
            <v>DIV-KN</v>
          </cell>
          <cell r="G423" t="str">
            <v>A99M103</v>
          </cell>
          <cell r="H423" t="str">
            <v>DIV</v>
          </cell>
          <cell r="I423">
            <v>2000</v>
          </cell>
          <cell r="J423" t="str">
            <v>I</v>
          </cell>
          <cell r="K423" t="str">
            <v>CO</v>
          </cell>
          <cell r="L423" t="str">
            <v>KN</v>
          </cell>
          <cell r="Y423">
            <v>0</v>
          </cell>
          <cell r="Z423">
            <v>0</v>
          </cell>
          <cell r="AA423">
            <v>0</v>
          </cell>
          <cell r="AB423">
            <v>0</v>
          </cell>
          <cell r="AC423">
            <v>0</v>
          </cell>
          <cell r="AD423">
            <v>0</v>
          </cell>
          <cell r="AE423">
            <v>0</v>
          </cell>
          <cell r="AF423">
            <v>0</v>
          </cell>
        </row>
        <row r="424">
          <cell r="B424" t="str">
            <v>IN-KE-A99M103</v>
          </cell>
          <cell r="C424" t="str">
            <v>IN-A99M103</v>
          </cell>
          <cell r="D424" t="str">
            <v>IN-KE</v>
          </cell>
          <cell r="E424" t="str">
            <v>DIV-IN-KE</v>
          </cell>
          <cell r="F424" t="str">
            <v>DIV-KE</v>
          </cell>
          <cell r="G424" t="str">
            <v>A99M103</v>
          </cell>
          <cell r="H424" t="str">
            <v>DIV</v>
          </cell>
          <cell r="I424">
            <v>2000</v>
          </cell>
          <cell r="J424" t="str">
            <v>I</v>
          </cell>
          <cell r="K424" t="str">
            <v>IN</v>
          </cell>
          <cell r="L424" t="str">
            <v>KE</v>
          </cell>
          <cell r="Y424">
            <v>0</v>
          </cell>
          <cell r="Z424">
            <v>0</v>
          </cell>
          <cell r="AA424">
            <v>0</v>
          </cell>
          <cell r="AB424">
            <v>0</v>
          </cell>
          <cell r="AC424">
            <v>0</v>
          </cell>
          <cell r="AD424">
            <v>0</v>
          </cell>
          <cell r="AE424">
            <v>0</v>
          </cell>
          <cell r="AF424">
            <v>0</v>
          </cell>
        </row>
        <row r="425">
          <cell r="B425" t="str">
            <v>IN-KN-A99M103</v>
          </cell>
          <cell r="C425" t="str">
            <v>IN-A99M103</v>
          </cell>
          <cell r="D425" t="str">
            <v>IN-KN</v>
          </cell>
          <cell r="E425" t="str">
            <v>DIV-IN-KN</v>
          </cell>
          <cell r="F425" t="str">
            <v>DIV-KN</v>
          </cell>
          <cell r="G425" t="str">
            <v>A99M103</v>
          </cell>
          <cell r="H425" t="str">
            <v>DIV</v>
          </cell>
          <cell r="I425">
            <v>2000</v>
          </cell>
          <cell r="J425" t="str">
            <v>I</v>
          </cell>
          <cell r="K425" t="str">
            <v>IN</v>
          </cell>
          <cell r="L425" t="str">
            <v>KN</v>
          </cell>
          <cell r="Y425">
            <v>0</v>
          </cell>
          <cell r="Z425">
            <v>0</v>
          </cell>
          <cell r="AA425">
            <v>0</v>
          </cell>
          <cell r="AB425">
            <v>0</v>
          </cell>
          <cell r="AC425">
            <v>0</v>
          </cell>
          <cell r="AD425">
            <v>0</v>
          </cell>
          <cell r="AE425">
            <v>0</v>
          </cell>
          <cell r="AF425">
            <v>0</v>
          </cell>
        </row>
        <row r="426">
          <cell r="B426" t="str">
            <v>AD-KE-A99M301</v>
          </cell>
          <cell r="C426" t="str">
            <v>AD-A99M301</v>
          </cell>
          <cell r="D426" t="str">
            <v>AD-KE</v>
          </cell>
          <cell r="E426" t="str">
            <v>DIV-AD-KE</v>
          </cell>
          <cell r="F426" t="str">
            <v>DIV-KE</v>
          </cell>
          <cell r="G426" t="str">
            <v>A99M301</v>
          </cell>
          <cell r="H426" t="str">
            <v>DIV</v>
          </cell>
          <cell r="I426">
            <v>1999</v>
          </cell>
          <cell r="J426" t="str">
            <v>I</v>
          </cell>
          <cell r="K426" t="str">
            <v>AD</v>
          </cell>
          <cell r="L426" t="str">
            <v>KE</v>
          </cell>
          <cell r="Y426">
            <v>0</v>
          </cell>
          <cell r="Z426">
            <v>0</v>
          </cell>
          <cell r="AA426">
            <v>0</v>
          </cell>
          <cell r="AB426">
            <v>0</v>
          </cell>
          <cell r="AC426">
            <v>0</v>
          </cell>
          <cell r="AD426">
            <v>0</v>
          </cell>
          <cell r="AE426">
            <v>0</v>
          </cell>
          <cell r="AF426">
            <v>0</v>
          </cell>
        </row>
        <row r="427">
          <cell r="B427" t="str">
            <v>AD-KN-A99M301</v>
          </cell>
          <cell r="C427" t="str">
            <v>AD-A99M301</v>
          </cell>
          <cell r="D427" t="str">
            <v>AD-KN</v>
          </cell>
          <cell r="E427" t="str">
            <v>DIV-AD-KN</v>
          </cell>
          <cell r="F427" t="str">
            <v>DIV-KN</v>
          </cell>
          <cell r="G427" t="str">
            <v>A99M301</v>
          </cell>
          <cell r="H427" t="str">
            <v>DIV</v>
          </cell>
          <cell r="I427">
            <v>1999</v>
          </cell>
          <cell r="J427" t="str">
            <v>I</v>
          </cell>
          <cell r="K427" t="str">
            <v>AD</v>
          </cell>
          <cell r="L427" t="str">
            <v>KN</v>
          </cell>
          <cell r="Y427">
            <v>0</v>
          </cell>
          <cell r="Z427">
            <v>0</v>
          </cell>
          <cell r="AA427">
            <v>0</v>
          </cell>
          <cell r="AB427">
            <v>0</v>
          </cell>
          <cell r="AC427">
            <v>0</v>
          </cell>
          <cell r="AD427">
            <v>0</v>
          </cell>
          <cell r="AE427">
            <v>0</v>
          </cell>
          <cell r="AF427">
            <v>0</v>
          </cell>
        </row>
        <row r="428">
          <cell r="B428" t="str">
            <v>CO-KE-A99M301</v>
          </cell>
          <cell r="C428" t="str">
            <v>CO-A99M301</v>
          </cell>
          <cell r="D428" t="str">
            <v>CO-KE</v>
          </cell>
          <cell r="E428" t="str">
            <v>DIV-CO-KE</v>
          </cell>
          <cell r="F428" t="str">
            <v>DIV-KE</v>
          </cell>
          <cell r="G428" t="str">
            <v>A99M301</v>
          </cell>
          <cell r="H428" t="str">
            <v>DIV</v>
          </cell>
          <cell r="I428">
            <v>1999</v>
          </cell>
          <cell r="J428" t="str">
            <v>I</v>
          </cell>
          <cell r="K428" t="str">
            <v>CO</v>
          </cell>
          <cell r="L428" t="str">
            <v>KE</v>
          </cell>
          <cell r="Y428">
            <v>0</v>
          </cell>
          <cell r="Z428">
            <v>0</v>
          </cell>
          <cell r="AA428">
            <v>0</v>
          </cell>
          <cell r="AB428">
            <v>0</v>
          </cell>
          <cell r="AC428">
            <v>0</v>
          </cell>
          <cell r="AD428">
            <v>0</v>
          </cell>
          <cell r="AE428">
            <v>0</v>
          </cell>
          <cell r="AF428">
            <v>0</v>
          </cell>
        </row>
        <row r="429">
          <cell r="B429" t="str">
            <v>CO-KN-A99M301</v>
          </cell>
          <cell r="C429" t="str">
            <v>CO-A99M301</v>
          </cell>
          <cell r="D429" t="str">
            <v>CO-KN</v>
          </cell>
          <cell r="E429" t="str">
            <v>DIV-CO-KN</v>
          </cell>
          <cell r="F429" t="str">
            <v>DIV-KN</v>
          </cell>
          <cell r="G429" t="str">
            <v>A99M301</v>
          </cell>
          <cell r="H429" t="str">
            <v>DIV</v>
          </cell>
          <cell r="I429">
            <v>1999</v>
          </cell>
          <cell r="J429" t="str">
            <v>I</v>
          </cell>
          <cell r="K429" t="str">
            <v>CO</v>
          </cell>
          <cell r="L429" t="str">
            <v>KN</v>
          </cell>
          <cell r="Y429">
            <v>0</v>
          </cell>
          <cell r="Z429">
            <v>0</v>
          </cell>
          <cell r="AA429">
            <v>0</v>
          </cell>
          <cell r="AB429">
            <v>0</v>
          </cell>
          <cell r="AC429">
            <v>0</v>
          </cell>
          <cell r="AD429">
            <v>0</v>
          </cell>
          <cell r="AE429">
            <v>0</v>
          </cell>
          <cell r="AF429">
            <v>0</v>
          </cell>
        </row>
        <row r="430">
          <cell r="B430" t="str">
            <v>IN-KE-A99M301</v>
          </cell>
          <cell r="C430" t="str">
            <v>IN-A99M301</v>
          </cell>
          <cell r="D430" t="str">
            <v>IN-KE</v>
          </cell>
          <cell r="E430" t="str">
            <v>DIV-IN-KE</v>
          </cell>
          <cell r="F430" t="str">
            <v>DIV-KE</v>
          </cell>
          <cell r="G430" t="str">
            <v>A99M301</v>
          </cell>
          <cell r="H430" t="str">
            <v>DIV</v>
          </cell>
          <cell r="I430">
            <v>1999</v>
          </cell>
          <cell r="J430" t="str">
            <v>I</v>
          </cell>
          <cell r="K430" t="str">
            <v>IN</v>
          </cell>
          <cell r="L430" t="str">
            <v>KE</v>
          </cell>
          <cell r="Y430">
            <v>0</v>
          </cell>
          <cell r="Z430">
            <v>0</v>
          </cell>
          <cell r="AA430">
            <v>0</v>
          </cell>
          <cell r="AB430">
            <v>0</v>
          </cell>
          <cell r="AC430">
            <v>0</v>
          </cell>
          <cell r="AD430">
            <v>0</v>
          </cell>
          <cell r="AE430">
            <v>0</v>
          </cell>
          <cell r="AF430">
            <v>0</v>
          </cell>
        </row>
        <row r="431">
          <cell r="B431" t="str">
            <v>IN-KN-A99M301</v>
          </cell>
          <cell r="C431" t="str">
            <v>IN-A99M301</v>
          </cell>
          <cell r="D431" t="str">
            <v>IN-KN</v>
          </cell>
          <cell r="E431" t="str">
            <v>DIV-IN-KN</v>
          </cell>
          <cell r="F431" t="str">
            <v>DIV-KN</v>
          </cell>
          <cell r="G431" t="str">
            <v>A99M301</v>
          </cell>
          <cell r="H431" t="str">
            <v>DIV</v>
          </cell>
          <cell r="I431">
            <v>1999</v>
          </cell>
          <cell r="J431" t="str">
            <v>I</v>
          </cell>
          <cell r="K431" t="str">
            <v>IN</v>
          </cell>
          <cell r="L431" t="str">
            <v>KN</v>
          </cell>
          <cell r="Y431">
            <v>0</v>
          </cell>
          <cell r="Z431">
            <v>0</v>
          </cell>
          <cell r="AA431">
            <v>0</v>
          </cell>
          <cell r="AB431">
            <v>0</v>
          </cell>
          <cell r="AC431">
            <v>0</v>
          </cell>
          <cell r="AD431">
            <v>0</v>
          </cell>
          <cell r="AE431">
            <v>0</v>
          </cell>
          <cell r="AF431">
            <v>0</v>
          </cell>
        </row>
        <row r="432">
          <cell r="B432" t="str">
            <v>AD-KE-A99M302</v>
          </cell>
          <cell r="C432" t="str">
            <v>AD-A99M302</v>
          </cell>
          <cell r="D432" t="str">
            <v>AD-KE</v>
          </cell>
          <cell r="E432" t="str">
            <v>DIV-AD-KE</v>
          </cell>
          <cell r="F432" t="str">
            <v>DIV-KE</v>
          </cell>
          <cell r="G432" t="str">
            <v>A99M302</v>
          </cell>
          <cell r="H432" t="str">
            <v>DIV</v>
          </cell>
          <cell r="I432">
            <v>1999</v>
          </cell>
          <cell r="J432" t="str">
            <v>I</v>
          </cell>
          <cell r="K432" t="str">
            <v>AD</v>
          </cell>
          <cell r="L432" t="str">
            <v>KE</v>
          </cell>
          <cell r="Y432">
            <v>0</v>
          </cell>
          <cell r="Z432">
            <v>0</v>
          </cell>
          <cell r="AA432">
            <v>0</v>
          </cell>
          <cell r="AB432">
            <v>0</v>
          </cell>
          <cell r="AC432">
            <v>0</v>
          </cell>
          <cell r="AD432">
            <v>0</v>
          </cell>
          <cell r="AE432">
            <v>0</v>
          </cell>
          <cell r="AF432">
            <v>0</v>
          </cell>
        </row>
        <row r="433">
          <cell r="B433" t="str">
            <v>AD-KN-A99M302</v>
          </cell>
          <cell r="C433" t="str">
            <v>AD-A99M302</v>
          </cell>
          <cell r="D433" t="str">
            <v>AD-KN</v>
          </cell>
          <cell r="E433" t="str">
            <v>DIV-AD-KN</v>
          </cell>
          <cell r="F433" t="str">
            <v>DIV-KN</v>
          </cell>
          <cell r="G433" t="str">
            <v>A99M302</v>
          </cell>
          <cell r="H433" t="str">
            <v>DIV</v>
          </cell>
          <cell r="I433">
            <v>1999</v>
          </cell>
          <cell r="J433" t="str">
            <v>I</v>
          </cell>
          <cell r="K433" t="str">
            <v>AD</v>
          </cell>
          <cell r="L433" t="str">
            <v>KN</v>
          </cell>
          <cell r="Y433">
            <v>0</v>
          </cell>
          <cell r="Z433">
            <v>0</v>
          </cell>
          <cell r="AA433">
            <v>0</v>
          </cell>
          <cell r="AB433">
            <v>0</v>
          </cell>
          <cell r="AC433">
            <v>0</v>
          </cell>
          <cell r="AD433">
            <v>0</v>
          </cell>
          <cell r="AE433">
            <v>0</v>
          </cell>
          <cell r="AF433">
            <v>0</v>
          </cell>
        </row>
        <row r="434">
          <cell r="B434" t="str">
            <v>CO-KE-A99M302</v>
          </cell>
          <cell r="C434" t="str">
            <v>CO-A99M302</v>
          </cell>
          <cell r="D434" t="str">
            <v>CO-KE</v>
          </cell>
          <cell r="E434" t="str">
            <v>DIV-CO-KE</v>
          </cell>
          <cell r="F434" t="str">
            <v>DIV-KE</v>
          </cell>
          <cell r="G434" t="str">
            <v>A99M302</v>
          </cell>
          <cell r="H434" t="str">
            <v>DIV</v>
          </cell>
          <cell r="I434">
            <v>1999</v>
          </cell>
          <cell r="J434" t="str">
            <v>I</v>
          </cell>
          <cell r="K434" t="str">
            <v>CO</v>
          </cell>
          <cell r="L434" t="str">
            <v>KE</v>
          </cell>
          <cell r="Y434">
            <v>0</v>
          </cell>
          <cell r="Z434">
            <v>0</v>
          </cell>
          <cell r="AA434">
            <v>0</v>
          </cell>
          <cell r="AB434">
            <v>0</v>
          </cell>
          <cell r="AC434">
            <v>0</v>
          </cell>
          <cell r="AD434">
            <v>0</v>
          </cell>
          <cell r="AE434">
            <v>0</v>
          </cell>
          <cell r="AF434">
            <v>0</v>
          </cell>
        </row>
        <row r="435">
          <cell r="B435" t="str">
            <v>CO-KN-A99M302</v>
          </cell>
          <cell r="C435" t="str">
            <v>CO-A99M302</v>
          </cell>
          <cell r="D435" t="str">
            <v>CO-KN</v>
          </cell>
          <cell r="E435" t="str">
            <v>DIV-CO-KN</v>
          </cell>
          <cell r="F435" t="str">
            <v>DIV-KN</v>
          </cell>
          <cell r="G435" t="str">
            <v>A99M302</v>
          </cell>
          <cell r="H435" t="str">
            <v>DIV</v>
          </cell>
          <cell r="I435">
            <v>1999</v>
          </cell>
          <cell r="J435" t="str">
            <v>I</v>
          </cell>
          <cell r="K435" t="str">
            <v>CO</v>
          </cell>
          <cell r="L435" t="str">
            <v>KN</v>
          </cell>
          <cell r="Y435">
            <v>0</v>
          </cell>
          <cell r="Z435">
            <v>0</v>
          </cell>
          <cell r="AA435">
            <v>0</v>
          </cell>
          <cell r="AB435">
            <v>0</v>
          </cell>
          <cell r="AC435">
            <v>0</v>
          </cell>
          <cell r="AD435">
            <v>0</v>
          </cell>
          <cell r="AE435">
            <v>0</v>
          </cell>
          <cell r="AF435">
            <v>0</v>
          </cell>
        </row>
        <row r="436">
          <cell r="B436" t="str">
            <v>IN-KE-A99M302</v>
          </cell>
          <cell r="C436" t="str">
            <v>IN-A99M302</v>
          </cell>
          <cell r="D436" t="str">
            <v>IN-KE</v>
          </cell>
          <cell r="E436" t="str">
            <v>DIV-IN-KE</v>
          </cell>
          <cell r="F436" t="str">
            <v>DIV-KE</v>
          </cell>
          <cell r="G436" t="str">
            <v>A99M302</v>
          </cell>
          <cell r="H436" t="str">
            <v>DIV</v>
          </cell>
          <cell r="I436">
            <v>1999</v>
          </cell>
          <cell r="J436" t="str">
            <v>I</v>
          </cell>
          <cell r="K436" t="str">
            <v>IN</v>
          </cell>
          <cell r="L436" t="str">
            <v>KE</v>
          </cell>
          <cell r="Y436">
            <v>0</v>
          </cell>
          <cell r="Z436">
            <v>0</v>
          </cell>
          <cell r="AA436">
            <v>0</v>
          </cell>
          <cell r="AB436">
            <v>0</v>
          </cell>
          <cell r="AC436">
            <v>0</v>
          </cell>
          <cell r="AD436">
            <v>0</v>
          </cell>
          <cell r="AE436">
            <v>0</v>
          </cell>
          <cell r="AF436">
            <v>0</v>
          </cell>
        </row>
        <row r="437">
          <cell r="B437" t="str">
            <v>IN-KN-A99M302</v>
          </cell>
          <cell r="C437" t="str">
            <v>IN-A99M302</v>
          </cell>
          <cell r="D437" t="str">
            <v>IN-KN</v>
          </cell>
          <cell r="E437" t="str">
            <v>DIV-IN-KN</v>
          </cell>
          <cell r="F437" t="str">
            <v>DIV-KN</v>
          </cell>
          <cell r="G437" t="str">
            <v>A99M302</v>
          </cell>
          <cell r="H437" t="str">
            <v>DIV</v>
          </cell>
          <cell r="I437">
            <v>1999</v>
          </cell>
          <cell r="J437" t="str">
            <v>I</v>
          </cell>
          <cell r="K437" t="str">
            <v>IN</v>
          </cell>
          <cell r="L437" t="str">
            <v>KN</v>
          </cell>
          <cell r="Y437">
            <v>0</v>
          </cell>
          <cell r="Z437">
            <v>0</v>
          </cell>
          <cell r="AA437">
            <v>0</v>
          </cell>
          <cell r="AB437">
            <v>0</v>
          </cell>
          <cell r="AC437">
            <v>0</v>
          </cell>
          <cell r="AD437">
            <v>0</v>
          </cell>
          <cell r="AE437">
            <v>0</v>
          </cell>
          <cell r="AF437">
            <v>0</v>
          </cell>
        </row>
        <row r="438">
          <cell r="B438" t="str">
            <v>AD-KE-A99M304</v>
          </cell>
          <cell r="C438" t="str">
            <v>AD-A99M304</v>
          </cell>
          <cell r="D438" t="str">
            <v>AD-KE</v>
          </cell>
          <cell r="E438" t="str">
            <v>DIV-AD-KE</v>
          </cell>
          <cell r="F438" t="str">
            <v>DIV-KE</v>
          </cell>
          <cell r="G438" t="str">
            <v>A99M304</v>
          </cell>
          <cell r="H438" t="str">
            <v>DIV</v>
          </cell>
          <cell r="I438">
            <v>2000</v>
          </cell>
          <cell r="J438" t="str">
            <v>I</v>
          </cell>
          <cell r="K438" t="str">
            <v>AD</v>
          </cell>
          <cell r="L438" t="str">
            <v>KE</v>
          </cell>
          <cell r="Y438">
            <v>0</v>
          </cell>
          <cell r="Z438">
            <v>0</v>
          </cell>
          <cell r="AA438">
            <v>0</v>
          </cell>
          <cell r="AB438">
            <v>0</v>
          </cell>
          <cell r="AC438">
            <v>0</v>
          </cell>
          <cell r="AD438">
            <v>0</v>
          </cell>
          <cell r="AE438">
            <v>0</v>
          </cell>
          <cell r="AF438">
            <v>0</v>
          </cell>
        </row>
        <row r="439">
          <cell r="B439" t="str">
            <v>AD-KN-A99M304</v>
          </cell>
          <cell r="C439" t="str">
            <v>AD-A99M304</v>
          </cell>
          <cell r="D439" t="str">
            <v>AD-KN</v>
          </cell>
          <cell r="E439" t="str">
            <v>DIV-AD-KN</v>
          </cell>
          <cell r="F439" t="str">
            <v>DIV-KN</v>
          </cell>
          <cell r="G439" t="str">
            <v>A99M304</v>
          </cell>
          <cell r="H439" t="str">
            <v>DIV</v>
          </cell>
          <cell r="I439">
            <v>2000</v>
          </cell>
          <cell r="J439" t="str">
            <v>I</v>
          </cell>
          <cell r="K439" t="str">
            <v>AD</v>
          </cell>
          <cell r="L439" t="str">
            <v>KN</v>
          </cell>
          <cell r="Y439">
            <v>0</v>
          </cell>
          <cell r="Z439">
            <v>0</v>
          </cell>
          <cell r="AA439">
            <v>0</v>
          </cell>
          <cell r="AB439">
            <v>0</v>
          </cell>
          <cell r="AC439">
            <v>0</v>
          </cell>
          <cell r="AD439">
            <v>0</v>
          </cell>
          <cell r="AE439">
            <v>0</v>
          </cell>
          <cell r="AF439">
            <v>0</v>
          </cell>
        </row>
        <row r="440">
          <cell r="B440" t="str">
            <v>CO-KE-A99M304</v>
          </cell>
          <cell r="C440" t="str">
            <v>CO-A99M304</v>
          </cell>
          <cell r="D440" t="str">
            <v>CO-KE</v>
          </cell>
          <cell r="E440" t="str">
            <v>DIV-CO-KE</v>
          </cell>
          <cell r="F440" t="str">
            <v>DIV-KE</v>
          </cell>
          <cell r="G440" t="str">
            <v>A99M304</v>
          </cell>
          <cell r="H440" t="str">
            <v>DIV</v>
          </cell>
          <cell r="I440">
            <v>2000</v>
          </cell>
          <cell r="J440" t="str">
            <v>I</v>
          </cell>
          <cell r="K440" t="str">
            <v>CO</v>
          </cell>
          <cell r="L440" t="str">
            <v>KE</v>
          </cell>
          <cell r="Y440">
            <v>0</v>
          </cell>
          <cell r="Z440">
            <v>0</v>
          </cell>
          <cell r="AA440">
            <v>0</v>
          </cell>
          <cell r="AB440">
            <v>0</v>
          </cell>
          <cell r="AC440">
            <v>0</v>
          </cell>
          <cell r="AD440">
            <v>0</v>
          </cell>
          <cell r="AE440">
            <v>0</v>
          </cell>
          <cell r="AF440">
            <v>0</v>
          </cell>
        </row>
        <row r="441">
          <cell r="B441" t="str">
            <v>CO-KN-A99M304</v>
          </cell>
          <cell r="C441" t="str">
            <v>CO-A99M304</v>
          </cell>
          <cell r="D441" t="str">
            <v>CO-KN</v>
          </cell>
          <cell r="E441" t="str">
            <v>DIV-CO-KN</v>
          </cell>
          <cell r="F441" t="str">
            <v>DIV-KN</v>
          </cell>
          <cell r="G441" t="str">
            <v>A99M304</v>
          </cell>
          <cell r="H441" t="str">
            <v>DIV</v>
          </cell>
          <cell r="I441">
            <v>2000</v>
          </cell>
          <cell r="J441" t="str">
            <v>I</v>
          </cell>
          <cell r="K441" t="str">
            <v>CO</v>
          </cell>
          <cell r="L441" t="str">
            <v>KN</v>
          </cell>
          <cell r="Y441">
            <v>0</v>
          </cell>
          <cell r="Z441">
            <v>0</v>
          </cell>
          <cell r="AA441">
            <v>0</v>
          </cell>
          <cell r="AB441">
            <v>0</v>
          </cell>
          <cell r="AC441">
            <v>0</v>
          </cell>
          <cell r="AD441">
            <v>0</v>
          </cell>
          <cell r="AE441">
            <v>0</v>
          </cell>
          <cell r="AF441">
            <v>0</v>
          </cell>
        </row>
        <row r="442">
          <cell r="B442" t="str">
            <v>IN-KE-A99M304</v>
          </cell>
          <cell r="C442" t="str">
            <v>IN-A99M304</v>
          </cell>
          <cell r="D442" t="str">
            <v>IN-KE</v>
          </cell>
          <cell r="E442" t="str">
            <v>DIV-IN-KE</v>
          </cell>
          <cell r="F442" t="str">
            <v>DIV-KE</v>
          </cell>
          <cell r="G442" t="str">
            <v>A99M304</v>
          </cell>
          <cell r="H442" t="str">
            <v>DIV</v>
          </cell>
          <cell r="I442">
            <v>2000</v>
          </cell>
          <cell r="J442" t="str">
            <v>I</v>
          </cell>
          <cell r="K442" t="str">
            <v>IN</v>
          </cell>
          <cell r="L442" t="str">
            <v>KE</v>
          </cell>
          <cell r="Y442">
            <v>0</v>
          </cell>
          <cell r="Z442">
            <v>0</v>
          </cell>
          <cell r="AA442">
            <v>0</v>
          </cell>
          <cell r="AB442">
            <v>0</v>
          </cell>
          <cell r="AC442">
            <v>0</v>
          </cell>
          <cell r="AD442">
            <v>0</v>
          </cell>
          <cell r="AE442">
            <v>0</v>
          </cell>
          <cell r="AF442">
            <v>0</v>
          </cell>
        </row>
        <row r="443">
          <cell r="B443" t="str">
            <v>IN-KN-A99M304</v>
          </cell>
          <cell r="C443" t="str">
            <v>IN-A99M304</v>
          </cell>
          <cell r="D443" t="str">
            <v>IN-KN</v>
          </cell>
          <cell r="E443" t="str">
            <v>DIV-IN-KN</v>
          </cell>
          <cell r="F443" t="str">
            <v>DIV-KN</v>
          </cell>
          <cell r="G443" t="str">
            <v>A99M304</v>
          </cell>
          <cell r="H443" t="str">
            <v>DIV</v>
          </cell>
          <cell r="I443">
            <v>2000</v>
          </cell>
          <cell r="J443" t="str">
            <v>I</v>
          </cell>
          <cell r="K443" t="str">
            <v>IN</v>
          </cell>
          <cell r="L443" t="str">
            <v>KN</v>
          </cell>
          <cell r="Y443">
            <v>0</v>
          </cell>
          <cell r="Z443">
            <v>0</v>
          </cell>
          <cell r="AA443">
            <v>0</v>
          </cell>
          <cell r="AB443">
            <v>0</v>
          </cell>
          <cell r="AC443">
            <v>0</v>
          </cell>
          <cell r="AD443">
            <v>0</v>
          </cell>
          <cell r="AE443">
            <v>0</v>
          </cell>
          <cell r="AF443">
            <v>0</v>
          </cell>
        </row>
        <row r="444">
          <cell r="B444" t="str">
            <v>AD-KE-A99M305</v>
          </cell>
          <cell r="C444" t="str">
            <v>AD-A99M305</v>
          </cell>
          <cell r="D444" t="str">
            <v>AD-KE</v>
          </cell>
          <cell r="E444" t="str">
            <v>DIV-AD-KE</v>
          </cell>
          <cell r="F444" t="str">
            <v>DIV-KE</v>
          </cell>
          <cell r="G444" t="str">
            <v>A99M305</v>
          </cell>
          <cell r="H444" t="str">
            <v>DIV</v>
          </cell>
          <cell r="I444">
            <v>2000</v>
          </cell>
          <cell r="J444" t="str">
            <v>I</v>
          </cell>
          <cell r="K444" t="str">
            <v>AD</v>
          </cell>
          <cell r="L444" t="str">
            <v>KE</v>
          </cell>
          <cell r="Y444">
            <v>0</v>
          </cell>
          <cell r="Z444">
            <v>0</v>
          </cell>
          <cell r="AA444">
            <v>0</v>
          </cell>
          <cell r="AB444">
            <v>0</v>
          </cell>
          <cell r="AC444">
            <v>0</v>
          </cell>
          <cell r="AD444">
            <v>0</v>
          </cell>
          <cell r="AE444">
            <v>0</v>
          </cell>
          <cell r="AF444">
            <v>0</v>
          </cell>
        </row>
        <row r="445">
          <cell r="B445" t="str">
            <v>AD-KN-A99M305</v>
          </cell>
          <cell r="C445" t="str">
            <v>AD-A99M305</v>
          </cell>
          <cell r="D445" t="str">
            <v>AD-KN</v>
          </cell>
          <cell r="E445" t="str">
            <v>DIV-AD-KN</v>
          </cell>
          <cell r="F445" t="str">
            <v>DIV-KN</v>
          </cell>
          <cell r="G445" t="str">
            <v>A99M305</v>
          </cell>
          <cell r="H445" t="str">
            <v>DIV</v>
          </cell>
          <cell r="I445">
            <v>2000</v>
          </cell>
          <cell r="J445" t="str">
            <v>I</v>
          </cell>
          <cell r="K445" t="str">
            <v>AD</v>
          </cell>
          <cell r="L445" t="str">
            <v>KN</v>
          </cell>
          <cell r="Y445">
            <v>0</v>
          </cell>
          <cell r="Z445">
            <v>0</v>
          </cell>
          <cell r="AA445">
            <v>0</v>
          </cell>
          <cell r="AB445">
            <v>0</v>
          </cell>
          <cell r="AC445">
            <v>0</v>
          </cell>
          <cell r="AD445">
            <v>0</v>
          </cell>
          <cell r="AE445">
            <v>0</v>
          </cell>
          <cell r="AF445">
            <v>0</v>
          </cell>
        </row>
        <row r="446">
          <cell r="B446" t="str">
            <v>CO-KE-A99M305</v>
          </cell>
          <cell r="C446" t="str">
            <v>CO-A99M305</v>
          </cell>
          <cell r="D446" t="str">
            <v>CO-KE</v>
          </cell>
          <cell r="E446" t="str">
            <v>DIV-CO-KE</v>
          </cell>
          <cell r="F446" t="str">
            <v>DIV-KE</v>
          </cell>
          <cell r="G446" t="str">
            <v>A99M305</v>
          </cell>
          <cell r="H446" t="str">
            <v>DIV</v>
          </cell>
          <cell r="I446">
            <v>2000</v>
          </cell>
          <cell r="J446" t="str">
            <v>I</v>
          </cell>
          <cell r="K446" t="str">
            <v>CO</v>
          </cell>
          <cell r="L446" t="str">
            <v>KE</v>
          </cell>
          <cell r="Y446">
            <v>0</v>
          </cell>
          <cell r="Z446">
            <v>0</v>
          </cell>
          <cell r="AA446">
            <v>0</v>
          </cell>
          <cell r="AB446">
            <v>0</v>
          </cell>
          <cell r="AC446">
            <v>0</v>
          </cell>
          <cell r="AD446">
            <v>0</v>
          </cell>
          <cell r="AE446">
            <v>0</v>
          </cell>
          <cell r="AF446">
            <v>0</v>
          </cell>
        </row>
        <row r="447">
          <cell r="B447" t="str">
            <v>CO-KN-A99M305</v>
          </cell>
          <cell r="C447" t="str">
            <v>CO-A99M305</v>
          </cell>
          <cell r="D447" t="str">
            <v>CO-KN</v>
          </cell>
          <cell r="E447" t="str">
            <v>DIV-CO-KN</v>
          </cell>
          <cell r="F447" t="str">
            <v>DIV-KN</v>
          </cell>
          <cell r="G447" t="str">
            <v>A99M305</v>
          </cell>
          <cell r="H447" t="str">
            <v>DIV</v>
          </cell>
          <cell r="I447">
            <v>2000</v>
          </cell>
          <cell r="J447" t="str">
            <v>I</v>
          </cell>
          <cell r="K447" t="str">
            <v>CO</v>
          </cell>
          <cell r="L447" t="str">
            <v>KN</v>
          </cell>
          <cell r="Y447">
            <v>0</v>
          </cell>
          <cell r="Z447">
            <v>0</v>
          </cell>
          <cell r="AA447">
            <v>0</v>
          </cell>
          <cell r="AB447">
            <v>0</v>
          </cell>
          <cell r="AC447">
            <v>0</v>
          </cell>
          <cell r="AD447">
            <v>0</v>
          </cell>
          <cell r="AE447">
            <v>0</v>
          </cell>
          <cell r="AF447">
            <v>0</v>
          </cell>
        </row>
        <row r="448">
          <cell r="B448" t="str">
            <v>IN-KE-A99M305</v>
          </cell>
          <cell r="C448" t="str">
            <v>IN-A99M305</v>
          </cell>
          <cell r="D448" t="str">
            <v>IN-KE</v>
          </cell>
          <cell r="E448" t="str">
            <v>DIV-IN-KE</v>
          </cell>
          <cell r="F448" t="str">
            <v>DIV-KE</v>
          </cell>
          <cell r="G448" t="str">
            <v>A99M305</v>
          </cell>
          <cell r="H448" t="str">
            <v>DIV</v>
          </cell>
          <cell r="I448">
            <v>2000</v>
          </cell>
          <cell r="J448" t="str">
            <v>I</v>
          </cell>
          <cell r="K448" t="str">
            <v>IN</v>
          </cell>
          <cell r="L448" t="str">
            <v>KE</v>
          </cell>
          <cell r="Y448">
            <v>0</v>
          </cell>
          <cell r="Z448">
            <v>0</v>
          </cell>
          <cell r="AA448">
            <v>0</v>
          </cell>
          <cell r="AB448">
            <v>0</v>
          </cell>
          <cell r="AC448">
            <v>0</v>
          </cell>
          <cell r="AD448">
            <v>0</v>
          </cell>
          <cell r="AE448">
            <v>0</v>
          </cell>
          <cell r="AF448">
            <v>0</v>
          </cell>
        </row>
        <row r="449">
          <cell r="B449" t="str">
            <v>IN-KN-A99M305</v>
          </cell>
          <cell r="C449" t="str">
            <v>IN-A99M305</v>
          </cell>
          <cell r="D449" t="str">
            <v>IN-KN</v>
          </cell>
          <cell r="E449" t="str">
            <v>DIV-IN-KN</v>
          </cell>
          <cell r="F449" t="str">
            <v>DIV-KN</v>
          </cell>
          <cell r="G449" t="str">
            <v>A99M305</v>
          </cell>
          <cell r="H449" t="str">
            <v>DIV</v>
          </cell>
          <cell r="I449">
            <v>2000</v>
          </cell>
          <cell r="J449" t="str">
            <v>I</v>
          </cell>
          <cell r="K449" t="str">
            <v>IN</v>
          </cell>
          <cell r="L449" t="str">
            <v>KN</v>
          </cell>
          <cell r="Y449">
            <v>0</v>
          </cell>
          <cell r="Z449">
            <v>0</v>
          </cell>
          <cell r="AA449">
            <v>0</v>
          </cell>
          <cell r="AB449">
            <v>0</v>
          </cell>
          <cell r="AC449">
            <v>0</v>
          </cell>
          <cell r="AD449">
            <v>0</v>
          </cell>
          <cell r="AE449">
            <v>0</v>
          </cell>
          <cell r="AF449">
            <v>0</v>
          </cell>
        </row>
        <row r="450">
          <cell r="B450" t="str">
            <v>AD-KE-A99M306</v>
          </cell>
          <cell r="C450" t="str">
            <v>AD-A99M306</v>
          </cell>
          <cell r="D450" t="str">
            <v>AD-KE</v>
          </cell>
          <cell r="E450" t="str">
            <v>DIV-AD-KE</v>
          </cell>
          <cell r="F450" t="str">
            <v>DIV-KE</v>
          </cell>
          <cell r="G450" t="str">
            <v>A99M306</v>
          </cell>
          <cell r="H450" t="str">
            <v>DIV</v>
          </cell>
          <cell r="I450">
            <v>2000</v>
          </cell>
          <cell r="J450" t="str">
            <v>I</v>
          </cell>
          <cell r="K450" t="str">
            <v>AD</v>
          </cell>
          <cell r="L450" t="str">
            <v>KE</v>
          </cell>
          <cell r="Y450">
            <v>0</v>
          </cell>
          <cell r="Z450">
            <v>0</v>
          </cell>
          <cell r="AA450">
            <v>0</v>
          </cell>
          <cell r="AB450">
            <v>0</v>
          </cell>
          <cell r="AC450">
            <v>0</v>
          </cell>
          <cell r="AD450">
            <v>0</v>
          </cell>
          <cell r="AE450">
            <v>0</v>
          </cell>
          <cell r="AF450">
            <v>0</v>
          </cell>
        </row>
        <row r="451">
          <cell r="B451" t="str">
            <v>AD-KN-A99M306</v>
          </cell>
          <cell r="C451" t="str">
            <v>AD-A99M306</v>
          </cell>
          <cell r="D451" t="str">
            <v>AD-KN</v>
          </cell>
          <cell r="E451" t="str">
            <v>DIV-AD-KN</v>
          </cell>
          <cell r="F451" t="str">
            <v>DIV-KN</v>
          </cell>
          <cell r="G451" t="str">
            <v>A99M306</v>
          </cell>
          <cell r="H451" t="str">
            <v>DIV</v>
          </cell>
          <cell r="I451">
            <v>2000</v>
          </cell>
          <cell r="J451" t="str">
            <v>I</v>
          </cell>
          <cell r="K451" t="str">
            <v>AD</v>
          </cell>
          <cell r="L451" t="str">
            <v>KN</v>
          </cell>
          <cell r="Y451">
            <v>0</v>
          </cell>
          <cell r="Z451">
            <v>0</v>
          </cell>
          <cell r="AA451">
            <v>0</v>
          </cell>
          <cell r="AB451">
            <v>0</v>
          </cell>
          <cell r="AC451">
            <v>0</v>
          </cell>
          <cell r="AD451">
            <v>0</v>
          </cell>
          <cell r="AE451">
            <v>0</v>
          </cell>
          <cell r="AF451">
            <v>0</v>
          </cell>
        </row>
        <row r="452">
          <cell r="B452" t="str">
            <v>CO-KE-A99M306</v>
          </cell>
          <cell r="C452" t="str">
            <v>CO-A99M306</v>
          </cell>
          <cell r="D452" t="str">
            <v>CO-KE</v>
          </cell>
          <cell r="E452" t="str">
            <v>DIV-CO-KE</v>
          </cell>
          <cell r="F452" t="str">
            <v>DIV-KE</v>
          </cell>
          <cell r="G452" t="str">
            <v>A99M306</v>
          </cell>
          <cell r="H452" t="str">
            <v>DIV</v>
          </cell>
          <cell r="I452">
            <v>2000</v>
          </cell>
          <cell r="J452" t="str">
            <v>I</v>
          </cell>
          <cell r="K452" t="str">
            <v>CO</v>
          </cell>
          <cell r="L452" t="str">
            <v>KE</v>
          </cell>
          <cell r="Y452">
            <v>0</v>
          </cell>
          <cell r="Z452">
            <v>0</v>
          </cell>
          <cell r="AA452">
            <v>0</v>
          </cell>
          <cell r="AB452">
            <v>0</v>
          </cell>
          <cell r="AC452">
            <v>0</v>
          </cell>
          <cell r="AD452">
            <v>0</v>
          </cell>
          <cell r="AE452">
            <v>0</v>
          </cell>
          <cell r="AF452">
            <v>0</v>
          </cell>
        </row>
        <row r="453">
          <cell r="B453" t="str">
            <v>CO-KN-A99M306</v>
          </cell>
          <cell r="C453" t="str">
            <v>CO-A99M306</v>
          </cell>
          <cell r="D453" t="str">
            <v>CO-KN</v>
          </cell>
          <cell r="E453" t="str">
            <v>DIV-CO-KN</v>
          </cell>
          <cell r="F453" t="str">
            <v>DIV-KN</v>
          </cell>
          <cell r="G453" t="str">
            <v>A99M306</v>
          </cell>
          <cell r="H453" t="str">
            <v>DIV</v>
          </cell>
          <cell r="I453">
            <v>2000</v>
          </cell>
          <cell r="J453" t="str">
            <v>I</v>
          </cell>
          <cell r="K453" t="str">
            <v>CO</v>
          </cell>
          <cell r="L453" t="str">
            <v>KN</v>
          </cell>
          <cell r="Y453">
            <v>0</v>
          </cell>
          <cell r="Z453">
            <v>0</v>
          </cell>
          <cell r="AA453">
            <v>0</v>
          </cell>
          <cell r="AB453">
            <v>0</v>
          </cell>
          <cell r="AC453">
            <v>0</v>
          </cell>
          <cell r="AD453">
            <v>0</v>
          </cell>
          <cell r="AE453">
            <v>0</v>
          </cell>
          <cell r="AF453">
            <v>0</v>
          </cell>
        </row>
        <row r="454">
          <cell r="B454" t="str">
            <v>IN-KE-A99M306</v>
          </cell>
          <cell r="C454" t="str">
            <v>IN-A99M306</v>
          </cell>
          <cell r="D454" t="str">
            <v>IN-KE</v>
          </cell>
          <cell r="E454" t="str">
            <v>DIV-IN-KE</v>
          </cell>
          <cell r="F454" t="str">
            <v>DIV-KE</v>
          </cell>
          <cell r="G454" t="str">
            <v>A99M306</v>
          </cell>
          <cell r="H454" t="str">
            <v>DIV</v>
          </cell>
          <cell r="I454">
            <v>2000</v>
          </cell>
          <cell r="J454" t="str">
            <v>I</v>
          </cell>
          <cell r="K454" t="str">
            <v>IN</v>
          </cell>
          <cell r="L454" t="str">
            <v>KE</v>
          </cell>
          <cell r="Y454">
            <v>0</v>
          </cell>
          <cell r="Z454">
            <v>0</v>
          </cell>
          <cell r="AA454">
            <v>0</v>
          </cell>
          <cell r="AB454">
            <v>0</v>
          </cell>
          <cell r="AC454">
            <v>0</v>
          </cell>
          <cell r="AD454">
            <v>0</v>
          </cell>
          <cell r="AE454">
            <v>0</v>
          </cell>
          <cell r="AF454">
            <v>0</v>
          </cell>
        </row>
        <row r="455">
          <cell r="B455" t="str">
            <v>IN-KN-A99M306</v>
          </cell>
          <cell r="C455" t="str">
            <v>IN-A99M306</v>
          </cell>
          <cell r="D455" t="str">
            <v>IN-KN</v>
          </cell>
          <cell r="E455" t="str">
            <v>DIV-IN-KN</v>
          </cell>
          <cell r="F455" t="str">
            <v>DIV-KN</v>
          </cell>
          <cell r="G455" t="str">
            <v>A99M306</v>
          </cell>
          <cell r="H455" t="str">
            <v>DIV</v>
          </cell>
          <cell r="I455">
            <v>2000</v>
          </cell>
          <cell r="J455" t="str">
            <v>I</v>
          </cell>
          <cell r="K455" t="str">
            <v>IN</v>
          </cell>
          <cell r="L455" t="str">
            <v>KN</v>
          </cell>
          <cell r="Y455">
            <v>0</v>
          </cell>
          <cell r="Z455">
            <v>0</v>
          </cell>
          <cell r="AA455">
            <v>0</v>
          </cell>
          <cell r="AB455">
            <v>0</v>
          </cell>
          <cell r="AC455">
            <v>0</v>
          </cell>
          <cell r="AD455">
            <v>0</v>
          </cell>
          <cell r="AE455">
            <v>0</v>
          </cell>
          <cell r="AF455">
            <v>0</v>
          </cell>
        </row>
        <row r="456">
          <cell r="B456" t="str">
            <v>AD-KE-A99M307</v>
          </cell>
          <cell r="C456" t="str">
            <v>AD-A99M307</v>
          </cell>
          <cell r="D456" t="str">
            <v>AD-KE</v>
          </cell>
          <cell r="E456" t="str">
            <v>DIV-AD-KE</v>
          </cell>
          <cell r="F456" t="str">
            <v>DIV-KE</v>
          </cell>
          <cell r="G456" t="str">
            <v>A99M307</v>
          </cell>
          <cell r="H456" t="str">
            <v>DIV</v>
          </cell>
          <cell r="I456">
            <v>2000</v>
          </cell>
          <cell r="J456" t="str">
            <v>I</v>
          </cell>
          <cell r="K456" t="str">
            <v>AD</v>
          </cell>
          <cell r="L456" t="str">
            <v>KE</v>
          </cell>
          <cell r="Y456">
            <v>0</v>
          </cell>
          <cell r="Z456">
            <v>0</v>
          </cell>
          <cell r="AA456">
            <v>0</v>
          </cell>
          <cell r="AB456">
            <v>0</v>
          </cell>
          <cell r="AC456">
            <v>0</v>
          </cell>
          <cell r="AD456">
            <v>0</v>
          </cell>
          <cell r="AE456">
            <v>0</v>
          </cell>
          <cell r="AF456">
            <v>0</v>
          </cell>
        </row>
        <row r="457">
          <cell r="B457" t="str">
            <v>AD-KN-A99M307</v>
          </cell>
          <cell r="C457" t="str">
            <v>AD-A99M307</v>
          </cell>
          <cell r="D457" t="str">
            <v>AD-KN</v>
          </cell>
          <cell r="E457" t="str">
            <v>DIV-AD-KN</v>
          </cell>
          <cell r="F457" t="str">
            <v>DIV-KN</v>
          </cell>
          <cell r="G457" t="str">
            <v>A99M307</v>
          </cell>
          <cell r="H457" t="str">
            <v>DIV</v>
          </cell>
          <cell r="I457">
            <v>2000</v>
          </cell>
          <cell r="J457" t="str">
            <v>I</v>
          </cell>
          <cell r="K457" t="str">
            <v>AD</v>
          </cell>
          <cell r="L457" t="str">
            <v>KN</v>
          </cell>
          <cell r="Y457">
            <v>0</v>
          </cell>
          <cell r="Z457">
            <v>0</v>
          </cell>
          <cell r="AA457">
            <v>0</v>
          </cell>
          <cell r="AB457">
            <v>0</v>
          </cell>
          <cell r="AC457">
            <v>0</v>
          </cell>
          <cell r="AD457">
            <v>0</v>
          </cell>
          <cell r="AE457">
            <v>0</v>
          </cell>
          <cell r="AF457">
            <v>0</v>
          </cell>
        </row>
        <row r="458">
          <cell r="B458" t="str">
            <v>CO-KE-A99M307</v>
          </cell>
          <cell r="C458" t="str">
            <v>CO-A99M307</v>
          </cell>
          <cell r="D458" t="str">
            <v>CO-KE</v>
          </cell>
          <cell r="E458" t="str">
            <v>DIV-CO-KE</v>
          </cell>
          <cell r="F458" t="str">
            <v>DIV-KE</v>
          </cell>
          <cell r="G458" t="str">
            <v>A99M307</v>
          </cell>
          <cell r="H458" t="str">
            <v>DIV</v>
          </cell>
          <cell r="I458">
            <v>2000</v>
          </cell>
          <cell r="J458" t="str">
            <v>I</v>
          </cell>
          <cell r="K458" t="str">
            <v>CO</v>
          </cell>
          <cell r="L458" t="str">
            <v>KE</v>
          </cell>
          <cell r="Y458">
            <v>0</v>
          </cell>
          <cell r="Z458">
            <v>0</v>
          </cell>
          <cell r="AA458">
            <v>0</v>
          </cell>
          <cell r="AB458">
            <v>0</v>
          </cell>
          <cell r="AC458">
            <v>0</v>
          </cell>
          <cell r="AD458">
            <v>0</v>
          </cell>
          <cell r="AE458">
            <v>0</v>
          </cell>
          <cell r="AF458">
            <v>0</v>
          </cell>
        </row>
        <row r="459">
          <cell r="B459" t="str">
            <v>CO-KN-A99M307</v>
          </cell>
          <cell r="C459" t="str">
            <v>CO-A99M307</v>
          </cell>
          <cell r="D459" t="str">
            <v>CO-KN</v>
          </cell>
          <cell r="E459" t="str">
            <v>DIV-CO-KN</v>
          </cell>
          <cell r="F459" t="str">
            <v>DIV-KN</v>
          </cell>
          <cell r="G459" t="str">
            <v>A99M307</v>
          </cell>
          <cell r="H459" t="str">
            <v>DIV</v>
          </cell>
          <cell r="I459">
            <v>2000</v>
          </cell>
          <cell r="J459" t="str">
            <v>I</v>
          </cell>
          <cell r="K459" t="str">
            <v>CO</v>
          </cell>
          <cell r="L459" t="str">
            <v>KN</v>
          </cell>
          <cell r="Y459">
            <v>0</v>
          </cell>
          <cell r="Z459">
            <v>0</v>
          </cell>
          <cell r="AA459">
            <v>0</v>
          </cell>
          <cell r="AB459">
            <v>0</v>
          </cell>
          <cell r="AC459">
            <v>0</v>
          </cell>
          <cell r="AD459">
            <v>0</v>
          </cell>
          <cell r="AE459">
            <v>0</v>
          </cell>
          <cell r="AF459">
            <v>0</v>
          </cell>
        </row>
        <row r="460">
          <cell r="B460" t="str">
            <v>IN-KE-A99M307</v>
          </cell>
          <cell r="C460" t="str">
            <v>IN-A99M307</v>
          </cell>
          <cell r="D460" t="str">
            <v>IN-KE</v>
          </cell>
          <cell r="E460" t="str">
            <v>DIV-IN-KE</v>
          </cell>
          <cell r="F460" t="str">
            <v>DIV-KE</v>
          </cell>
          <cell r="G460" t="str">
            <v>A99M307</v>
          </cell>
          <cell r="H460" t="str">
            <v>DIV</v>
          </cell>
          <cell r="I460">
            <v>2000</v>
          </cell>
          <cell r="J460" t="str">
            <v>I</v>
          </cell>
          <cell r="K460" t="str">
            <v>IN</v>
          </cell>
          <cell r="L460" t="str">
            <v>KE</v>
          </cell>
          <cell r="Y460">
            <v>0</v>
          </cell>
          <cell r="Z460">
            <v>0</v>
          </cell>
          <cell r="AA460">
            <v>0</v>
          </cell>
          <cell r="AB460">
            <v>0</v>
          </cell>
          <cell r="AC460">
            <v>0</v>
          </cell>
          <cell r="AD460">
            <v>0</v>
          </cell>
          <cell r="AE460">
            <v>0</v>
          </cell>
          <cell r="AF460">
            <v>0</v>
          </cell>
        </row>
        <row r="461">
          <cell r="B461" t="str">
            <v>IN-KN-A99M307</v>
          </cell>
          <cell r="C461" t="str">
            <v>IN-A99M307</v>
          </cell>
          <cell r="D461" t="str">
            <v>IN-KN</v>
          </cell>
          <cell r="E461" t="str">
            <v>DIV-IN-KN</v>
          </cell>
          <cell r="F461" t="str">
            <v>DIV-KN</v>
          </cell>
          <cell r="G461" t="str">
            <v>A99M307</v>
          </cell>
          <cell r="H461" t="str">
            <v>DIV</v>
          </cell>
          <cell r="I461">
            <v>2000</v>
          </cell>
          <cell r="J461" t="str">
            <v>I</v>
          </cell>
          <cell r="K461" t="str">
            <v>IN</v>
          </cell>
          <cell r="L461" t="str">
            <v>KN</v>
          </cell>
          <cell r="Y461">
            <v>0</v>
          </cell>
          <cell r="Z461">
            <v>0</v>
          </cell>
          <cell r="AA461">
            <v>0</v>
          </cell>
          <cell r="AB461">
            <v>0</v>
          </cell>
          <cell r="AC461">
            <v>0</v>
          </cell>
          <cell r="AD461">
            <v>0</v>
          </cell>
          <cell r="AE461">
            <v>0</v>
          </cell>
          <cell r="AF461">
            <v>0</v>
          </cell>
        </row>
        <row r="462">
          <cell r="B462" t="str">
            <v>AD-KE-A99M309</v>
          </cell>
          <cell r="C462" t="str">
            <v>AD-A99M309</v>
          </cell>
          <cell r="D462" t="str">
            <v>AD-KE</v>
          </cell>
          <cell r="E462" t="str">
            <v>DIV-AD-KE</v>
          </cell>
          <cell r="F462" t="str">
            <v>DIV-KE</v>
          </cell>
          <cell r="G462" t="str">
            <v>A99M309</v>
          </cell>
          <cell r="H462" t="str">
            <v>DIV</v>
          </cell>
          <cell r="I462">
            <v>2000</v>
          </cell>
          <cell r="J462" t="str">
            <v>I</v>
          </cell>
          <cell r="K462" t="str">
            <v>AD</v>
          </cell>
          <cell r="L462" t="str">
            <v>KE</v>
          </cell>
          <cell r="Y462">
            <v>0</v>
          </cell>
          <cell r="Z462">
            <v>0</v>
          </cell>
          <cell r="AA462">
            <v>0</v>
          </cell>
          <cell r="AB462">
            <v>0</v>
          </cell>
          <cell r="AC462">
            <v>0</v>
          </cell>
          <cell r="AD462">
            <v>0</v>
          </cell>
          <cell r="AE462">
            <v>0</v>
          </cell>
          <cell r="AF462">
            <v>0</v>
          </cell>
        </row>
        <row r="463">
          <cell r="B463" t="str">
            <v>AD-KN-A99M309</v>
          </cell>
          <cell r="C463" t="str">
            <v>AD-A99M309</v>
          </cell>
          <cell r="D463" t="str">
            <v>AD-KN</v>
          </cell>
          <cell r="E463" t="str">
            <v>DIV-AD-KN</v>
          </cell>
          <cell r="F463" t="str">
            <v>DIV-KN</v>
          </cell>
          <cell r="G463" t="str">
            <v>A99M309</v>
          </cell>
          <cell r="H463" t="str">
            <v>DIV</v>
          </cell>
          <cell r="I463">
            <v>2000</v>
          </cell>
          <cell r="J463" t="str">
            <v>I</v>
          </cell>
          <cell r="K463" t="str">
            <v>AD</v>
          </cell>
          <cell r="L463" t="str">
            <v>KN</v>
          </cell>
          <cell r="Y463">
            <v>0</v>
          </cell>
          <cell r="Z463">
            <v>0</v>
          </cell>
          <cell r="AA463">
            <v>0</v>
          </cell>
          <cell r="AB463">
            <v>0</v>
          </cell>
          <cell r="AC463">
            <v>0</v>
          </cell>
          <cell r="AD463">
            <v>0</v>
          </cell>
          <cell r="AE463">
            <v>0</v>
          </cell>
          <cell r="AF463">
            <v>0</v>
          </cell>
        </row>
        <row r="464">
          <cell r="B464" t="str">
            <v>CO-KE-A99M309</v>
          </cell>
          <cell r="C464" t="str">
            <v>CO-A99M309</v>
          </cell>
          <cell r="D464" t="str">
            <v>CO-KE</v>
          </cell>
          <cell r="E464" t="str">
            <v>DIV-CO-KE</v>
          </cell>
          <cell r="F464" t="str">
            <v>DIV-KE</v>
          </cell>
          <cell r="G464" t="str">
            <v>A99M309</v>
          </cell>
          <cell r="H464" t="str">
            <v>DIV</v>
          </cell>
          <cell r="I464">
            <v>2000</v>
          </cell>
          <cell r="J464" t="str">
            <v>I</v>
          </cell>
          <cell r="K464" t="str">
            <v>CO</v>
          </cell>
          <cell r="L464" t="str">
            <v>KE</v>
          </cell>
          <cell r="Y464">
            <v>0</v>
          </cell>
          <cell r="Z464">
            <v>0</v>
          </cell>
          <cell r="AA464">
            <v>0</v>
          </cell>
          <cell r="AB464">
            <v>0</v>
          </cell>
          <cell r="AC464">
            <v>0</v>
          </cell>
          <cell r="AD464">
            <v>0</v>
          </cell>
          <cell r="AE464">
            <v>0</v>
          </cell>
          <cell r="AF464">
            <v>0</v>
          </cell>
        </row>
        <row r="465">
          <cell r="B465" t="str">
            <v>CO-KN-A99M309</v>
          </cell>
          <cell r="C465" t="str">
            <v>CO-A99M309</v>
          </cell>
          <cell r="D465" t="str">
            <v>CO-KN</v>
          </cell>
          <cell r="E465" t="str">
            <v>DIV-CO-KN</v>
          </cell>
          <cell r="F465" t="str">
            <v>DIV-KN</v>
          </cell>
          <cell r="G465" t="str">
            <v>A99M309</v>
          </cell>
          <cell r="H465" t="str">
            <v>DIV</v>
          </cell>
          <cell r="I465">
            <v>2000</v>
          </cell>
          <cell r="J465" t="str">
            <v>I</v>
          </cell>
          <cell r="K465" t="str">
            <v>CO</v>
          </cell>
          <cell r="L465" t="str">
            <v>KN</v>
          </cell>
          <cell r="Y465">
            <v>0</v>
          </cell>
          <cell r="Z465">
            <v>0</v>
          </cell>
          <cell r="AA465">
            <v>0</v>
          </cell>
          <cell r="AB465">
            <v>0</v>
          </cell>
          <cell r="AC465">
            <v>0</v>
          </cell>
          <cell r="AD465">
            <v>0</v>
          </cell>
          <cell r="AE465">
            <v>0</v>
          </cell>
          <cell r="AF465">
            <v>0</v>
          </cell>
        </row>
        <row r="466">
          <cell r="B466" t="str">
            <v>IN-KE-A99M309</v>
          </cell>
          <cell r="C466" t="str">
            <v>IN-A99M309</v>
          </cell>
          <cell r="D466" t="str">
            <v>IN-KE</v>
          </cell>
          <cell r="E466" t="str">
            <v>DIV-IN-KE</v>
          </cell>
          <cell r="F466" t="str">
            <v>DIV-KE</v>
          </cell>
          <cell r="G466" t="str">
            <v>A99M309</v>
          </cell>
          <cell r="H466" t="str">
            <v>DIV</v>
          </cell>
          <cell r="I466">
            <v>2000</v>
          </cell>
          <cell r="J466" t="str">
            <v>I</v>
          </cell>
          <cell r="K466" t="str">
            <v>IN</v>
          </cell>
          <cell r="L466" t="str">
            <v>KE</v>
          </cell>
          <cell r="Y466">
            <v>0</v>
          </cell>
          <cell r="Z466">
            <v>0</v>
          </cell>
          <cell r="AA466">
            <v>0</v>
          </cell>
          <cell r="AB466">
            <v>0</v>
          </cell>
          <cell r="AC466">
            <v>0</v>
          </cell>
          <cell r="AD466">
            <v>0</v>
          </cell>
          <cell r="AE466">
            <v>0</v>
          </cell>
          <cell r="AF466">
            <v>0</v>
          </cell>
        </row>
        <row r="467">
          <cell r="B467" t="str">
            <v>IN-KN-A99M309</v>
          </cell>
          <cell r="C467" t="str">
            <v>IN-A99M309</v>
          </cell>
          <cell r="D467" t="str">
            <v>IN-KN</v>
          </cell>
          <cell r="E467" t="str">
            <v>DIV-IN-KN</v>
          </cell>
          <cell r="F467" t="str">
            <v>DIV-KN</v>
          </cell>
          <cell r="G467" t="str">
            <v>A99M309</v>
          </cell>
          <cell r="H467" t="str">
            <v>DIV</v>
          </cell>
          <cell r="I467">
            <v>2000</v>
          </cell>
          <cell r="J467" t="str">
            <v>I</v>
          </cell>
          <cell r="K467" t="str">
            <v>IN</v>
          </cell>
          <cell r="L467" t="str">
            <v>KN</v>
          </cell>
          <cell r="Y467">
            <v>0</v>
          </cell>
          <cell r="Z467">
            <v>0</v>
          </cell>
          <cell r="AA467">
            <v>0</v>
          </cell>
          <cell r="AB467">
            <v>0</v>
          </cell>
          <cell r="AC467">
            <v>0</v>
          </cell>
          <cell r="AD467">
            <v>0</v>
          </cell>
          <cell r="AE467">
            <v>0</v>
          </cell>
          <cell r="AF467">
            <v>0</v>
          </cell>
        </row>
        <row r="468">
          <cell r="B468" t="str">
            <v>AD-KE-A99M310</v>
          </cell>
          <cell r="C468" t="str">
            <v>AD-A99M310</v>
          </cell>
          <cell r="D468" t="str">
            <v>AD-KE</v>
          </cell>
          <cell r="E468" t="str">
            <v>DIV-AD-KE</v>
          </cell>
          <cell r="F468" t="str">
            <v>DIV-KE</v>
          </cell>
          <cell r="G468" t="str">
            <v>A99M310</v>
          </cell>
          <cell r="H468" t="str">
            <v>DIV</v>
          </cell>
          <cell r="I468">
            <v>2000</v>
          </cell>
          <cell r="J468" t="str">
            <v>I</v>
          </cell>
          <cell r="K468" t="str">
            <v>AD</v>
          </cell>
          <cell r="L468" t="str">
            <v>KE</v>
          </cell>
          <cell r="Y468">
            <v>0</v>
          </cell>
          <cell r="Z468">
            <v>0</v>
          </cell>
          <cell r="AA468">
            <v>0</v>
          </cell>
          <cell r="AB468">
            <v>0</v>
          </cell>
          <cell r="AC468">
            <v>0</v>
          </cell>
          <cell r="AD468">
            <v>0</v>
          </cell>
          <cell r="AE468">
            <v>0</v>
          </cell>
          <cell r="AF468">
            <v>0</v>
          </cell>
        </row>
        <row r="469">
          <cell r="B469" t="str">
            <v>AD-KN-A99M310</v>
          </cell>
          <cell r="C469" t="str">
            <v>AD-A99M310</v>
          </cell>
          <cell r="D469" t="str">
            <v>AD-KN</v>
          </cell>
          <cell r="E469" t="str">
            <v>DIV-AD-KN</v>
          </cell>
          <cell r="F469" t="str">
            <v>DIV-KN</v>
          </cell>
          <cell r="G469" t="str">
            <v>A99M310</v>
          </cell>
          <cell r="H469" t="str">
            <v>DIV</v>
          </cell>
          <cell r="I469">
            <v>2000</v>
          </cell>
          <cell r="J469" t="str">
            <v>I</v>
          </cell>
          <cell r="K469" t="str">
            <v>AD</v>
          </cell>
          <cell r="L469" t="str">
            <v>KN</v>
          </cell>
          <cell r="Y469">
            <v>0</v>
          </cell>
          <cell r="Z469">
            <v>0</v>
          </cell>
          <cell r="AA469">
            <v>0</v>
          </cell>
          <cell r="AB469">
            <v>0</v>
          </cell>
          <cell r="AC469">
            <v>0</v>
          </cell>
          <cell r="AD469">
            <v>0</v>
          </cell>
          <cell r="AE469">
            <v>0</v>
          </cell>
          <cell r="AF469">
            <v>0</v>
          </cell>
        </row>
        <row r="470">
          <cell r="B470" t="str">
            <v>CO-KE-A99M310</v>
          </cell>
          <cell r="C470" t="str">
            <v>CO-A99M310</v>
          </cell>
          <cell r="D470" t="str">
            <v>CO-KE</v>
          </cell>
          <cell r="E470" t="str">
            <v>DIV-CO-KE</v>
          </cell>
          <cell r="F470" t="str">
            <v>DIV-KE</v>
          </cell>
          <cell r="G470" t="str">
            <v>A99M310</v>
          </cell>
          <cell r="H470" t="str">
            <v>DIV</v>
          </cell>
          <cell r="I470">
            <v>2000</v>
          </cell>
          <cell r="J470" t="str">
            <v>I</v>
          </cell>
          <cell r="K470" t="str">
            <v>CO</v>
          </cell>
          <cell r="L470" t="str">
            <v>KE</v>
          </cell>
          <cell r="Y470">
            <v>0</v>
          </cell>
          <cell r="Z470">
            <v>0</v>
          </cell>
          <cell r="AA470">
            <v>0</v>
          </cell>
          <cell r="AB470">
            <v>0</v>
          </cell>
          <cell r="AC470">
            <v>0</v>
          </cell>
          <cell r="AD470">
            <v>0</v>
          </cell>
          <cell r="AE470">
            <v>0</v>
          </cell>
          <cell r="AF470">
            <v>0</v>
          </cell>
        </row>
        <row r="471">
          <cell r="B471" t="str">
            <v>CO-KN-A99M310</v>
          </cell>
          <cell r="C471" t="str">
            <v>CO-A99M310</v>
          </cell>
          <cell r="D471" t="str">
            <v>CO-KN</v>
          </cell>
          <cell r="E471" t="str">
            <v>DIV-CO-KN</v>
          </cell>
          <cell r="F471" t="str">
            <v>DIV-KN</v>
          </cell>
          <cell r="G471" t="str">
            <v>A99M310</v>
          </cell>
          <cell r="H471" t="str">
            <v>DIV</v>
          </cell>
          <cell r="I471">
            <v>2000</v>
          </cell>
          <cell r="J471" t="str">
            <v>I</v>
          </cell>
          <cell r="K471" t="str">
            <v>CO</v>
          </cell>
          <cell r="L471" t="str">
            <v>KN</v>
          </cell>
          <cell r="Y471">
            <v>0</v>
          </cell>
          <cell r="Z471">
            <v>0</v>
          </cell>
          <cell r="AA471">
            <v>0</v>
          </cell>
          <cell r="AB471">
            <v>0</v>
          </cell>
          <cell r="AC471">
            <v>0</v>
          </cell>
          <cell r="AD471">
            <v>0</v>
          </cell>
          <cell r="AE471">
            <v>0</v>
          </cell>
          <cell r="AF471">
            <v>0</v>
          </cell>
        </row>
        <row r="472">
          <cell r="B472" t="str">
            <v>IN-KE-A99M310</v>
          </cell>
          <cell r="C472" t="str">
            <v>IN-A99M310</v>
          </cell>
          <cell r="D472" t="str">
            <v>IN-KE</v>
          </cell>
          <cell r="E472" t="str">
            <v>DIV-IN-KE</v>
          </cell>
          <cell r="F472" t="str">
            <v>DIV-KE</v>
          </cell>
          <cell r="G472" t="str">
            <v>A99M310</v>
          </cell>
          <cell r="H472" t="str">
            <v>DIV</v>
          </cell>
          <cell r="I472">
            <v>2000</v>
          </cell>
          <cell r="J472" t="str">
            <v>I</v>
          </cell>
          <cell r="K472" t="str">
            <v>IN</v>
          </cell>
          <cell r="L472" t="str">
            <v>KE</v>
          </cell>
          <cell r="Y472">
            <v>0</v>
          </cell>
          <cell r="Z472">
            <v>0</v>
          </cell>
          <cell r="AA472">
            <v>0</v>
          </cell>
          <cell r="AB472">
            <v>0</v>
          </cell>
          <cell r="AC472">
            <v>0</v>
          </cell>
          <cell r="AD472">
            <v>0</v>
          </cell>
          <cell r="AE472">
            <v>0</v>
          </cell>
          <cell r="AF472">
            <v>0</v>
          </cell>
        </row>
        <row r="473">
          <cell r="B473" t="str">
            <v>IN-KN-A99M310</v>
          </cell>
          <cell r="C473" t="str">
            <v>IN-A99M310</v>
          </cell>
          <cell r="D473" t="str">
            <v>IN-KN</v>
          </cell>
          <cell r="E473" t="str">
            <v>DIV-IN-KN</v>
          </cell>
          <cell r="F473" t="str">
            <v>DIV-KN</v>
          </cell>
          <cell r="G473" t="str">
            <v>A99M310</v>
          </cell>
          <cell r="H473" t="str">
            <v>DIV</v>
          </cell>
          <cell r="I473">
            <v>2000</v>
          </cell>
          <cell r="J473" t="str">
            <v>I</v>
          </cell>
          <cell r="K473" t="str">
            <v>IN</v>
          </cell>
          <cell r="L473" t="str">
            <v>KN</v>
          </cell>
          <cell r="Y473">
            <v>0</v>
          </cell>
          <cell r="Z473">
            <v>0</v>
          </cell>
          <cell r="AA473">
            <v>0</v>
          </cell>
          <cell r="AB473">
            <v>0</v>
          </cell>
          <cell r="AC473">
            <v>0</v>
          </cell>
          <cell r="AD473">
            <v>0</v>
          </cell>
          <cell r="AE473">
            <v>0</v>
          </cell>
          <cell r="AF473">
            <v>0</v>
          </cell>
        </row>
        <row r="474">
          <cell r="B474" t="str">
            <v>AD-KE-A99M312</v>
          </cell>
          <cell r="C474" t="str">
            <v>AD-A99M312</v>
          </cell>
          <cell r="D474" t="str">
            <v>AD-KE</v>
          </cell>
          <cell r="E474" t="str">
            <v>DIV-AD-KE</v>
          </cell>
          <cell r="F474" t="str">
            <v>DIV-KE</v>
          </cell>
          <cell r="G474" t="str">
            <v>A99M312</v>
          </cell>
          <cell r="H474" t="str">
            <v>DIV</v>
          </cell>
          <cell r="I474">
            <v>2000</v>
          </cell>
          <cell r="J474" t="str">
            <v>I</v>
          </cell>
          <cell r="K474" t="str">
            <v>AD</v>
          </cell>
          <cell r="L474" t="str">
            <v>KE</v>
          </cell>
          <cell r="Y474">
            <v>0</v>
          </cell>
          <cell r="Z474">
            <v>0</v>
          </cell>
          <cell r="AA474">
            <v>0</v>
          </cell>
          <cell r="AB474">
            <v>0</v>
          </cell>
          <cell r="AC474">
            <v>0</v>
          </cell>
          <cell r="AD474">
            <v>0</v>
          </cell>
          <cell r="AE474">
            <v>0</v>
          </cell>
          <cell r="AF474">
            <v>0</v>
          </cell>
        </row>
        <row r="475">
          <cell r="B475" t="str">
            <v>AD-KN-A99M312</v>
          </cell>
          <cell r="C475" t="str">
            <v>AD-A99M312</v>
          </cell>
          <cell r="D475" t="str">
            <v>AD-KN</v>
          </cell>
          <cell r="E475" t="str">
            <v>DIV-AD-KN</v>
          </cell>
          <cell r="F475" t="str">
            <v>DIV-KN</v>
          </cell>
          <cell r="G475" t="str">
            <v>A99M312</v>
          </cell>
          <cell r="H475" t="str">
            <v>DIV</v>
          </cell>
          <cell r="I475">
            <v>2000</v>
          </cell>
          <cell r="J475" t="str">
            <v>I</v>
          </cell>
          <cell r="K475" t="str">
            <v>AD</v>
          </cell>
          <cell r="L475" t="str">
            <v>KN</v>
          </cell>
          <cell r="Y475">
            <v>0</v>
          </cell>
          <cell r="Z475">
            <v>0</v>
          </cell>
          <cell r="AA475">
            <v>0</v>
          </cell>
          <cell r="AB475">
            <v>0</v>
          </cell>
          <cell r="AC475">
            <v>0</v>
          </cell>
          <cell r="AD475">
            <v>0</v>
          </cell>
          <cell r="AE475">
            <v>0</v>
          </cell>
          <cell r="AF475">
            <v>0</v>
          </cell>
        </row>
        <row r="476">
          <cell r="B476" t="str">
            <v>CO-KE-A99M312</v>
          </cell>
          <cell r="C476" t="str">
            <v>CO-A99M312</v>
          </cell>
          <cell r="D476" t="str">
            <v>CO-KE</v>
          </cell>
          <cell r="E476" t="str">
            <v>DIV-CO-KE</v>
          </cell>
          <cell r="F476" t="str">
            <v>DIV-KE</v>
          </cell>
          <cell r="G476" t="str">
            <v>A99M312</v>
          </cell>
          <cell r="H476" t="str">
            <v>DIV</v>
          </cell>
          <cell r="I476">
            <v>2000</v>
          </cell>
          <cell r="J476" t="str">
            <v>I</v>
          </cell>
          <cell r="K476" t="str">
            <v>CO</v>
          </cell>
          <cell r="L476" t="str">
            <v>KE</v>
          </cell>
          <cell r="Y476">
            <v>0</v>
          </cell>
          <cell r="Z476">
            <v>0</v>
          </cell>
          <cell r="AA476">
            <v>0</v>
          </cell>
          <cell r="AB476">
            <v>0</v>
          </cell>
          <cell r="AC476">
            <v>0</v>
          </cell>
          <cell r="AD476">
            <v>0</v>
          </cell>
          <cell r="AE476">
            <v>0</v>
          </cell>
          <cell r="AF476">
            <v>0</v>
          </cell>
        </row>
        <row r="477">
          <cell r="B477" t="str">
            <v>CO-KN-A99M312</v>
          </cell>
          <cell r="C477" t="str">
            <v>CO-A99M312</v>
          </cell>
          <cell r="D477" t="str">
            <v>CO-KN</v>
          </cell>
          <cell r="E477" t="str">
            <v>DIV-CO-KN</v>
          </cell>
          <cell r="F477" t="str">
            <v>DIV-KN</v>
          </cell>
          <cell r="G477" t="str">
            <v>A99M312</v>
          </cell>
          <cell r="H477" t="str">
            <v>DIV</v>
          </cell>
          <cell r="I477">
            <v>2000</v>
          </cell>
          <cell r="J477" t="str">
            <v>I</v>
          </cell>
          <cell r="K477" t="str">
            <v>CO</v>
          </cell>
          <cell r="L477" t="str">
            <v>KN</v>
          </cell>
          <cell r="Y477">
            <v>0</v>
          </cell>
          <cell r="Z477">
            <v>0</v>
          </cell>
          <cell r="AA477">
            <v>0</v>
          </cell>
          <cell r="AB477">
            <v>0</v>
          </cell>
          <cell r="AC477">
            <v>0</v>
          </cell>
          <cell r="AD477">
            <v>0</v>
          </cell>
          <cell r="AE477">
            <v>0</v>
          </cell>
          <cell r="AF477">
            <v>0</v>
          </cell>
        </row>
        <row r="478">
          <cell r="B478" t="str">
            <v>IN-KE-A99M312</v>
          </cell>
          <cell r="C478" t="str">
            <v>IN-A99M312</v>
          </cell>
          <cell r="D478" t="str">
            <v>IN-KE</v>
          </cell>
          <cell r="E478" t="str">
            <v>DIV-IN-KE</v>
          </cell>
          <cell r="F478" t="str">
            <v>DIV-KE</v>
          </cell>
          <cell r="G478" t="str">
            <v>A99M312</v>
          </cell>
          <cell r="H478" t="str">
            <v>DIV</v>
          </cell>
          <cell r="I478">
            <v>2000</v>
          </cell>
          <cell r="J478" t="str">
            <v>I</v>
          </cell>
          <cell r="K478" t="str">
            <v>IN</v>
          </cell>
          <cell r="L478" t="str">
            <v>KE</v>
          </cell>
          <cell r="Y478">
            <v>0</v>
          </cell>
          <cell r="Z478">
            <v>0</v>
          </cell>
          <cell r="AA478">
            <v>0</v>
          </cell>
          <cell r="AB478">
            <v>0</v>
          </cell>
          <cell r="AC478">
            <v>0</v>
          </cell>
          <cell r="AD478">
            <v>0</v>
          </cell>
          <cell r="AE478">
            <v>0</v>
          </cell>
          <cell r="AF478">
            <v>0</v>
          </cell>
        </row>
        <row r="479">
          <cell r="B479" t="str">
            <v>IN-KN-A99M312</v>
          </cell>
          <cell r="C479" t="str">
            <v>IN-A99M312</v>
          </cell>
          <cell r="D479" t="str">
            <v>IN-KN</v>
          </cell>
          <cell r="E479" t="str">
            <v>DIV-IN-KN</v>
          </cell>
          <cell r="F479" t="str">
            <v>DIV-KN</v>
          </cell>
          <cell r="G479" t="str">
            <v>A99M312</v>
          </cell>
          <cell r="H479" t="str">
            <v>DIV</v>
          </cell>
          <cell r="I479">
            <v>2000</v>
          </cell>
          <cell r="J479" t="str">
            <v>I</v>
          </cell>
          <cell r="K479" t="str">
            <v>IN</v>
          </cell>
          <cell r="L479" t="str">
            <v>KN</v>
          </cell>
          <cell r="Y479">
            <v>0</v>
          </cell>
          <cell r="Z479">
            <v>0</v>
          </cell>
          <cell r="AA479">
            <v>0</v>
          </cell>
          <cell r="AB479">
            <v>0</v>
          </cell>
          <cell r="AC479">
            <v>0</v>
          </cell>
          <cell r="AD479">
            <v>0</v>
          </cell>
          <cell r="AE479">
            <v>0</v>
          </cell>
          <cell r="AF479">
            <v>0</v>
          </cell>
        </row>
        <row r="480">
          <cell r="B480" t="str">
            <v>AD-KE-A99M314</v>
          </cell>
          <cell r="C480" t="str">
            <v>AD-A99M314</v>
          </cell>
          <cell r="D480" t="str">
            <v>AD-KE</v>
          </cell>
          <cell r="E480" t="str">
            <v>DIV-AD-KE</v>
          </cell>
          <cell r="F480" t="str">
            <v>DIV-KE</v>
          </cell>
          <cell r="G480" t="str">
            <v>A99M314</v>
          </cell>
          <cell r="H480" t="str">
            <v>DIV</v>
          </cell>
          <cell r="I480">
            <v>2000</v>
          </cell>
          <cell r="J480" t="str">
            <v>I</v>
          </cell>
          <cell r="K480" t="str">
            <v>AD</v>
          </cell>
          <cell r="L480" t="str">
            <v>KE</v>
          </cell>
          <cell r="Y480">
            <v>0</v>
          </cell>
          <cell r="Z480">
            <v>0</v>
          </cell>
          <cell r="AA480">
            <v>0</v>
          </cell>
          <cell r="AB480">
            <v>0</v>
          </cell>
          <cell r="AC480">
            <v>0</v>
          </cell>
          <cell r="AD480">
            <v>0</v>
          </cell>
          <cell r="AE480">
            <v>0</v>
          </cell>
          <cell r="AF480">
            <v>0</v>
          </cell>
        </row>
        <row r="481">
          <cell r="B481" t="str">
            <v>AD-KN-A99M314</v>
          </cell>
          <cell r="C481" t="str">
            <v>AD-A99M314</v>
          </cell>
          <cell r="D481" t="str">
            <v>AD-KN</v>
          </cell>
          <cell r="E481" t="str">
            <v>DIV-AD-KN</v>
          </cell>
          <cell r="F481" t="str">
            <v>DIV-KN</v>
          </cell>
          <cell r="G481" t="str">
            <v>A99M314</v>
          </cell>
          <cell r="H481" t="str">
            <v>DIV</v>
          </cell>
          <cell r="I481">
            <v>2000</v>
          </cell>
          <cell r="J481" t="str">
            <v>I</v>
          </cell>
          <cell r="K481" t="str">
            <v>AD</v>
          </cell>
          <cell r="L481" t="str">
            <v>KN</v>
          </cell>
          <cell r="Y481">
            <v>0</v>
          </cell>
          <cell r="Z481">
            <v>0</v>
          </cell>
          <cell r="AA481">
            <v>0</v>
          </cell>
          <cell r="AB481">
            <v>0</v>
          </cell>
          <cell r="AC481">
            <v>0</v>
          </cell>
          <cell r="AD481">
            <v>0</v>
          </cell>
          <cell r="AE481">
            <v>0</v>
          </cell>
          <cell r="AF481">
            <v>0</v>
          </cell>
        </row>
        <row r="482">
          <cell r="B482" t="str">
            <v>CO-KE-A99M314</v>
          </cell>
          <cell r="C482" t="str">
            <v>CO-A99M314</v>
          </cell>
          <cell r="D482" t="str">
            <v>CO-KE</v>
          </cell>
          <cell r="E482" t="str">
            <v>DIV-CO-KE</v>
          </cell>
          <cell r="F482" t="str">
            <v>DIV-KE</v>
          </cell>
          <cell r="G482" t="str">
            <v>A99M314</v>
          </cell>
          <cell r="H482" t="str">
            <v>DIV</v>
          </cell>
          <cell r="I482">
            <v>2000</v>
          </cell>
          <cell r="J482" t="str">
            <v>I</v>
          </cell>
          <cell r="K482" t="str">
            <v>CO</v>
          </cell>
          <cell r="L482" t="str">
            <v>KE</v>
          </cell>
          <cell r="Y482">
            <v>0</v>
          </cell>
          <cell r="Z482">
            <v>0</v>
          </cell>
          <cell r="AA482">
            <v>0</v>
          </cell>
          <cell r="AB482">
            <v>0</v>
          </cell>
          <cell r="AC482">
            <v>0</v>
          </cell>
          <cell r="AD482">
            <v>0</v>
          </cell>
          <cell r="AE482">
            <v>0</v>
          </cell>
          <cell r="AF482">
            <v>0</v>
          </cell>
        </row>
        <row r="483">
          <cell r="B483" t="str">
            <v>CO-KN-A99M314</v>
          </cell>
          <cell r="C483" t="str">
            <v>CO-A99M314</v>
          </cell>
          <cell r="D483" t="str">
            <v>CO-KN</v>
          </cell>
          <cell r="E483" t="str">
            <v>DIV-CO-KN</v>
          </cell>
          <cell r="F483" t="str">
            <v>DIV-KN</v>
          </cell>
          <cell r="G483" t="str">
            <v>A99M314</v>
          </cell>
          <cell r="H483" t="str">
            <v>DIV</v>
          </cell>
          <cell r="I483">
            <v>2000</v>
          </cell>
          <cell r="J483" t="str">
            <v>I</v>
          </cell>
          <cell r="K483" t="str">
            <v>CO</v>
          </cell>
          <cell r="L483" t="str">
            <v>KN</v>
          </cell>
          <cell r="Y483">
            <v>0</v>
          </cell>
          <cell r="Z483">
            <v>0</v>
          </cell>
          <cell r="AA483">
            <v>0</v>
          </cell>
          <cell r="AB483">
            <v>0</v>
          </cell>
          <cell r="AC483">
            <v>0</v>
          </cell>
          <cell r="AD483">
            <v>0</v>
          </cell>
          <cell r="AE483">
            <v>0</v>
          </cell>
          <cell r="AF483">
            <v>0</v>
          </cell>
        </row>
        <row r="484">
          <cell r="B484" t="str">
            <v>IN-KE-A99M314</v>
          </cell>
          <cell r="C484" t="str">
            <v>IN-A99M314</v>
          </cell>
          <cell r="D484" t="str">
            <v>IN-KE</v>
          </cell>
          <cell r="E484" t="str">
            <v>DIV-IN-KE</v>
          </cell>
          <cell r="F484" t="str">
            <v>DIV-KE</v>
          </cell>
          <cell r="G484" t="str">
            <v>A99M314</v>
          </cell>
          <cell r="H484" t="str">
            <v>DIV</v>
          </cell>
          <cell r="I484">
            <v>2000</v>
          </cell>
          <cell r="J484" t="str">
            <v>I</v>
          </cell>
          <cell r="K484" t="str">
            <v>IN</v>
          </cell>
          <cell r="L484" t="str">
            <v>KE</v>
          </cell>
          <cell r="Y484">
            <v>0</v>
          </cell>
          <cell r="Z484">
            <v>0</v>
          </cell>
          <cell r="AA484">
            <v>0</v>
          </cell>
          <cell r="AB484">
            <v>0</v>
          </cell>
          <cell r="AC484">
            <v>0</v>
          </cell>
          <cell r="AD484">
            <v>0</v>
          </cell>
          <cell r="AE484">
            <v>0</v>
          </cell>
          <cell r="AF484">
            <v>0</v>
          </cell>
        </row>
        <row r="485">
          <cell r="B485" t="str">
            <v>IN-KN-A99M314</v>
          </cell>
          <cell r="C485" t="str">
            <v>IN-A99M314</v>
          </cell>
          <cell r="D485" t="str">
            <v>IN-KN</v>
          </cell>
          <cell r="E485" t="str">
            <v>DIV-IN-KN</v>
          </cell>
          <cell r="F485" t="str">
            <v>DIV-KN</v>
          </cell>
          <cell r="G485" t="str">
            <v>A99M314</v>
          </cell>
          <cell r="H485" t="str">
            <v>DIV</v>
          </cell>
          <cell r="I485">
            <v>2000</v>
          </cell>
          <cell r="J485" t="str">
            <v>I</v>
          </cell>
          <cell r="K485" t="str">
            <v>IN</v>
          </cell>
          <cell r="L485" t="str">
            <v>KN</v>
          </cell>
          <cell r="Y485">
            <v>0</v>
          </cell>
          <cell r="Z485">
            <v>0</v>
          </cell>
          <cell r="AA485">
            <v>0</v>
          </cell>
          <cell r="AB485">
            <v>0</v>
          </cell>
          <cell r="AC485">
            <v>0</v>
          </cell>
          <cell r="AD485">
            <v>0</v>
          </cell>
          <cell r="AE485">
            <v>0</v>
          </cell>
          <cell r="AF485">
            <v>0</v>
          </cell>
        </row>
        <row r="486">
          <cell r="B486" t="str">
            <v>AD-KE-981002-1</v>
          </cell>
          <cell r="C486" t="str">
            <v>AD-981002-1</v>
          </cell>
          <cell r="D486" t="str">
            <v>AD-KE</v>
          </cell>
          <cell r="E486" t="str">
            <v>OTR-AD-KE</v>
          </cell>
          <cell r="F486" t="str">
            <v>OTR-KE</v>
          </cell>
          <cell r="G486" t="str">
            <v>981002-1</v>
          </cell>
          <cell r="H486" t="str">
            <v>OTR</v>
          </cell>
          <cell r="I486">
            <v>1999</v>
          </cell>
          <cell r="J486" t="str">
            <v>I</v>
          </cell>
          <cell r="K486" t="str">
            <v>AD</v>
          </cell>
          <cell r="L486" t="str">
            <v>KE</v>
          </cell>
          <cell r="Y486">
            <v>0</v>
          </cell>
          <cell r="Z486">
            <v>0</v>
          </cell>
          <cell r="AA486">
            <v>0</v>
          </cell>
          <cell r="AB486">
            <v>0</v>
          </cell>
          <cell r="AC486">
            <v>0</v>
          </cell>
          <cell r="AD486">
            <v>0</v>
          </cell>
          <cell r="AE486">
            <v>0</v>
          </cell>
          <cell r="AF486">
            <v>0</v>
          </cell>
        </row>
        <row r="487">
          <cell r="B487" t="str">
            <v>AD-KN-981002-1</v>
          </cell>
          <cell r="C487" t="str">
            <v>AD-981002-1</v>
          </cell>
          <cell r="D487" t="str">
            <v>AD-KN</v>
          </cell>
          <cell r="E487" t="str">
            <v>OTR-AD-KN</v>
          </cell>
          <cell r="F487" t="str">
            <v>OTR-KN</v>
          </cell>
          <cell r="G487" t="str">
            <v>981002-1</v>
          </cell>
          <cell r="H487" t="str">
            <v>OTR</v>
          </cell>
          <cell r="I487">
            <v>1999</v>
          </cell>
          <cell r="J487" t="str">
            <v>I</v>
          </cell>
          <cell r="K487" t="str">
            <v>AD</v>
          </cell>
          <cell r="L487" t="str">
            <v>KN</v>
          </cell>
          <cell r="Y487">
            <v>0</v>
          </cell>
          <cell r="Z487">
            <v>0</v>
          </cell>
          <cell r="AA487">
            <v>0</v>
          </cell>
          <cell r="AB487">
            <v>0</v>
          </cell>
          <cell r="AC487">
            <v>0</v>
          </cell>
          <cell r="AD487">
            <v>0</v>
          </cell>
          <cell r="AE487">
            <v>0</v>
          </cell>
          <cell r="AF487">
            <v>0</v>
          </cell>
        </row>
        <row r="488">
          <cell r="B488" t="str">
            <v>CO-KE-981002-1</v>
          </cell>
          <cell r="C488" t="str">
            <v>CO-981002-1</v>
          </cell>
          <cell r="D488" t="str">
            <v>CO-KE</v>
          </cell>
          <cell r="E488" t="str">
            <v>OTR-CO-KE</v>
          </cell>
          <cell r="F488" t="str">
            <v>OTR-KE</v>
          </cell>
          <cell r="G488" t="str">
            <v>981002-1</v>
          </cell>
          <cell r="H488" t="str">
            <v>OTR</v>
          </cell>
          <cell r="I488">
            <v>1999</v>
          </cell>
          <cell r="J488" t="str">
            <v>I</v>
          </cell>
          <cell r="K488" t="str">
            <v>CO</v>
          </cell>
          <cell r="L488" t="str">
            <v>KE</v>
          </cell>
          <cell r="Y488">
            <v>0</v>
          </cell>
          <cell r="Z488">
            <v>0</v>
          </cell>
          <cell r="AA488">
            <v>0</v>
          </cell>
          <cell r="AB488">
            <v>0</v>
          </cell>
          <cell r="AC488">
            <v>0</v>
          </cell>
          <cell r="AD488">
            <v>0</v>
          </cell>
          <cell r="AE488">
            <v>0</v>
          </cell>
          <cell r="AF488">
            <v>0</v>
          </cell>
        </row>
        <row r="489">
          <cell r="B489" t="str">
            <v>CO-KN-981002-1</v>
          </cell>
          <cell r="C489" t="str">
            <v>CO-981002-1</v>
          </cell>
          <cell r="D489" t="str">
            <v>CO-KN</v>
          </cell>
          <cell r="E489" t="str">
            <v>OTR-CO-KN</v>
          </cell>
          <cell r="F489" t="str">
            <v>OTR-KN</v>
          </cell>
          <cell r="G489" t="str">
            <v>981002-1</v>
          </cell>
          <cell r="H489" t="str">
            <v>OTR</v>
          </cell>
          <cell r="I489">
            <v>1999</v>
          </cell>
          <cell r="J489" t="str">
            <v>I</v>
          </cell>
          <cell r="K489" t="str">
            <v>CO</v>
          </cell>
          <cell r="L489" t="str">
            <v>KN</v>
          </cell>
          <cell r="Y489">
            <v>0</v>
          </cell>
          <cell r="Z489">
            <v>0</v>
          </cell>
          <cell r="AA489">
            <v>0</v>
          </cell>
          <cell r="AB489">
            <v>0</v>
          </cell>
          <cell r="AC489">
            <v>0</v>
          </cell>
          <cell r="AD489">
            <v>0</v>
          </cell>
          <cell r="AE489">
            <v>0</v>
          </cell>
          <cell r="AF489">
            <v>0</v>
          </cell>
        </row>
        <row r="490">
          <cell r="B490" t="str">
            <v>IN-KE-981002-1</v>
          </cell>
          <cell r="C490" t="str">
            <v>IN-981002-1</v>
          </cell>
          <cell r="D490" t="str">
            <v>IN-KE</v>
          </cell>
          <cell r="E490" t="str">
            <v>OTR-IN-KE</v>
          </cell>
          <cell r="F490" t="str">
            <v>OTR-KE</v>
          </cell>
          <cell r="G490" t="str">
            <v>981002-1</v>
          </cell>
          <cell r="H490" t="str">
            <v>OTR</v>
          </cell>
          <cell r="I490">
            <v>1999</v>
          </cell>
          <cell r="J490" t="str">
            <v>I</v>
          </cell>
          <cell r="K490" t="str">
            <v>IN</v>
          </cell>
          <cell r="L490" t="str">
            <v>KE</v>
          </cell>
          <cell r="Y490">
            <v>0</v>
          </cell>
          <cell r="Z490">
            <v>0</v>
          </cell>
          <cell r="AA490">
            <v>0</v>
          </cell>
          <cell r="AB490">
            <v>0</v>
          </cell>
          <cell r="AC490">
            <v>0</v>
          </cell>
          <cell r="AD490">
            <v>0</v>
          </cell>
          <cell r="AE490">
            <v>0</v>
          </cell>
          <cell r="AF490">
            <v>0</v>
          </cell>
        </row>
        <row r="491">
          <cell r="B491" t="str">
            <v>IN-KN-981002-1</v>
          </cell>
          <cell r="C491" t="str">
            <v>IN-981002-1</v>
          </cell>
          <cell r="D491" t="str">
            <v>IN-KN</v>
          </cell>
          <cell r="E491" t="str">
            <v>OTR-IN-KN</v>
          </cell>
          <cell r="F491" t="str">
            <v>OTR-KN</v>
          </cell>
          <cell r="G491" t="str">
            <v>981002-1</v>
          </cell>
          <cell r="H491" t="str">
            <v>OTR</v>
          </cell>
          <cell r="I491">
            <v>1999</v>
          </cell>
          <cell r="J491" t="str">
            <v>I</v>
          </cell>
          <cell r="K491" t="str">
            <v>IN</v>
          </cell>
          <cell r="L491" t="str">
            <v>KN</v>
          </cell>
          <cell r="Y491">
            <v>0</v>
          </cell>
          <cell r="Z491">
            <v>0</v>
          </cell>
          <cell r="AA491">
            <v>0</v>
          </cell>
          <cell r="AB491">
            <v>0</v>
          </cell>
          <cell r="AC491">
            <v>0</v>
          </cell>
          <cell r="AD491">
            <v>0</v>
          </cell>
          <cell r="AE491">
            <v>0</v>
          </cell>
          <cell r="AF491">
            <v>0</v>
          </cell>
        </row>
        <row r="492">
          <cell r="B492" t="str">
            <v>AD-KE-981501-1</v>
          </cell>
          <cell r="C492" t="str">
            <v>AD-981501-1</v>
          </cell>
          <cell r="D492" t="str">
            <v>AD-KE</v>
          </cell>
          <cell r="E492" t="str">
            <v>PRI-AD-KE</v>
          </cell>
          <cell r="F492" t="str">
            <v>PRI-KE</v>
          </cell>
          <cell r="G492" t="str">
            <v>981501-1</v>
          </cell>
          <cell r="H492" t="str">
            <v>PRI</v>
          </cell>
          <cell r="I492">
            <v>2000</v>
          </cell>
          <cell r="J492" t="str">
            <v>I</v>
          </cell>
          <cell r="K492" t="str">
            <v>AD</v>
          </cell>
          <cell r="L492" t="str">
            <v>KE</v>
          </cell>
          <cell r="Y492">
            <v>0</v>
          </cell>
          <cell r="Z492">
            <v>0</v>
          </cell>
          <cell r="AA492">
            <v>0</v>
          </cell>
          <cell r="AB492">
            <v>0</v>
          </cell>
          <cell r="AC492">
            <v>0</v>
          </cell>
          <cell r="AD492">
            <v>0</v>
          </cell>
          <cell r="AE492">
            <v>0</v>
          </cell>
          <cell r="AF492">
            <v>0</v>
          </cell>
        </row>
        <row r="493">
          <cell r="B493" t="str">
            <v>AD-KN-981501-1</v>
          </cell>
          <cell r="C493" t="str">
            <v>AD-981501-1</v>
          </cell>
          <cell r="D493" t="str">
            <v>AD-KN</v>
          </cell>
          <cell r="E493" t="str">
            <v>PRI-AD-KN</v>
          </cell>
          <cell r="F493" t="str">
            <v>PRI-KN</v>
          </cell>
          <cell r="G493" t="str">
            <v>981501-1</v>
          </cell>
          <cell r="H493" t="str">
            <v>PRI</v>
          </cell>
          <cell r="I493">
            <v>2000</v>
          </cell>
          <cell r="J493" t="str">
            <v>I</v>
          </cell>
          <cell r="K493" t="str">
            <v>AD</v>
          </cell>
          <cell r="L493" t="str">
            <v>KN</v>
          </cell>
          <cell r="Y493">
            <v>0</v>
          </cell>
          <cell r="Z493">
            <v>0</v>
          </cell>
          <cell r="AA493">
            <v>0</v>
          </cell>
          <cell r="AB493">
            <v>0</v>
          </cell>
          <cell r="AC493">
            <v>0</v>
          </cell>
          <cell r="AD493">
            <v>0</v>
          </cell>
          <cell r="AE493">
            <v>0</v>
          </cell>
          <cell r="AF493">
            <v>0</v>
          </cell>
        </row>
        <row r="494">
          <cell r="B494" t="str">
            <v>CO-KE-981501-1</v>
          </cell>
          <cell r="C494" t="str">
            <v>CO-981501-1</v>
          </cell>
          <cell r="D494" t="str">
            <v>CO-KE</v>
          </cell>
          <cell r="E494" t="str">
            <v>PRI-CO-KE</v>
          </cell>
          <cell r="F494" t="str">
            <v>PRI-KE</v>
          </cell>
          <cell r="G494" t="str">
            <v>981501-1</v>
          </cell>
          <cell r="H494" t="str">
            <v>PRI</v>
          </cell>
          <cell r="I494">
            <v>2000</v>
          </cell>
          <cell r="J494" t="str">
            <v>I</v>
          </cell>
          <cell r="K494" t="str">
            <v>CO</v>
          </cell>
          <cell r="L494" t="str">
            <v>KE</v>
          </cell>
          <cell r="Y494">
            <v>0</v>
          </cell>
          <cell r="Z494">
            <v>0</v>
          </cell>
          <cell r="AA494">
            <v>0</v>
          </cell>
          <cell r="AB494">
            <v>0</v>
          </cell>
          <cell r="AC494">
            <v>0</v>
          </cell>
          <cell r="AD494">
            <v>0</v>
          </cell>
          <cell r="AE494">
            <v>0</v>
          </cell>
          <cell r="AF494">
            <v>0</v>
          </cell>
        </row>
        <row r="495">
          <cell r="B495" t="str">
            <v>CO-KN-981501-1</v>
          </cell>
          <cell r="C495" t="str">
            <v>CO-981501-1</v>
          </cell>
          <cell r="D495" t="str">
            <v>CO-KN</v>
          </cell>
          <cell r="E495" t="str">
            <v>PRI-CO-KN</v>
          </cell>
          <cell r="F495" t="str">
            <v>PRI-KN</v>
          </cell>
          <cell r="G495" t="str">
            <v>981501-1</v>
          </cell>
          <cell r="H495" t="str">
            <v>PRI</v>
          </cell>
          <cell r="I495">
            <v>2000</v>
          </cell>
          <cell r="J495" t="str">
            <v>I</v>
          </cell>
          <cell r="K495" t="str">
            <v>CO</v>
          </cell>
          <cell r="L495" t="str">
            <v>KN</v>
          </cell>
          <cell r="Y495">
            <v>0</v>
          </cell>
          <cell r="Z495">
            <v>0</v>
          </cell>
          <cell r="AA495">
            <v>0</v>
          </cell>
          <cell r="AB495">
            <v>0</v>
          </cell>
          <cell r="AC495">
            <v>0</v>
          </cell>
          <cell r="AD495">
            <v>0</v>
          </cell>
          <cell r="AE495">
            <v>0</v>
          </cell>
          <cell r="AF495">
            <v>0</v>
          </cell>
        </row>
        <row r="496">
          <cell r="B496" t="str">
            <v>IN-KE-981501-1</v>
          </cell>
          <cell r="C496" t="str">
            <v>IN-981501-1</v>
          </cell>
          <cell r="D496" t="str">
            <v>IN-KE</v>
          </cell>
          <cell r="E496" t="str">
            <v>PRI-IN-KE</v>
          </cell>
          <cell r="F496" t="str">
            <v>PRI-KE</v>
          </cell>
          <cell r="G496" t="str">
            <v>981501-1</v>
          </cell>
          <cell r="H496" t="str">
            <v>PRI</v>
          </cell>
          <cell r="I496">
            <v>2000</v>
          </cell>
          <cell r="J496" t="str">
            <v>I</v>
          </cell>
          <cell r="K496" t="str">
            <v>IN</v>
          </cell>
          <cell r="L496" t="str">
            <v>KE</v>
          </cell>
          <cell r="Y496">
            <v>0</v>
          </cell>
          <cell r="Z496">
            <v>0</v>
          </cell>
          <cell r="AA496">
            <v>0</v>
          </cell>
          <cell r="AB496">
            <v>0</v>
          </cell>
          <cell r="AC496">
            <v>0</v>
          </cell>
          <cell r="AD496">
            <v>0</v>
          </cell>
          <cell r="AE496">
            <v>0</v>
          </cell>
          <cell r="AF496">
            <v>0</v>
          </cell>
        </row>
        <row r="497">
          <cell r="B497" t="str">
            <v>IN-KN-981501-1</v>
          </cell>
          <cell r="C497" t="str">
            <v>IN-981501-1</v>
          </cell>
          <cell r="D497" t="str">
            <v>IN-KN</v>
          </cell>
          <cell r="E497" t="str">
            <v>PRI-IN-KN</v>
          </cell>
          <cell r="F497" t="str">
            <v>PRI-KN</v>
          </cell>
          <cell r="G497" t="str">
            <v>981501-1</v>
          </cell>
          <cell r="H497" t="str">
            <v>PRI</v>
          </cell>
          <cell r="I497">
            <v>2000</v>
          </cell>
          <cell r="J497" t="str">
            <v>I</v>
          </cell>
          <cell r="K497" t="str">
            <v>IN</v>
          </cell>
          <cell r="L497" t="str">
            <v>KN</v>
          </cell>
          <cell r="Y497">
            <v>0</v>
          </cell>
          <cell r="Z497">
            <v>0</v>
          </cell>
          <cell r="AA497">
            <v>0</v>
          </cell>
          <cell r="AB497">
            <v>0</v>
          </cell>
          <cell r="AC497">
            <v>0</v>
          </cell>
          <cell r="AD497">
            <v>0</v>
          </cell>
          <cell r="AE497">
            <v>0</v>
          </cell>
          <cell r="AF497">
            <v>0</v>
          </cell>
        </row>
        <row r="498">
          <cell r="B498" t="str">
            <v>AD-KE-981501-2</v>
          </cell>
          <cell r="C498" t="str">
            <v>AD-981501-2</v>
          </cell>
          <cell r="D498" t="str">
            <v>AD-KE</v>
          </cell>
          <cell r="E498" t="str">
            <v>PRI-AD-KE</v>
          </cell>
          <cell r="F498" t="str">
            <v>PRI-KE</v>
          </cell>
          <cell r="G498" t="str">
            <v>981501-2</v>
          </cell>
          <cell r="H498" t="str">
            <v>PRI</v>
          </cell>
          <cell r="I498">
            <v>1999</v>
          </cell>
          <cell r="J498" t="str">
            <v>I</v>
          </cell>
          <cell r="K498" t="str">
            <v>AD</v>
          </cell>
          <cell r="L498" t="str">
            <v>KE</v>
          </cell>
          <cell r="Y498">
            <v>0</v>
          </cell>
          <cell r="Z498">
            <v>0</v>
          </cell>
          <cell r="AA498">
            <v>0</v>
          </cell>
          <cell r="AB498">
            <v>0</v>
          </cell>
          <cell r="AC498">
            <v>0</v>
          </cell>
          <cell r="AD498">
            <v>0</v>
          </cell>
          <cell r="AE498">
            <v>0</v>
          </cell>
          <cell r="AF498">
            <v>0</v>
          </cell>
        </row>
        <row r="499">
          <cell r="B499" t="str">
            <v>AD-KN-981501-2</v>
          </cell>
          <cell r="C499" t="str">
            <v>AD-981501-2</v>
          </cell>
          <cell r="D499" t="str">
            <v>AD-KN</v>
          </cell>
          <cell r="E499" t="str">
            <v>PRI-AD-KN</v>
          </cell>
          <cell r="F499" t="str">
            <v>PRI-KN</v>
          </cell>
          <cell r="G499" t="str">
            <v>981501-2</v>
          </cell>
          <cell r="H499" t="str">
            <v>PRI</v>
          </cell>
          <cell r="I499">
            <v>1999</v>
          </cell>
          <cell r="J499" t="str">
            <v>I</v>
          </cell>
          <cell r="K499" t="str">
            <v>AD</v>
          </cell>
          <cell r="L499" t="str">
            <v>KN</v>
          </cell>
          <cell r="Y499">
            <v>0</v>
          </cell>
          <cell r="Z499">
            <v>0</v>
          </cell>
          <cell r="AA499">
            <v>0</v>
          </cell>
          <cell r="AB499">
            <v>0</v>
          </cell>
          <cell r="AC499">
            <v>0</v>
          </cell>
          <cell r="AD499">
            <v>0</v>
          </cell>
          <cell r="AE499">
            <v>0</v>
          </cell>
          <cell r="AF499">
            <v>0</v>
          </cell>
        </row>
        <row r="500">
          <cell r="B500" t="str">
            <v>CO-KE-981501-2</v>
          </cell>
          <cell r="C500" t="str">
            <v>CO-981501-2</v>
          </cell>
          <cell r="D500" t="str">
            <v>CO-KE</v>
          </cell>
          <cell r="E500" t="str">
            <v>PRI-CO-KE</v>
          </cell>
          <cell r="F500" t="str">
            <v>PRI-KE</v>
          </cell>
          <cell r="G500" t="str">
            <v>981501-2</v>
          </cell>
          <cell r="H500" t="str">
            <v>PRI</v>
          </cell>
          <cell r="I500">
            <v>1999</v>
          </cell>
          <cell r="J500" t="str">
            <v>I</v>
          </cell>
          <cell r="K500" t="str">
            <v>CO</v>
          </cell>
          <cell r="L500" t="str">
            <v>KE</v>
          </cell>
          <cell r="Y500">
            <v>0</v>
          </cell>
          <cell r="Z500">
            <v>0</v>
          </cell>
          <cell r="AA500">
            <v>0</v>
          </cell>
          <cell r="AB500">
            <v>0</v>
          </cell>
          <cell r="AC500">
            <v>0</v>
          </cell>
          <cell r="AD500">
            <v>0</v>
          </cell>
          <cell r="AE500">
            <v>0</v>
          </cell>
          <cell r="AF500">
            <v>0</v>
          </cell>
        </row>
        <row r="501">
          <cell r="B501" t="str">
            <v>CO-KN-981501-2</v>
          </cell>
          <cell r="C501" t="str">
            <v>CO-981501-2</v>
          </cell>
          <cell r="D501" t="str">
            <v>CO-KN</v>
          </cell>
          <cell r="E501" t="str">
            <v>PRI-CO-KN</v>
          </cell>
          <cell r="F501" t="str">
            <v>PRI-KN</v>
          </cell>
          <cell r="G501" t="str">
            <v>981501-2</v>
          </cell>
          <cell r="H501" t="str">
            <v>PRI</v>
          </cell>
          <cell r="I501">
            <v>1999</v>
          </cell>
          <cell r="J501" t="str">
            <v>I</v>
          </cell>
          <cell r="K501" t="str">
            <v>CO</v>
          </cell>
          <cell r="L501" t="str">
            <v>KN</v>
          </cell>
          <cell r="Y501">
            <v>0</v>
          </cell>
          <cell r="Z501">
            <v>0</v>
          </cell>
          <cell r="AA501">
            <v>0</v>
          </cell>
          <cell r="AB501">
            <v>0</v>
          </cell>
          <cell r="AC501">
            <v>0</v>
          </cell>
          <cell r="AD501">
            <v>0</v>
          </cell>
          <cell r="AE501">
            <v>0</v>
          </cell>
          <cell r="AF501">
            <v>0</v>
          </cell>
        </row>
        <row r="502">
          <cell r="B502" t="str">
            <v>IN-KE-981501-2</v>
          </cell>
          <cell r="C502" t="str">
            <v>IN-981501-2</v>
          </cell>
          <cell r="D502" t="str">
            <v>IN-KE</v>
          </cell>
          <cell r="E502" t="str">
            <v>PRI-IN-KE</v>
          </cell>
          <cell r="F502" t="str">
            <v>PRI-KE</v>
          </cell>
          <cell r="G502" t="str">
            <v>981501-2</v>
          </cell>
          <cell r="H502" t="str">
            <v>PRI</v>
          </cell>
          <cell r="I502">
            <v>1999</v>
          </cell>
          <cell r="J502" t="str">
            <v>I</v>
          </cell>
          <cell r="K502" t="str">
            <v>IN</v>
          </cell>
          <cell r="L502" t="str">
            <v>KE</v>
          </cell>
          <cell r="Y502">
            <v>0</v>
          </cell>
          <cell r="Z502">
            <v>0</v>
          </cell>
          <cell r="AA502">
            <v>0</v>
          </cell>
          <cell r="AB502">
            <v>0</v>
          </cell>
          <cell r="AC502">
            <v>0</v>
          </cell>
          <cell r="AD502">
            <v>0</v>
          </cell>
          <cell r="AE502">
            <v>0</v>
          </cell>
          <cell r="AF502">
            <v>0</v>
          </cell>
        </row>
        <row r="503">
          <cell r="B503" t="str">
            <v>IN-KN-981501-2</v>
          </cell>
          <cell r="C503" t="str">
            <v>IN-981501-2</v>
          </cell>
          <cell r="D503" t="str">
            <v>IN-KN</v>
          </cell>
          <cell r="E503" t="str">
            <v>PRI-IN-KN</v>
          </cell>
          <cell r="F503" t="str">
            <v>PRI-KN</v>
          </cell>
          <cell r="G503" t="str">
            <v>981501-2</v>
          </cell>
          <cell r="H503" t="str">
            <v>PRI</v>
          </cell>
          <cell r="I503">
            <v>1999</v>
          </cell>
          <cell r="J503" t="str">
            <v>I</v>
          </cell>
          <cell r="K503" t="str">
            <v>IN</v>
          </cell>
          <cell r="L503" t="str">
            <v>KN</v>
          </cell>
          <cell r="Y503">
            <v>0</v>
          </cell>
          <cell r="Z503">
            <v>0</v>
          </cell>
          <cell r="AA503">
            <v>0</v>
          </cell>
          <cell r="AB503">
            <v>0</v>
          </cell>
          <cell r="AC503">
            <v>0</v>
          </cell>
          <cell r="AD503">
            <v>0</v>
          </cell>
          <cell r="AE503">
            <v>0</v>
          </cell>
          <cell r="AF503">
            <v>0</v>
          </cell>
        </row>
      </sheetData>
      <sheetData sheetId="5" refreshError="1">
        <row r="6">
          <cell r="B6" t="str">
            <v>AD-KE-930801</v>
          </cell>
          <cell r="C6" t="str">
            <v>AD-930801</v>
          </cell>
          <cell r="D6" t="str">
            <v>AD-KE</v>
          </cell>
          <cell r="E6" t="str">
            <v>PRI-AD-KE</v>
          </cell>
          <cell r="F6" t="str">
            <v>PRI-KE</v>
          </cell>
          <cell r="G6">
            <v>930801</v>
          </cell>
          <cell r="H6" t="str">
            <v>PRI</v>
          </cell>
          <cell r="I6">
            <v>1999</v>
          </cell>
          <cell r="J6" t="str">
            <v>R</v>
          </cell>
          <cell r="K6" t="str">
            <v>AD</v>
          </cell>
          <cell r="L6" t="str">
            <v>KE</v>
          </cell>
          <cell r="Y6">
            <v>0</v>
          </cell>
          <cell r="Z6">
            <v>0</v>
          </cell>
          <cell r="AA6">
            <v>0</v>
          </cell>
          <cell r="AB6">
            <v>0</v>
          </cell>
          <cell r="AC6">
            <v>0</v>
          </cell>
          <cell r="AD6">
            <v>0</v>
          </cell>
          <cell r="AE6">
            <v>0</v>
          </cell>
          <cell r="AF6">
            <v>0</v>
          </cell>
        </row>
        <row r="7">
          <cell r="B7" t="str">
            <v>AD-KN-930801</v>
          </cell>
          <cell r="C7" t="str">
            <v>AD-930801</v>
          </cell>
          <cell r="D7" t="str">
            <v>AD-KN</v>
          </cell>
          <cell r="E7" t="str">
            <v>PRI-AD-KN</v>
          </cell>
          <cell r="F7" t="str">
            <v>PRI-KN</v>
          </cell>
          <cell r="G7">
            <v>930801</v>
          </cell>
          <cell r="H7" t="str">
            <v>PRI</v>
          </cell>
          <cell r="I7">
            <v>1999</v>
          </cell>
          <cell r="J7" t="str">
            <v>R</v>
          </cell>
          <cell r="K7" t="str">
            <v>AD</v>
          </cell>
          <cell r="L7" t="str">
            <v>KN</v>
          </cell>
          <cell r="Y7">
            <v>0</v>
          </cell>
          <cell r="Z7">
            <v>0</v>
          </cell>
          <cell r="AA7">
            <v>0</v>
          </cell>
          <cell r="AB7">
            <v>0</v>
          </cell>
          <cell r="AC7">
            <v>0</v>
          </cell>
          <cell r="AD7">
            <v>0</v>
          </cell>
          <cell r="AE7">
            <v>0</v>
          </cell>
          <cell r="AF7">
            <v>0</v>
          </cell>
        </row>
        <row r="8">
          <cell r="B8" t="str">
            <v>CO-KE-930801</v>
          </cell>
          <cell r="C8" t="str">
            <v>CO-930801</v>
          </cell>
          <cell r="D8" t="str">
            <v>CO-KE</v>
          </cell>
          <cell r="E8" t="str">
            <v>PRI-CO-KE</v>
          </cell>
          <cell r="F8" t="str">
            <v>PRI-KE</v>
          </cell>
          <cell r="G8">
            <v>930801</v>
          </cell>
          <cell r="H8" t="str">
            <v>PRI</v>
          </cell>
          <cell r="I8">
            <v>1999</v>
          </cell>
          <cell r="J8" t="str">
            <v>R</v>
          </cell>
          <cell r="K8" t="str">
            <v>CO</v>
          </cell>
          <cell r="L8" t="str">
            <v>KE</v>
          </cell>
          <cell r="Y8">
            <v>0</v>
          </cell>
          <cell r="Z8">
            <v>0</v>
          </cell>
          <cell r="AA8">
            <v>0</v>
          </cell>
          <cell r="AB8">
            <v>0</v>
          </cell>
          <cell r="AC8">
            <v>0</v>
          </cell>
          <cell r="AD8">
            <v>0</v>
          </cell>
          <cell r="AE8">
            <v>0</v>
          </cell>
          <cell r="AF8">
            <v>0</v>
          </cell>
        </row>
        <row r="9">
          <cell r="B9" t="str">
            <v>CO-KN-930801</v>
          </cell>
          <cell r="C9" t="str">
            <v>CO-930801</v>
          </cell>
          <cell r="D9" t="str">
            <v>CO-KN</v>
          </cell>
          <cell r="E9" t="str">
            <v>PRI-CO-KN</v>
          </cell>
          <cell r="F9" t="str">
            <v>PRI-KN</v>
          </cell>
          <cell r="G9">
            <v>930801</v>
          </cell>
          <cell r="H9" t="str">
            <v>PRI</v>
          </cell>
          <cell r="I9">
            <v>1999</v>
          </cell>
          <cell r="J9" t="str">
            <v>R</v>
          </cell>
          <cell r="K9" t="str">
            <v>CO</v>
          </cell>
          <cell r="L9" t="str">
            <v>KN</v>
          </cell>
          <cell r="Y9">
            <v>0</v>
          </cell>
          <cell r="Z9">
            <v>0</v>
          </cell>
          <cell r="AA9">
            <v>0</v>
          </cell>
          <cell r="AB9">
            <v>0</v>
          </cell>
          <cell r="AC9">
            <v>0</v>
          </cell>
          <cell r="AD9">
            <v>0</v>
          </cell>
          <cell r="AE9">
            <v>0</v>
          </cell>
          <cell r="AF9">
            <v>0</v>
          </cell>
        </row>
        <row r="10">
          <cell r="B10" t="str">
            <v>IN-KE-930801</v>
          </cell>
          <cell r="C10" t="str">
            <v>IN-930801</v>
          </cell>
          <cell r="D10" t="str">
            <v>IN-KE</v>
          </cell>
          <cell r="E10" t="str">
            <v>PRI-IN-KE</v>
          </cell>
          <cell r="F10" t="str">
            <v>PRI-KE</v>
          </cell>
          <cell r="G10">
            <v>930801</v>
          </cell>
          <cell r="H10" t="str">
            <v>PRI</v>
          </cell>
          <cell r="I10">
            <v>1999</v>
          </cell>
          <cell r="J10" t="str">
            <v>R</v>
          </cell>
          <cell r="K10" t="str">
            <v>IN</v>
          </cell>
          <cell r="L10" t="str">
            <v>KE</v>
          </cell>
          <cell r="Y10">
            <v>0</v>
          </cell>
          <cell r="Z10">
            <v>0</v>
          </cell>
          <cell r="AA10">
            <v>0</v>
          </cell>
          <cell r="AB10">
            <v>0</v>
          </cell>
          <cell r="AC10">
            <v>0</v>
          </cell>
          <cell r="AD10">
            <v>0</v>
          </cell>
          <cell r="AE10">
            <v>0</v>
          </cell>
          <cell r="AF10">
            <v>0</v>
          </cell>
        </row>
        <row r="11">
          <cell r="B11" t="str">
            <v>IN-KN-930801</v>
          </cell>
          <cell r="C11" t="str">
            <v>IN-930801</v>
          </cell>
          <cell r="D11" t="str">
            <v>IN-KN</v>
          </cell>
          <cell r="E11" t="str">
            <v>PRI-IN-KN</v>
          </cell>
          <cell r="F11" t="str">
            <v>PRI-KN</v>
          </cell>
          <cell r="G11">
            <v>930801</v>
          </cell>
          <cell r="H11" t="str">
            <v>PRI</v>
          </cell>
          <cell r="I11">
            <v>1999</v>
          </cell>
          <cell r="J11" t="str">
            <v>R</v>
          </cell>
          <cell r="K11" t="str">
            <v>IN</v>
          </cell>
          <cell r="L11" t="str">
            <v>KN</v>
          </cell>
          <cell r="Y11">
            <v>0</v>
          </cell>
          <cell r="Z11">
            <v>0</v>
          </cell>
          <cell r="AA11">
            <v>0</v>
          </cell>
          <cell r="AB11">
            <v>0</v>
          </cell>
          <cell r="AC11">
            <v>0</v>
          </cell>
          <cell r="AD11">
            <v>0</v>
          </cell>
          <cell r="AE11">
            <v>0</v>
          </cell>
          <cell r="AF11">
            <v>0</v>
          </cell>
        </row>
        <row r="12">
          <cell r="B12" t="str">
            <v>AD-KE-940102</v>
          </cell>
          <cell r="C12" t="str">
            <v>AD-940102</v>
          </cell>
          <cell r="D12" t="str">
            <v>AD-KE</v>
          </cell>
          <cell r="E12" t="str">
            <v>PRI-AD-KE</v>
          </cell>
          <cell r="F12" t="str">
            <v>PRI-KE</v>
          </cell>
          <cell r="G12">
            <v>940102</v>
          </cell>
          <cell r="H12" t="str">
            <v>PRI</v>
          </cell>
          <cell r="I12">
            <v>2000</v>
          </cell>
          <cell r="J12" t="str">
            <v>R</v>
          </cell>
          <cell r="K12" t="str">
            <v>AD</v>
          </cell>
          <cell r="L12" t="str">
            <v>KE</v>
          </cell>
          <cell r="Y12">
            <v>0</v>
          </cell>
          <cell r="Z12">
            <v>0</v>
          </cell>
          <cell r="AA12">
            <v>0</v>
          </cell>
          <cell r="AB12">
            <v>0</v>
          </cell>
          <cell r="AC12">
            <v>0</v>
          </cell>
          <cell r="AD12">
            <v>0</v>
          </cell>
          <cell r="AE12">
            <v>0</v>
          </cell>
          <cell r="AF12">
            <v>0</v>
          </cell>
        </row>
        <row r="13">
          <cell r="B13" t="str">
            <v>AD-KN-940102</v>
          </cell>
          <cell r="C13" t="str">
            <v>AD-940102</v>
          </cell>
          <cell r="D13" t="str">
            <v>AD-KN</v>
          </cell>
          <cell r="E13" t="str">
            <v>PRI-AD-KN</v>
          </cell>
          <cell r="F13" t="str">
            <v>PRI-KN</v>
          </cell>
          <cell r="G13">
            <v>940102</v>
          </cell>
          <cell r="H13" t="str">
            <v>PRI</v>
          </cell>
          <cell r="I13">
            <v>2000</v>
          </cell>
          <cell r="J13" t="str">
            <v>R</v>
          </cell>
          <cell r="K13" t="str">
            <v>AD</v>
          </cell>
          <cell r="L13" t="str">
            <v>KN</v>
          </cell>
          <cell r="Y13">
            <v>0</v>
          </cell>
          <cell r="Z13">
            <v>0</v>
          </cell>
          <cell r="AA13">
            <v>0</v>
          </cell>
          <cell r="AB13">
            <v>0</v>
          </cell>
          <cell r="AC13">
            <v>0</v>
          </cell>
          <cell r="AD13">
            <v>0</v>
          </cell>
          <cell r="AE13">
            <v>0</v>
          </cell>
          <cell r="AF13">
            <v>0</v>
          </cell>
        </row>
        <row r="14">
          <cell r="B14" t="str">
            <v>CO-KE-940102</v>
          </cell>
          <cell r="C14" t="str">
            <v>CO-940102</v>
          </cell>
          <cell r="D14" t="str">
            <v>CO-KE</v>
          </cell>
          <cell r="E14" t="str">
            <v>PRI-CO-KE</v>
          </cell>
          <cell r="F14" t="str">
            <v>PRI-KE</v>
          </cell>
          <cell r="G14">
            <v>940102</v>
          </cell>
          <cell r="H14" t="str">
            <v>PRI</v>
          </cell>
          <cell r="I14">
            <v>2000</v>
          </cell>
          <cell r="J14" t="str">
            <v>R</v>
          </cell>
          <cell r="K14" t="str">
            <v>CO</v>
          </cell>
          <cell r="L14" t="str">
            <v>KE</v>
          </cell>
          <cell r="Y14">
            <v>0</v>
          </cell>
          <cell r="Z14">
            <v>0</v>
          </cell>
          <cell r="AA14">
            <v>0</v>
          </cell>
          <cell r="AB14">
            <v>0</v>
          </cell>
          <cell r="AC14">
            <v>0</v>
          </cell>
          <cell r="AD14">
            <v>0</v>
          </cell>
          <cell r="AE14">
            <v>0</v>
          </cell>
          <cell r="AF14">
            <v>0</v>
          </cell>
        </row>
        <row r="15">
          <cell r="B15" t="str">
            <v>CO-KN-940102</v>
          </cell>
          <cell r="C15" t="str">
            <v>CO-940102</v>
          </cell>
          <cell r="D15" t="str">
            <v>CO-KN</v>
          </cell>
          <cell r="E15" t="str">
            <v>PRI-CO-KN</v>
          </cell>
          <cell r="F15" t="str">
            <v>PRI-KN</v>
          </cell>
          <cell r="G15">
            <v>940102</v>
          </cell>
          <cell r="H15" t="str">
            <v>PRI</v>
          </cell>
          <cell r="I15">
            <v>2000</v>
          </cell>
          <cell r="J15" t="str">
            <v>R</v>
          </cell>
          <cell r="K15" t="str">
            <v>CO</v>
          </cell>
          <cell r="L15" t="str">
            <v>KN</v>
          </cell>
          <cell r="Y15">
            <v>0</v>
          </cell>
          <cell r="Z15">
            <v>0</v>
          </cell>
          <cell r="AA15">
            <v>0</v>
          </cell>
          <cell r="AB15">
            <v>0</v>
          </cell>
          <cell r="AC15">
            <v>0</v>
          </cell>
          <cell r="AD15">
            <v>0</v>
          </cell>
          <cell r="AE15">
            <v>0</v>
          </cell>
          <cell r="AF15">
            <v>0</v>
          </cell>
        </row>
        <row r="16">
          <cell r="B16" t="str">
            <v>IN-KE-940102</v>
          </cell>
          <cell r="C16" t="str">
            <v>IN-940102</v>
          </cell>
          <cell r="D16" t="str">
            <v>IN-KE</v>
          </cell>
          <cell r="E16" t="str">
            <v>PRI-IN-KE</v>
          </cell>
          <cell r="F16" t="str">
            <v>PRI-KE</v>
          </cell>
          <cell r="G16">
            <v>940102</v>
          </cell>
          <cell r="H16" t="str">
            <v>PRI</v>
          </cell>
          <cell r="I16">
            <v>2000</v>
          </cell>
          <cell r="J16" t="str">
            <v>R</v>
          </cell>
          <cell r="K16" t="str">
            <v>IN</v>
          </cell>
          <cell r="L16" t="str">
            <v>KE</v>
          </cell>
          <cell r="Y16">
            <v>0</v>
          </cell>
          <cell r="Z16">
            <v>0</v>
          </cell>
          <cell r="AA16">
            <v>0</v>
          </cell>
          <cell r="AB16">
            <v>0</v>
          </cell>
          <cell r="AC16">
            <v>0</v>
          </cell>
          <cell r="AD16">
            <v>0</v>
          </cell>
          <cell r="AE16">
            <v>0</v>
          </cell>
          <cell r="AF16">
            <v>0</v>
          </cell>
        </row>
        <row r="17">
          <cell r="B17" t="str">
            <v>IN-KN-940102</v>
          </cell>
          <cell r="C17" t="str">
            <v>IN-940102</v>
          </cell>
          <cell r="D17" t="str">
            <v>IN-KN</v>
          </cell>
          <cell r="E17" t="str">
            <v>PRI-IN-KN</v>
          </cell>
          <cell r="F17" t="str">
            <v>PRI-KN</v>
          </cell>
          <cell r="G17">
            <v>940102</v>
          </cell>
          <cell r="H17" t="str">
            <v>PRI</v>
          </cell>
          <cell r="I17">
            <v>2000</v>
          </cell>
          <cell r="J17" t="str">
            <v>R</v>
          </cell>
          <cell r="K17" t="str">
            <v>IN</v>
          </cell>
          <cell r="L17" t="str">
            <v>KN</v>
          </cell>
          <cell r="Y17">
            <v>0</v>
          </cell>
          <cell r="Z17">
            <v>0</v>
          </cell>
          <cell r="AA17">
            <v>0</v>
          </cell>
          <cell r="AB17">
            <v>0</v>
          </cell>
          <cell r="AC17">
            <v>0</v>
          </cell>
          <cell r="AD17">
            <v>0</v>
          </cell>
          <cell r="AE17">
            <v>0</v>
          </cell>
          <cell r="AF17">
            <v>0</v>
          </cell>
        </row>
        <row r="18">
          <cell r="B18" t="str">
            <v>AD-KE-940103</v>
          </cell>
          <cell r="C18" t="str">
            <v>AD-940103</v>
          </cell>
          <cell r="D18" t="str">
            <v>AD-KE</v>
          </cell>
          <cell r="E18" t="str">
            <v>PRI-AD-KE</v>
          </cell>
          <cell r="F18" t="str">
            <v>PRI-KE</v>
          </cell>
          <cell r="G18">
            <v>940103</v>
          </cell>
          <cell r="H18" t="str">
            <v>PRI</v>
          </cell>
          <cell r="I18">
            <v>1999</v>
          </cell>
          <cell r="J18" t="str">
            <v>R</v>
          </cell>
          <cell r="K18" t="str">
            <v>AD</v>
          </cell>
          <cell r="L18" t="str">
            <v>KE</v>
          </cell>
          <cell r="Y18">
            <v>0</v>
          </cell>
          <cell r="Z18">
            <v>0</v>
          </cell>
          <cell r="AA18">
            <v>0</v>
          </cell>
          <cell r="AB18">
            <v>0</v>
          </cell>
          <cell r="AC18">
            <v>0</v>
          </cell>
          <cell r="AD18">
            <v>0</v>
          </cell>
          <cell r="AE18">
            <v>0</v>
          </cell>
          <cell r="AF18">
            <v>0</v>
          </cell>
        </row>
        <row r="19">
          <cell r="B19" t="str">
            <v>AD-KN-940103</v>
          </cell>
          <cell r="C19" t="str">
            <v>AD-940103</v>
          </cell>
          <cell r="D19" t="str">
            <v>AD-KN</v>
          </cell>
          <cell r="E19" t="str">
            <v>PRI-AD-KN</v>
          </cell>
          <cell r="F19" t="str">
            <v>PRI-KN</v>
          </cell>
          <cell r="G19">
            <v>940103</v>
          </cell>
          <cell r="H19" t="str">
            <v>PRI</v>
          </cell>
          <cell r="I19">
            <v>1999</v>
          </cell>
          <cell r="J19" t="str">
            <v>R</v>
          </cell>
          <cell r="K19" t="str">
            <v>AD</v>
          </cell>
          <cell r="L19" t="str">
            <v>KN</v>
          </cell>
          <cell r="Y19">
            <v>0</v>
          </cell>
          <cell r="Z19">
            <v>0</v>
          </cell>
          <cell r="AA19">
            <v>0</v>
          </cell>
          <cell r="AB19">
            <v>0</v>
          </cell>
          <cell r="AC19">
            <v>0</v>
          </cell>
          <cell r="AD19">
            <v>0</v>
          </cell>
          <cell r="AE19">
            <v>0</v>
          </cell>
          <cell r="AF19">
            <v>0</v>
          </cell>
        </row>
        <row r="20">
          <cell r="B20" t="str">
            <v>CO-KE-940103</v>
          </cell>
          <cell r="C20" t="str">
            <v>CO-940103</v>
          </cell>
          <cell r="D20" t="str">
            <v>CO-KE</v>
          </cell>
          <cell r="E20" t="str">
            <v>PRI-CO-KE</v>
          </cell>
          <cell r="F20" t="str">
            <v>PRI-KE</v>
          </cell>
          <cell r="G20">
            <v>940103</v>
          </cell>
          <cell r="H20" t="str">
            <v>PRI</v>
          </cell>
          <cell r="I20">
            <v>1999</v>
          </cell>
          <cell r="J20" t="str">
            <v>R</v>
          </cell>
          <cell r="K20" t="str">
            <v>CO</v>
          </cell>
          <cell r="L20" t="str">
            <v>KE</v>
          </cell>
          <cell r="Y20">
            <v>0</v>
          </cell>
          <cell r="Z20">
            <v>0</v>
          </cell>
          <cell r="AA20">
            <v>0</v>
          </cell>
          <cell r="AB20">
            <v>0</v>
          </cell>
          <cell r="AC20">
            <v>0</v>
          </cell>
          <cell r="AD20">
            <v>0</v>
          </cell>
          <cell r="AE20">
            <v>0</v>
          </cell>
          <cell r="AF20">
            <v>0</v>
          </cell>
        </row>
        <row r="21">
          <cell r="B21" t="str">
            <v>CO-KN-940103</v>
          </cell>
          <cell r="C21" t="str">
            <v>CO-940103</v>
          </cell>
          <cell r="D21" t="str">
            <v>CO-KN</v>
          </cell>
          <cell r="E21" t="str">
            <v>PRI-CO-KN</v>
          </cell>
          <cell r="F21" t="str">
            <v>PRI-KN</v>
          </cell>
          <cell r="G21">
            <v>940103</v>
          </cell>
          <cell r="H21" t="str">
            <v>PRI</v>
          </cell>
          <cell r="I21">
            <v>1999</v>
          </cell>
          <cell r="J21" t="str">
            <v>R</v>
          </cell>
          <cell r="K21" t="str">
            <v>CO</v>
          </cell>
          <cell r="L21" t="str">
            <v>KN</v>
          </cell>
          <cell r="Y21">
            <v>0</v>
          </cell>
          <cell r="Z21">
            <v>0</v>
          </cell>
          <cell r="AA21">
            <v>0</v>
          </cell>
          <cell r="AB21">
            <v>0</v>
          </cell>
          <cell r="AC21">
            <v>0</v>
          </cell>
          <cell r="AD21">
            <v>0</v>
          </cell>
          <cell r="AE21">
            <v>0</v>
          </cell>
          <cell r="AF21">
            <v>0</v>
          </cell>
        </row>
        <row r="22">
          <cell r="B22" t="str">
            <v>IN-KE-940103</v>
          </cell>
          <cell r="C22" t="str">
            <v>IN-940103</v>
          </cell>
          <cell r="D22" t="str">
            <v>IN-KE</v>
          </cell>
          <cell r="E22" t="str">
            <v>PRI-IN-KE</v>
          </cell>
          <cell r="F22" t="str">
            <v>PRI-KE</v>
          </cell>
          <cell r="G22">
            <v>940103</v>
          </cell>
          <cell r="H22" t="str">
            <v>PRI</v>
          </cell>
          <cell r="I22">
            <v>1999</v>
          </cell>
          <cell r="J22" t="str">
            <v>R</v>
          </cell>
          <cell r="K22" t="str">
            <v>IN</v>
          </cell>
          <cell r="L22" t="str">
            <v>KE</v>
          </cell>
          <cell r="Y22">
            <v>0</v>
          </cell>
          <cell r="Z22">
            <v>0</v>
          </cell>
          <cell r="AA22">
            <v>0</v>
          </cell>
          <cell r="AB22">
            <v>0</v>
          </cell>
          <cell r="AC22">
            <v>0</v>
          </cell>
          <cell r="AD22">
            <v>0</v>
          </cell>
          <cell r="AE22">
            <v>0</v>
          </cell>
          <cell r="AF22">
            <v>0</v>
          </cell>
        </row>
        <row r="23">
          <cell r="B23" t="str">
            <v>IN-KN-940103</v>
          </cell>
          <cell r="C23" t="str">
            <v>IN-940103</v>
          </cell>
          <cell r="D23" t="str">
            <v>IN-KN</v>
          </cell>
          <cell r="E23" t="str">
            <v>PRI-IN-KN</v>
          </cell>
          <cell r="F23" t="str">
            <v>PRI-KN</v>
          </cell>
          <cell r="G23">
            <v>940103</v>
          </cell>
          <cell r="H23" t="str">
            <v>PRI</v>
          </cell>
          <cell r="I23">
            <v>1999</v>
          </cell>
          <cell r="J23" t="str">
            <v>R</v>
          </cell>
          <cell r="K23" t="str">
            <v>IN</v>
          </cell>
          <cell r="L23" t="str">
            <v>KN</v>
          </cell>
          <cell r="Y23">
            <v>0</v>
          </cell>
          <cell r="Z23">
            <v>0</v>
          </cell>
          <cell r="AA23">
            <v>0</v>
          </cell>
          <cell r="AB23">
            <v>0</v>
          </cell>
          <cell r="AC23">
            <v>0</v>
          </cell>
          <cell r="AD23">
            <v>0</v>
          </cell>
          <cell r="AE23">
            <v>0</v>
          </cell>
          <cell r="AF23">
            <v>0</v>
          </cell>
        </row>
        <row r="24">
          <cell r="B24" t="str">
            <v>AD-KE-950807</v>
          </cell>
          <cell r="C24" t="str">
            <v>AD-950807</v>
          </cell>
          <cell r="D24" t="str">
            <v>AD-KE</v>
          </cell>
          <cell r="E24" t="str">
            <v>PRI-AD-KE</v>
          </cell>
          <cell r="F24" t="str">
            <v>PRI-KE</v>
          </cell>
          <cell r="G24">
            <v>950807</v>
          </cell>
          <cell r="H24" t="str">
            <v>PRI</v>
          </cell>
          <cell r="I24">
            <v>1999</v>
          </cell>
          <cell r="J24" t="str">
            <v>R</v>
          </cell>
          <cell r="K24" t="str">
            <v>AD</v>
          </cell>
          <cell r="L24" t="str">
            <v>KE</v>
          </cell>
          <cell r="Y24">
            <v>0</v>
          </cell>
          <cell r="Z24">
            <v>0</v>
          </cell>
          <cell r="AA24">
            <v>0</v>
          </cell>
          <cell r="AB24">
            <v>0</v>
          </cell>
          <cell r="AC24">
            <v>0</v>
          </cell>
          <cell r="AD24">
            <v>0</v>
          </cell>
          <cell r="AE24">
            <v>0</v>
          </cell>
          <cell r="AF24">
            <v>0</v>
          </cell>
        </row>
        <row r="25">
          <cell r="B25" t="str">
            <v>AD-KN-950807</v>
          </cell>
          <cell r="C25" t="str">
            <v>AD-950807</v>
          </cell>
          <cell r="D25" t="str">
            <v>AD-KN</v>
          </cell>
          <cell r="E25" t="str">
            <v>PRI-AD-KN</v>
          </cell>
          <cell r="F25" t="str">
            <v>PRI-KN</v>
          </cell>
          <cell r="G25">
            <v>950807</v>
          </cell>
          <cell r="H25" t="str">
            <v>PRI</v>
          </cell>
          <cell r="I25">
            <v>1999</v>
          </cell>
          <cell r="J25" t="str">
            <v>R</v>
          </cell>
          <cell r="K25" t="str">
            <v>AD</v>
          </cell>
          <cell r="L25" t="str">
            <v>KN</v>
          </cell>
          <cell r="Y25">
            <v>0</v>
          </cell>
          <cell r="Z25">
            <v>0</v>
          </cell>
          <cell r="AA25">
            <v>0</v>
          </cell>
          <cell r="AB25">
            <v>0</v>
          </cell>
          <cell r="AC25">
            <v>0</v>
          </cell>
          <cell r="AD25">
            <v>0</v>
          </cell>
          <cell r="AE25">
            <v>0</v>
          </cell>
          <cell r="AF25">
            <v>0</v>
          </cell>
        </row>
        <row r="26">
          <cell r="B26" t="str">
            <v>CO-KE-950807</v>
          </cell>
          <cell r="C26" t="str">
            <v>CO-950807</v>
          </cell>
          <cell r="D26" t="str">
            <v>CO-KE</v>
          </cell>
          <cell r="E26" t="str">
            <v>PRI-CO-KE</v>
          </cell>
          <cell r="F26" t="str">
            <v>PRI-KE</v>
          </cell>
          <cell r="G26">
            <v>950807</v>
          </cell>
          <cell r="H26" t="str">
            <v>PRI</v>
          </cell>
          <cell r="I26">
            <v>1999</v>
          </cell>
          <cell r="J26" t="str">
            <v>R</v>
          </cell>
          <cell r="K26" t="str">
            <v>CO</v>
          </cell>
          <cell r="L26" t="str">
            <v>KE</v>
          </cell>
          <cell r="Y26">
            <v>0</v>
          </cell>
          <cell r="Z26">
            <v>0</v>
          </cell>
          <cell r="AA26">
            <v>0</v>
          </cell>
          <cell r="AB26">
            <v>0</v>
          </cell>
          <cell r="AC26">
            <v>0</v>
          </cell>
          <cell r="AD26">
            <v>0</v>
          </cell>
          <cell r="AE26">
            <v>0</v>
          </cell>
          <cell r="AF26">
            <v>0</v>
          </cell>
        </row>
        <row r="27">
          <cell r="B27" t="str">
            <v>CO-KN-950807</v>
          </cell>
          <cell r="C27" t="str">
            <v>CO-950807</v>
          </cell>
          <cell r="D27" t="str">
            <v>CO-KN</v>
          </cell>
          <cell r="E27" t="str">
            <v>PRI-CO-KN</v>
          </cell>
          <cell r="F27" t="str">
            <v>PRI-KN</v>
          </cell>
          <cell r="G27">
            <v>950807</v>
          </cell>
          <cell r="H27" t="str">
            <v>PRI</v>
          </cell>
          <cell r="I27">
            <v>1999</v>
          </cell>
          <cell r="J27" t="str">
            <v>R</v>
          </cell>
          <cell r="K27" t="str">
            <v>CO</v>
          </cell>
          <cell r="L27" t="str">
            <v>KN</v>
          </cell>
          <cell r="Y27">
            <v>0</v>
          </cell>
          <cell r="Z27">
            <v>0</v>
          </cell>
          <cell r="AA27">
            <v>0</v>
          </cell>
          <cell r="AB27">
            <v>0</v>
          </cell>
          <cell r="AC27">
            <v>0</v>
          </cell>
          <cell r="AD27">
            <v>0</v>
          </cell>
          <cell r="AE27">
            <v>0</v>
          </cell>
          <cell r="AF27">
            <v>0</v>
          </cell>
        </row>
        <row r="28">
          <cell r="B28" t="str">
            <v>IN-KE-950807</v>
          </cell>
          <cell r="C28" t="str">
            <v>IN-950807</v>
          </cell>
          <cell r="D28" t="str">
            <v>IN-KE</v>
          </cell>
          <cell r="E28" t="str">
            <v>PRI-IN-KE</v>
          </cell>
          <cell r="F28" t="str">
            <v>PRI-KE</v>
          </cell>
          <cell r="G28">
            <v>950807</v>
          </cell>
          <cell r="H28" t="str">
            <v>PRI</v>
          </cell>
          <cell r="I28">
            <v>1999</v>
          </cell>
          <cell r="J28" t="str">
            <v>R</v>
          </cell>
          <cell r="K28" t="str">
            <v>IN</v>
          </cell>
          <cell r="L28" t="str">
            <v>KE</v>
          </cell>
          <cell r="Y28">
            <v>0</v>
          </cell>
          <cell r="Z28">
            <v>0</v>
          </cell>
          <cell r="AA28">
            <v>0</v>
          </cell>
          <cell r="AB28">
            <v>0</v>
          </cell>
          <cell r="AC28">
            <v>0</v>
          </cell>
          <cell r="AD28">
            <v>0</v>
          </cell>
          <cell r="AE28">
            <v>0</v>
          </cell>
          <cell r="AF28">
            <v>0</v>
          </cell>
        </row>
        <row r="29">
          <cell r="B29" t="str">
            <v>IN-KN-950807</v>
          </cell>
          <cell r="C29" t="str">
            <v>IN-950807</v>
          </cell>
          <cell r="D29" t="str">
            <v>IN-KN</v>
          </cell>
          <cell r="E29" t="str">
            <v>PRI-IN-KN</v>
          </cell>
          <cell r="F29" t="str">
            <v>PRI-KN</v>
          </cell>
          <cell r="G29">
            <v>950807</v>
          </cell>
          <cell r="H29" t="str">
            <v>PRI</v>
          </cell>
          <cell r="I29">
            <v>1999</v>
          </cell>
          <cell r="J29" t="str">
            <v>R</v>
          </cell>
          <cell r="K29" t="str">
            <v>IN</v>
          </cell>
          <cell r="L29" t="str">
            <v>KN</v>
          </cell>
          <cell r="Y29">
            <v>0</v>
          </cell>
          <cell r="Z29">
            <v>0</v>
          </cell>
          <cell r="AA29">
            <v>0</v>
          </cell>
          <cell r="AB29">
            <v>0</v>
          </cell>
          <cell r="AC29">
            <v>0</v>
          </cell>
          <cell r="AD29">
            <v>0</v>
          </cell>
          <cell r="AE29">
            <v>0</v>
          </cell>
          <cell r="AF29">
            <v>0</v>
          </cell>
        </row>
        <row r="30">
          <cell r="B30" t="str">
            <v>AD-KE-961001</v>
          </cell>
          <cell r="C30" t="str">
            <v>AD-961001</v>
          </cell>
          <cell r="D30" t="str">
            <v>AD-KE</v>
          </cell>
          <cell r="E30" t="str">
            <v>PRI-AD-KE</v>
          </cell>
          <cell r="F30" t="str">
            <v>PRI-KE</v>
          </cell>
          <cell r="G30">
            <v>961001</v>
          </cell>
          <cell r="H30" t="str">
            <v>PRI</v>
          </cell>
          <cell r="I30">
            <v>2000</v>
          </cell>
          <cell r="J30" t="str">
            <v>R</v>
          </cell>
          <cell r="K30" t="str">
            <v>AD</v>
          </cell>
          <cell r="L30" t="str">
            <v>KE</v>
          </cell>
          <cell r="Y30">
            <v>0</v>
          </cell>
          <cell r="Z30">
            <v>0</v>
          </cell>
          <cell r="AA30">
            <v>0</v>
          </cell>
          <cell r="AB30">
            <v>0</v>
          </cell>
          <cell r="AC30">
            <v>0</v>
          </cell>
          <cell r="AD30">
            <v>0</v>
          </cell>
          <cell r="AE30">
            <v>0</v>
          </cell>
          <cell r="AF30">
            <v>0</v>
          </cell>
        </row>
        <row r="31">
          <cell r="B31" t="str">
            <v>AD-KN-961001</v>
          </cell>
          <cell r="C31" t="str">
            <v>AD-961001</v>
          </cell>
          <cell r="D31" t="str">
            <v>AD-KN</v>
          </cell>
          <cell r="E31" t="str">
            <v>PRI-AD-KN</v>
          </cell>
          <cell r="F31" t="str">
            <v>PRI-KN</v>
          </cell>
          <cell r="G31">
            <v>961001</v>
          </cell>
          <cell r="H31" t="str">
            <v>PRI</v>
          </cell>
          <cell r="I31">
            <v>2000</v>
          </cell>
          <cell r="J31" t="str">
            <v>R</v>
          </cell>
          <cell r="K31" t="str">
            <v>AD</v>
          </cell>
          <cell r="L31" t="str">
            <v>KN</v>
          </cell>
          <cell r="Y31">
            <v>0</v>
          </cell>
          <cell r="Z31">
            <v>0</v>
          </cell>
          <cell r="AA31">
            <v>0</v>
          </cell>
          <cell r="AB31">
            <v>0</v>
          </cell>
          <cell r="AC31">
            <v>0</v>
          </cell>
          <cell r="AD31">
            <v>0</v>
          </cell>
          <cell r="AE31">
            <v>0</v>
          </cell>
          <cell r="AF31">
            <v>0</v>
          </cell>
        </row>
        <row r="32">
          <cell r="B32" t="str">
            <v>CO-KE-961001</v>
          </cell>
          <cell r="C32" t="str">
            <v>CO-961001</v>
          </cell>
          <cell r="D32" t="str">
            <v>CO-KE</v>
          </cell>
          <cell r="E32" t="str">
            <v>PRI-CO-KE</v>
          </cell>
          <cell r="F32" t="str">
            <v>PRI-KE</v>
          </cell>
          <cell r="G32">
            <v>961001</v>
          </cell>
          <cell r="H32" t="str">
            <v>PRI</v>
          </cell>
          <cell r="I32">
            <v>2000</v>
          </cell>
          <cell r="J32" t="str">
            <v>R</v>
          </cell>
          <cell r="K32" t="str">
            <v>CO</v>
          </cell>
          <cell r="L32" t="str">
            <v>KE</v>
          </cell>
          <cell r="Y32">
            <v>0</v>
          </cell>
          <cell r="Z32">
            <v>0</v>
          </cell>
          <cell r="AA32">
            <v>0</v>
          </cell>
          <cell r="AB32">
            <v>0</v>
          </cell>
          <cell r="AC32">
            <v>0</v>
          </cell>
          <cell r="AD32">
            <v>0</v>
          </cell>
          <cell r="AE32">
            <v>0</v>
          </cell>
          <cell r="AF32">
            <v>0</v>
          </cell>
        </row>
        <row r="33">
          <cell r="B33" t="str">
            <v>CO-KN-961001</v>
          </cell>
          <cell r="C33" t="str">
            <v>CO-961001</v>
          </cell>
          <cell r="D33" t="str">
            <v>CO-KN</v>
          </cell>
          <cell r="E33" t="str">
            <v>PRI-CO-KN</v>
          </cell>
          <cell r="F33" t="str">
            <v>PRI-KN</v>
          </cell>
          <cell r="G33">
            <v>961001</v>
          </cell>
          <cell r="H33" t="str">
            <v>PRI</v>
          </cell>
          <cell r="I33">
            <v>2000</v>
          </cell>
          <cell r="J33" t="str">
            <v>R</v>
          </cell>
          <cell r="K33" t="str">
            <v>CO</v>
          </cell>
          <cell r="L33" t="str">
            <v>KN</v>
          </cell>
          <cell r="Y33">
            <v>0</v>
          </cell>
          <cell r="Z33">
            <v>0</v>
          </cell>
          <cell r="AA33">
            <v>0</v>
          </cell>
          <cell r="AB33">
            <v>0</v>
          </cell>
          <cell r="AC33">
            <v>0</v>
          </cell>
          <cell r="AD33">
            <v>0</v>
          </cell>
          <cell r="AE33">
            <v>0</v>
          </cell>
          <cell r="AF33">
            <v>0</v>
          </cell>
        </row>
        <row r="34">
          <cell r="B34" t="str">
            <v>IN-KE-961001</v>
          </cell>
          <cell r="C34" t="str">
            <v>IN-961001</v>
          </cell>
          <cell r="D34" t="str">
            <v>IN-KE</v>
          </cell>
          <cell r="E34" t="str">
            <v>PRI-IN-KE</v>
          </cell>
          <cell r="F34" t="str">
            <v>PRI-KE</v>
          </cell>
          <cell r="G34">
            <v>961001</v>
          </cell>
          <cell r="H34" t="str">
            <v>PRI</v>
          </cell>
          <cell r="I34">
            <v>2000</v>
          </cell>
          <cell r="J34" t="str">
            <v>R</v>
          </cell>
          <cell r="K34" t="str">
            <v>IN</v>
          </cell>
          <cell r="L34" t="str">
            <v>KE</v>
          </cell>
          <cell r="Y34">
            <v>0</v>
          </cell>
          <cell r="Z34">
            <v>0</v>
          </cell>
          <cell r="AA34">
            <v>0</v>
          </cell>
          <cell r="AB34">
            <v>0</v>
          </cell>
          <cell r="AC34">
            <v>0</v>
          </cell>
          <cell r="AD34">
            <v>0</v>
          </cell>
          <cell r="AE34">
            <v>0</v>
          </cell>
          <cell r="AF34">
            <v>0</v>
          </cell>
        </row>
        <row r="35">
          <cell r="B35" t="str">
            <v>IN-KN-961001</v>
          </cell>
          <cell r="C35" t="str">
            <v>IN-961001</v>
          </cell>
          <cell r="D35" t="str">
            <v>IN-KN</v>
          </cell>
          <cell r="E35" t="str">
            <v>PRI-IN-KN</v>
          </cell>
          <cell r="F35" t="str">
            <v>PRI-KN</v>
          </cell>
          <cell r="G35">
            <v>961001</v>
          </cell>
          <cell r="H35" t="str">
            <v>PRI</v>
          </cell>
          <cell r="I35">
            <v>2000</v>
          </cell>
          <cell r="J35" t="str">
            <v>R</v>
          </cell>
          <cell r="K35" t="str">
            <v>IN</v>
          </cell>
          <cell r="L35" t="str">
            <v>KN</v>
          </cell>
          <cell r="Y35">
            <v>0</v>
          </cell>
          <cell r="Z35">
            <v>0</v>
          </cell>
          <cell r="AA35">
            <v>0</v>
          </cell>
          <cell r="AB35">
            <v>0</v>
          </cell>
          <cell r="AC35">
            <v>0</v>
          </cell>
          <cell r="AD35">
            <v>0</v>
          </cell>
          <cell r="AE35">
            <v>0</v>
          </cell>
          <cell r="AF35">
            <v>0</v>
          </cell>
        </row>
        <row r="36">
          <cell r="B36" t="str">
            <v>AD-KE-970805</v>
          </cell>
          <cell r="C36" t="str">
            <v>AD-970805</v>
          </cell>
          <cell r="D36" t="str">
            <v>AD-KE</v>
          </cell>
          <cell r="E36" t="str">
            <v>OTR-AD-KE</v>
          </cell>
          <cell r="F36" t="str">
            <v>OTR-KE</v>
          </cell>
          <cell r="G36">
            <v>970805</v>
          </cell>
          <cell r="H36" t="str">
            <v>OTR</v>
          </cell>
          <cell r="I36">
            <v>1999</v>
          </cell>
          <cell r="J36" t="str">
            <v>R</v>
          </cell>
          <cell r="K36" t="str">
            <v>AD</v>
          </cell>
          <cell r="L36" t="str">
            <v>KE</v>
          </cell>
          <cell r="Y36">
            <v>0</v>
          </cell>
          <cell r="Z36">
            <v>0</v>
          </cell>
          <cell r="AA36">
            <v>0</v>
          </cell>
          <cell r="AB36">
            <v>0</v>
          </cell>
          <cell r="AC36">
            <v>0</v>
          </cell>
          <cell r="AD36">
            <v>0</v>
          </cell>
          <cell r="AE36">
            <v>0</v>
          </cell>
          <cell r="AF36">
            <v>0</v>
          </cell>
        </row>
        <row r="37">
          <cell r="B37" t="str">
            <v>AD-KN-970805</v>
          </cell>
          <cell r="C37" t="str">
            <v>AD-970805</v>
          </cell>
          <cell r="D37" t="str">
            <v>AD-KN</v>
          </cell>
          <cell r="E37" t="str">
            <v>OTR-AD-KN</v>
          </cell>
          <cell r="F37" t="str">
            <v>OTR-KN</v>
          </cell>
          <cell r="G37">
            <v>970805</v>
          </cell>
          <cell r="H37" t="str">
            <v>OTR</v>
          </cell>
          <cell r="I37">
            <v>1999</v>
          </cell>
          <cell r="J37" t="str">
            <v>R</v>
          </cell>
          <cell r="K37" t="str">
            <v>AD</v>
          </cell>
          <cell r="L37" t="str">
            <v>KN</v>
          </cell>
          <cell r="Y37">
            <v>0</v>
          </cell>
          <cell r="Z37">
            <v>0</v>
          </cell>
          <cell r="AA37">
            <v>0</v>
          </cell>
          <cell r="AB37">
            <v>0</v>
          </cell>
          <cell r="AC37">
            <v>0</v>
          </cell>
          <cell r="AD37">
            <v>0</v>
          </cell>
          <cell r="AE37">
            <v>0</v>
          </cell>
          <cell r="AF37">
            <v>0</v>
          </cell>
        </row>
        <row r="38">
          <cell r="B38" t="str">
            <v>CO-KE-970805</v>
          </cell>
          <cell r="C38" t="str">
            <v>CO-970805</v>
          </cell>
          <cell r="D38" t="str">
            <v>CO-KE</v>
          </cell>
          <cell r="E38" t="str">
            <v>OTR-CO-KE</v>
          </cell>
          <cell r="F38" t="str">
            <v>OTR-KE</v>
          </cell>
          <cell r="G38">
            <v>970805</v>
          </cell>
          <cell r="H38" t="str">
            <v>OTR</v>
          </cell>
          <cell r="I38">
            <v>1999</v>
          </cell>
          <cell r="J38" t="str">
            <v>R</v>
          </cell>
          <cell r="K38" t="str">
            <v>CO</v>
          </cell>
          <cell r="L38" t="str">
            <v>KE</v>
          </cell>
          <cell r="Y38">
            <v>0</v>
          </cell>
          <cell r="Z38">
            <v>0</v>
          </cell>
          <cell r="AA38">
            <v>0</v>
          </cell>
          <cell r="AB38">
            <v>0</v>
          </cell>
          <cell r="AC38">
            <v>0</v>
          </cell>
          <cell r="AD38">
            <v>0</v>
          </cell>
          <cell r="AE38">
            <v>0</v>
          </cell>
          <cell r="AF38">
            <v>0</v>
          </cell>
        </row>
        <row r="39">
          <cell r="B39" t="str">
            <v>CO-KN-970805</v>
          </cell>
          <cell r="C39" t="str">
            <v>CO-970805</v>
          </cell>
          <cell r="D39" t="str">
            <v>CO-KN</v>
          </cell>
          <cell r="E39" t="str">
            <v>OTR-CO-KN</v>
          </cell>
          <cell r="F39" t="str">
            <v>OTR-KN</v>
          </cell>
          <cell r="G39">
            <v>970805</v>
          </cell>
          <cell r="H39" t="str">
            <v>OTR</v>
          </cell>
          <cell r="I39">
            <v>1999</v>
          </cell>
          <cell r="J39" t="str">
            <v>R</v>
          </cell>
          <cell r="K39" t="str">
            <v>CO</v>
          </cell>
          <cell r="L39" t="str">
            <v>KN</v>
          </cell>
          <cell r="Y39">
            <v>0</v>
          </cell>
          <cell r="Z39">
            <v>0</v>
          </cell>
          <cell r="AA39">
            <v>0</v>
          </cell>
          <cell r="AB39">
            <v>0</v>
          </cell>
          <cell r="AC39">
            <v>0</v>
          </cell>
          <cell r="AD39">
            <v>0</v>
          </cell>
          <cell r="AE39">
            <v>0</v>
          </cell>
          <cell r="AF39">
            <v>0</v>
          </cell>
        </row>
        <row r="40">
          <cell r="B40" t="str">
            <v>IN-KE-970805</v>
          </cell>
          <cell r="C40" t="str">
            <v>IN-970805</v>
          </cell>
          <cell r="D40" t="str">
            <v>IN-KE</v>
          </cell>
          <cell r="E40" t="str">
            <v>OTR-IN-KE</v>
          </cell>
          <cell r="F40" t="str">
            <v>OTR-KE</v>
          </cell>
          <cell r="G40">
            <v>970805</v>
          </cell>
          <cell r="H40" t="str">
            <v>OTR</v>
          </cell>
          <cell r="I40">
            <v>1999</v>
          </cell>
          <cell r="J40" t="str">
            <v>R</v>
          </cell>
          <cell r="K40" t="str">
            <v>IN</v>
          </cell>
          <cell r="L40" t="str">
            <v>KE</v>
          </cell>
          <cell r="Y40">
            <v>0</v>
          </cell>
          <cell r="Z40">
            <v>0</v>
          </cell>
          <cell r="AA40">
            <v>0</v>
          </cell>
          <cell r="AB40">
            <v>0</v>
          </cell>
          <cell r="AC40">
            <v>0</v>
          </cell>
          <cell r="AD40">
            <v>0</v>
          </cell>
          <cell r="AE40">
            <v>0</v>
          </cell>
          <cell r="AF40">
            <v>0</v>
          </cell>
        </row>
        <row r="41">
          <cell r="B41" t="str">
            <v>IN-KN-970805</v>
          </cell>
          <cell r="C41" t="str">
            <v>IN-970805</v>
          </cell>
          <cell r="D41" t="str">
            <v>IN-KN</v>
          </cell>
          <cell r="E41" t="str">
            <v>OTR-IN-KN</v>
          </cell>
          <cell r="F41" t="str">
            <v>OTR-KN</v>
          </cell>
          <cell r="G41">
            <v>970805</v>
          </cell>
          <cell r="H41" t="str">
            <v>OTR</v>
          </cell>
          <cell r="I41">
            <v>1999</v>
          </cell>
          <cell r="J41" t="str">
            <v>R</v>
          </cell>
          <cell r="K41" t="str">
            <v>IN</v>
          </cell>
          <cell r="L41" t="str">
            <v>KN</v>
          </cell>
          <cell r="Y41">
            <v>0</v>
          </cell>
          <cell r="Z41">
            <v>0</v>
          </cell>
          <cell r="AA41">
            <v>0</v>
          </cell>
          <cell r="AB41">
            <v>0</v>
          </cell>
          <cell r="AC41">
            <v>0</v>
          </cell>
          <cell r="AD41">
            <v>0</v>
          </cell>
          <cell r="AE41">
            <v>0</v>
          </cell>
          <cell r="AF41">
            <v>0</v>
          </cell>
        </row>
        <row r="42">
          <cell r="B42" t="str">
            <v>AD-KE-980101</v>
          </cell>
          <cell r="C42" t="str">
            <v>AD-980101</v>
          </cell>
          <cell r="D42" t="str">
            <v>AD-KE</v>
          </cell>
          <cell r="E42" t="str">
            <v>PRI-AD-KE</v>
          </cell>
          <cell r="F42" t="str">
            <v>PRI-KE</v>
          </cell>
          <cell r="G42">
            <v>980101</v>
          </cell>
          <cell r="H42" t="str">
            <v>PRI</v>
          </cell>
          <cell r="I42">
            <v>2000</v>
          </cell>
          <cell r="J42" t="str">
            <v>R</v>
          </cell>
          <cell r="K42" t="str">
            <v>AD</v>
          </cell>
          <cell r="L42" t="str">
            <v>KE</v>
          </cell>
          <cell r="Y42">
            <v>0</v>
          </cell>
          <cell r="Z42">
            <v>0</v>
          </cell>
          <cell r="AA42">
            <v>0</v>
          </cell>
          <cell r="AB42">
            <v>0</v>
          </cell>
          <cell r="AC42">
            <v>0</v>
          </cell>
          <cell r="AD42">
            <v>0</v>
          </cell>
          <cell r="AE42">
            <v>0</v>
          </cell>
          <cell r="AF42">
            <v>0</v>
          </cell>
        </row>
        <row r="43">
          <cell r="B43" t="str">
            <v>AD-KN-980101</v>
          </cell>
          <cell r="C43" t="str">
            <v>AD-980101</v>
          </cell>
          <cell r="D43" t="str">
            <v>AD-KN</v>
          </cell>
          <cell r="E43" t="str">
            <v>PRI-AD-KN</v>
          </cell>
          <cell r="F43" t="str">
            <v>PRI-KN</v>
          </cell>
          <cell r="G43">
            <v>980101</v>
          </cell>
          <cell r="H43" t="str">
            <v>PRI</v>
          </cell>
          <cell r="I43">
            <v>2000</v>
          </cell>
          <cell r="J43" t="str">
            <v>R</v>
          </cell>
          <cell r="K43" t="str">
            <v>AD</v>
          </cell>
          <cell r="L43" t="str">
            <v>KN</v>
          </cell>
          <cell r="Y43">
            <v>0</v>
          </cell>
          <cell r="Z43">
            <v>0</v>
          </cell>
          <cell r="AA43">
            <v>0</v>
          </cell>
          <cell r="AB43">
            <v>0</v>
          </cell>
          <cell r="AC43">
            <v>0</v>
          </cell>
          <cell r="AD43">
            <v>0</v>
          </cell>
          <cell r="AE43">
            <v>0</v>
          </cell>
          <cell r="AF43">
            <v>0</v>
          </cell>
        </row>
        <row r="44">
          <cell r="B44" t="str">
            <v>CO-KE-980101</v>
          </cell>
          <cell r="C44" t="str">
            <v>CO-980101</v>
          </cell>
          <cell r="D44" t="str">
            <v>CO-KE</v>
          </cell>
          <cell r="E44" t="str">
            <v>PRI-CO-KE</v>
          </cell>
          <cell r="F44" t="str">
            <v>PRI-KE</v>
          </cell>
          <cell r="G44">
            <v>980101</v>
          </cell>
          <cell r="H44" t="str">
            <v>PRI</v>
          </cell>
          <cell r="I44">
            <v>2000</v>
          </cell>
          <cell r="J44" t="str">
            <v>R</v>
          </cell>
          <cell r="K44" t="str">
            <v>CO</v>
          </cell>
          <cell r="L44" t="str">
            <v>KE</v>
          </cell>
          <cell r="Y44">
            <v>0</v>
          </cell>
          <cell r="Z44">
            <v>0</v>
          </cell>
          <cell r="AA44">
            <v>0</v>
          </cell>
          <cell r="AB44">
            <v>0</v>
          </cell>
          <cell r="AC44">
            <v>0</v>
          </cell>
          <cell r="AD44">
            <v>0</v>
          </cell>
          <cell r="AE44">
            <v>0</v>
          </cell>
          <cell r="AF44">
            <v>0</v>
          </cell>
        </row>
        <row r="45">
          <cell r="B45" t="str">
            <v>CO-KN-980101</v>
          </cell>
          <cell r="C45" t="str">
            <v>CO-980101</v>
          </cell>
          <cell r="D45" t="str">
            <v>CO-KN</v>
          </cell>
          <cell r="E45" t="str">
            <v>PRI-CO-KN</v>
          </cell>
          <cell r="F45" t="str">
            <v>PRI-KN</v>
          </cell>
          <cell r="G45">
            <v>980101</v>
          </cell>
          <cell r="H45" t="str">
            <v>PRI</v>
          </cell>
          <cell r="I45">
            <v>2000</v>
          </cell>
          <cell r="J45" t="str">
            <v>R</v>
          </cell>
          <cell r="K45" t="str">
            <v>CO</v>
          </cell>
          <cell r="L45" t="str">
            <v>KN</v>
          </cell>
          <cell r="Y45">
            <v>0</v>
          </cell>
          <cell r="Z45">
            <v>0</v>
          </cell>
          <cell r="AA45">
            <v>0</v>
          </cell>
          <cell r="AB45">
            <v>0</v>
          </cell>
          <cell r="AC45">
            <v>0</v>
          </cell>
          <cell r="AD45">
            <v>0</v>
          </cell>
          <cell r="AE45">
            <v>0</v>
          </cell>
          <cell r="AF45">
            <v>0</v>
          </cell>
        </row>
        <row r="46">
          <cell r="B46" t="str">
            <v>IN-KE-980101</v>
          </cell>
          <cell r="C46" t="str">
            <v>IN-980101</v>
          </cell>
          <cell r="D46" t="str">
            <v>IN-KE</v>
          </cell>
          <cell r="E46" t="str">
            <v>PRI-IN-KE</v>
          </cell>
          <cell r="F46" t="str">
            <v>PRI-KE</v>
          </cell>
          <cell r="G46">
            <v>980101</v>
          </cell>
          <cell r="H46" t="str">
            <v>PRI</v>
          </cell>
          <cell r="I46">
            <v>2000</v>
          </cell>
          <cell r="J46" t="str">
            <v>R</v>
          </cell>
          <cell r="K46" t="str">
            <v>IN</v>
          </cell>
          <cell r="L46" t="str">
            <v>KE</v>
          </cell>
          <cell r="Y46">
            <v>0</v>
          </cell>
          <cell r="Z46">
            <v>0</v>
          </cell>
          <cell r="AA46">
            <v>0</v>
          </cell>
          <cell r="AB46">
            <v>0</v>
          </cell>
          <cell r="AC46">
            <v>0</v>
          </cell>
          <cell r="AD46">
            <v>0</v>
          </cell>
          <cell r="AE46">
            <v>0</v>
          </cell>
          <cell r="AF46">
            <v>0</v>
          </cell>
        </row>
        <row r="47">
          <cell r="B47" t="str">
            <v>IN-KN-980101</v>
          </cell>
          <cell r="C47" t="str">
            <v>IN-980101</v>
          </cell>
          <cell r="D47" t="str">
            <v>IN-KN</v>
          </cell>
          <cell r="E47" t="str">
            <v>PRI-IN-KN</v>
          </cell>
          <cell r="F47" t="str">
            <v>PRI-KN</v>
          </cell>
          <cell r="G47">
            <v>980101</v>
          </cell>
          <cell r="H47" t="str">
            <v>PRI</v>
          </cell>
          <cell r="I47">
            <v>2000</v>
          </cell>
          <cell r="J47" t="str">
            <v>R</v>
          </cell>
          <cell r="K47" t="str">
            <v>IN</v>
          </cell>
          <cell r="L47" t="str">
            <v>KN</v>
          </cell>
          <cell r="Y47">
            <v>0</v>
          </cell>
          <cell r="Z47">
            <v>0</v>
          </cell>
          <cell r="AA47">
            <v>0</v>
          </cell>
          <cell r="AB47">
            <v>0</v>
          </cell>
          <cell r="AC47">
            <v>0</v>
          </cell>
          <cell r="AD47">
            <v>0</v>
          </cell>
          <cell r="AE47">
            <v>0</v>
          </cell>
          <cell r="AF47">
            <v>0</v>
          </cell>
        </row>
        <row r="48">
          <cell r="B48" t="str">
            <v>AD-KE-980502</v>
          </cell>
          <cell r="C48" t="str">
            <v>AD-980502</v>
          </cell>
          <cell r="D48" t="str">
            <v>AD-KE</v>
          </cell>
          <cell r="E48" t="str">
            <v>OTR-AD-KE</v>
          </cell>
          <cell r="F48" t="str">
            <v>OTR-KE</v>
          </cell>
          <cell r="G48">
            <v>980502</v>
          </cell>
          <cell r="H48" t="str">
            <v>OTR</v>
          </cell>
          <cell r="I48">
            <v>1999</v>
          </cell>
          <cell r="J48" t="str">
            <v>R</v>
          </cell>
          <cell r="K48" t="str">
            <v>AD</v>
          </cell>
          <cell r="L48" t="str">
            <v>KE</v>
          </cell>
          <cell r="Y48">
            <v>0</v>
          </cell>
          <cell r="Z48">
            <v>0</v>
          </cell>
          <cell r="AA48">
            <v>0</v>
          </cell>
          <cell r="AB48">
            <v>0</v>
          </cell>
          <cell r="AC48">
            <v>0</v>
          </cell>
          <cell r="AD48">
            <v>0</v>
          </cell>
          <cell r="AE48">
            <v>0</v>
          </cell>
          <cell r="AF48">
            <v>0</v>
          </cell>
        </row>
        <row r="49">
          <cell r="B49" t="str">
            <v>AD-KN-980502</v>
          </cell>
          <cell r="C49" t="str">
            <v>AD-980502</v>
          </cell>
          <cell r="D49" t="str">
            <v>AD-KN</v>
          </cell>
          <cell r="E49" t="str">
            <v>OTR-AD-KN</v>
          </cell>
          <cell r="F49" t="str">
            <v>OTR-KN</v>
          </cell>
          <cell r="G49">
            <v>980502</v>
          </cell>
          <cell r="H49" t="str">
            <v>OTR</v>
          </cell>
          <cell r="I49">
            <v>1999</v>
          </cell>
          <cell r="J49" t="str">
            <v>R</v>
          </cell>
          <cell r="K49" t="str">
            <v>AD</v>
          </cell>
          <cell r="L49" t="str">
            <v>KN</v>
          </cell>
          <cell r="Y49">
            <v>0</v>
          </cell>
          <cell r="Z49">
            <v>0</v>
          </cell>
          <cell r="AA49">
            <v>0</v>
          </cell>
          <cell r="AB49">
            <v>0</v>
          </cell>
          <cell r="AC49">
            <v>0</v>
          </cell>
          <cell r="AD49">
            <v>0</v>
          </cell>
          <cell r="AE49">
            <v>0</v>
          </cell>
          <cell r="AF49">
            <v>0</v>
          </cell>
        </row>
        <row r="50">
          <cell r="B50" t="str">
            <v>CO-KE-980502</v>
          </cell>
          <cell r="C50" t="str">
            <v>CO-980502</v>
          </cell>
          <cell r="D50" t="str">
            <v>CO-KE</v>
          </cell>
          <cell r="E50" t="str">
            <v>OTR-CO-KE</v>
          </cell>
          <cell r="F50" t="str">
            <v>OTR-KE</v>
          </cell>
          <cell r="G50">
            <v>980502</v>
          </cell>
          <cell r="H50" t="str">
            <v>OTR</v>
          </cell>
          <cell r="I50">
            <v>1999</v>
          </cell>
          <cell r="J50" t="str">
            <v>R</v>
          </cell>
          <cell r="K50" t="str">
            <v>CO</v>
          </cell>
          <cell r="L50" t="str">
            <v>KE</v>
          </cell>
          <cell r="Y50">
            <v>0</v>
          </cell>
          <cell r="Z50">
            <v>0</v>
          </cell>
          <cell r="AA50">
            <v>0</v>
          </cell>
          <cell r="AB50">
            <v>0</v>
          </cell>
          <cell r="AC50">
            <v>0</v>
          </cell>
          <cell r="AD50">
            <v>0</v>
          </cell>
          <cell r="AE50">
            <v>0</v>
          </cell>
          <cell r="AF50">
            <v>0</v>
          </cell>
        </row>
        <row r="51">
          <cell r="B51" t="str">
            <v>CO-KN-980502</v>
          </cell>
          <cell r="C51" t="str">
            <v>CO-980502</v>
          </cell>
          <cell r="D51" t="str">
            <v>CO-KN</v>
          </cell>
          <cell r="E51" t="str">
            <v>OTR-CO-KN</v>
          </cell>
          <cell r="F51" t="str">
            <v>OTR-KN</v>
          </cell>
          <cell r="G51">
            <v>980502</v>
          </cell>
          <cell r="H51" t="str">
            <v>OTR</v>
          </cell>
          <cell r="I51">
            <v>1999</v>
          </cell>
          <cell r="J51" t="str">
            <v>R</v>
          </cell>
          <cell r="K51" t="str">
            <v>CO</v>
          </cell>
          <cell r="L51" t="str">
            <v>KN</v>
          </cell>
          <cell r="Y51">
            <v>0</v>
          </cell>
          <cell r="Z51">
            <v>0</v>
          </cell>
          <cell r="AA51">
            <v>0</v>
          </cell>
          <cell r="AB51">
            <v>0</v>
          </cell>
          <cell r="AC51">
            <v>0</v>
          </cell>
          <cell r="AD51">
            <v>0</v>
          </cell>
          <cell r="AE51">
            <v>0</v>
          </cell>
          <cell r="AF51">
            <v>0</v>
          </cell>
        </row>
        <row r="52">
          <cell r="B52" t="str">
            <v>IN-KE-980502</v>
          </cell>
          <cell r="C52" t="str">
            <v>IN-980502</v>
          </cell>
          <cell r="D52" t="str">
            <v>IN-KE</v>
          </cell>
          <cell r="E52" t="str">
            <v>OTR-IN-KE</v>
          </cell>
          <cell r="F52" t="str">
            <v>OTR-KE</v>
          </cell>
          <cell r="G52">
            <v>980502</v>
          </cell>
          <cell r="H52" t="str">
            <v>OTR</v>
          </cell>
          <cell r="I52">
            <v>1999</v>
          </cell>
          <cell r="J52" t="str">
            <v>R</v>
          </cell>
          <cell r="K52" t="str">
            <v>IN</v>
          </cell>
          <cell r="L52" t="str">
            <v>KE</v>
          </cell>
          <cell r="Y52">
            <v>0</v>
          </cell>
          <cell r="Z52">
            <v>0</v>
          </cell>
          <cell r="AA52">
            <v>0</v>
          </cell>
          <cell r="AB52">
            <v>0</v>
          </cell>
          <cell r="AC52">
            <v>0</v>
          </cell>
          <cell r="AD52">
            <v>0</v>
          </cell>
          <cell r="AE52">
            <v>0</v>
          </cell>
          <cell r="AF52">
            <v>0</v>
          </cell>
        </row>
        <row r="53">
          <cell r="B53" t="str">
            <v>IN-KN-980502</v>
          </cell>
          <cell r="C53" t="str">
            <v>IN-980502</v>
          </cell>
          <cell r="D53" t="str">
            <v>IN-KN</v>
          </cell>
          <cell r="E53" t="str">
            <v>OTR-IN-KN</v>
          </cell>
          <cell r="F53" t="str">
            <v>OTR-KN</v>
          </cell>
          <cell r="G53">
            <v>980502</v>
          </cell>
          <cell r="H53" t="str">
            <v>OTR</v>
          </cell>
          <cell r="I53">
            <v>1999</v>
          </cell>
          <cell r="J53" t="str">
            <v>R</v>
          </cell>
          <cell r="K53" t="str">
            <v>IN</v>
          </cell>
          <cell r="L53" t="str">
            <v>KN</v>
          </cell>
          <cell r="Y53">
            <v>0</v>
          </cell>
          <cell r="Z53">
            <v>0</v>
          </cell>
          <cell r="AA53">
            <v>0</v>
          </cell>
          <cell r="AB53">
            <v>0</v>
          </cell>
          <cell r="AC53">
            <v>0</v>
          </cell>
          <cell r="AD53">
            <v>0</v>
          </cell>
          <cell r="AE53">
            <v>0</v>
          </cell>
          <cell r="AF53">
            <v>0</v>
          </cell>
        </row>
        <row r="54">
          <cell r="B54" t="str">
            <v>AD-KE-980503</v>
          </cell>
          <cell r="C54" t="str">
            <v>AD-980503</v>
          </cell>
          <cell r="D54" t="str">
            <v>AD-KE</v>
          </cell>
          <cell r="E54" t="str">
            <v>DIV-AD-KE</v>
          </cell>
          <cell r="F54" t="str">
            <v>DIV-KE</v>
          </cell>
          <cell r="G54">
            <v>980503</v>
          </cell>
          <cell r="H54" t="str">
            <v>DIV</v>
          </cell>
          <cell r="I54">
            <v>1999</v>
          </cell>
          <cell r="J54" t="str">
            <v>R</v>
          </cell>
          <cell r="K54" t="str">
            <v>AD</v>
          </cell>
          <cell r="L54" t="str">
            <v>KE</v>
          </cell>
          <cell r="Y54">
            <v>0</v>
          </cell>
          <cell r="Z54">
            <v>0</v>
          </cell>
          <cell r="AA54">
            <v>0</v>
          </cell>
          <cell r="AB54">
            <v>0</v>
          </cell>
          <cell r="AC54">
            <v>0</v>
          </cell>
          <cell r="AD54">
            <v>0</v>
          </cell>
          <cell r="AE54">
            <v>0</v>
          </cell>
          <cell r="AF54">
            <v>0</v>
          </cell>
        </row>
        <row r="55">
          <cell r="B55" t="str">
            <v>AD-KN-980503</v>
          </cell>
          <cell r="C55" t="str">
            <v>AD-980503</v>
          </cell>
          <cell r="D55" t="str">
            <v>AD-KN</v>
          </cell>
          <cell r="E55" t="str">
            <v>DIV-AD-KN</v>
          </cell>
          <cell r="F55" t="str">
            <v>DIV-KN</v>
          </cell>
          <cell r="G55">
            <v>980503</v>
          </cell>
          <cell r="H55" t="str">
            <v>DIV</v>
          </cell>
          <cell r="I55">
            <v>1999</v>
          </cell>
          <cell r="J55" t="str">
            <v>R</v>
          </cell>
          <cell r="K55" t="str">
            <v>AD</v>
          </cell>
          <cell r="L55" t="str">
            <v>KN</v>
          </cell>
          <cell r="Y55">
            <v>0</v>
          </cell>
          <cell r="Z55">
            <v>0</v>
          </cell>
          <cell r="AA55">
            <v>0</v>
          </cell>
          <cell r="AB55">
            <v>0</v>
          </cell>
          <cell r="AC55">
            <v>0</v>
          </cell>
          <cell r="AD55">
            <v>0</v>
          </cell>
          <cell r="AE55">
            <v>0</v>
          </cell>
          <cell r="AF55">
            <v>0</v>
          </cell>
        </row>
        <row r="56">
          <cell r="B56" t="str">
            <v>CO-KE-980503</v>
          </cell>
          <cell r="C56" t="str">
            <v>CO-980503</v>
          </cell>
          <cell r="D56" t="str">
            <v>CO-KE</v>
          </cell>
          <cell r="E56" t="str">
            <v>DIV-CO-KE</v>
          </cell>
          <cell r="F56" t="str">
            <v>DIV-KE</v>
          </cell>
          <cell r="G56">
            <v>980503</v>
          </cell>
          <cell r="H56" t="str">
            <v>DIV</v>
          </cell>
          <cell r="I56">
            <v>1999</v>
          </cell>
          <cell r="J56" t="str">
            <v>R</v>
          </cell>
          <cell r="K56" t="str">
            <v>CO</v>
          </cell>
          <cell r="L56" t="str">
            <v>KE</v>
          </cell>
          <cell r="Y56">
            <v>0</v>
          </cell>
          <cell r="Z56">
            <v>0</v>
          </cell>
          <cell r="AA56">
            <v>0</v>
          </cell>
          <cell r="AB56">
            <v>0</v>
          </cell>
          <cell r="AC56">
            <v>0</v>
          </cell>
          <cell r="AD56">
            <v>0</v>
          </cell>
          <cell r="AE56">
            <v>0</v>
          </cell>
          <cell r="AF56">
            <v>0</v>
          </cell>
        </row>
        <row r="57">
          <cell r="B57" t="str">
            <v>CO-KN-980503</v>
          </cell>
          <cell r="C57" t="str">
            <v>CO-980503</v>
          </cell>
          <cell r="D57" t="str">
            <v>CO-KN</v>
          </cell>
          <cell r="E57" t="str">
            <v>DIV-CO-KN</v>
          </cell>
          <cell r="F57" t="str">
            <v>DIV-KN</v>
          </cell>
          <cell r="G57">
            <v>980503</v>
          </cell>
          <cell r="H57" t="str">
            <v>DIV</v>
          </cell>
          <cell r="I57">
            <v>1999</v>
          </cell>
          <cell r="J57" t="str">
            <v>R</v>
          </cell>
          <cell r="K57" t="str">
            <v>CO</v>
          </cell>
          <cell r="L57" t="str">
            <v>KN</v>
          </cell>
          <cell r="Y57">
            <v>0</v>
          </cell>
          <cell r="Z57">
            <v>0</v>
          </cell>
          <cell r="AA57">
            <v>0</v>
          </cell>
          <cell r="AB57">
            <v>0</v>
          </cell>
          <cell r="AC57">
            <v>0</v>
          </cell>
          <cell r="AD57">
            <v>0</v>
          </cell>
          <cell r="AE57">
            <v>0</v>
          </cell>
          <cell r="AF57">
            <v>0</v>
          </cell>
        </row>
        <row r="58">
          <cell r="B58" t="str">
            <v>IN-KE-980503</v>
          </cell>
          <cell r="C58" t="str">
            <v>IN-980503</v>
          </cell>
          <cell r="D58" t="str">
            <v>IN-KE</v>
          </cell>
          <cell r="E58" t="str">
            <v>DIV-IN-KE</v>
          </cell>
          <cell r="F58" t="str">
            <v>DIV-KE</v>
          </cell>
          <cell r="G58">
            <v>980503</v>
          </cell>
          <cell r="H58" t="str">
            <v>DIV</v>
          </cell>
          <cell r="I58">
            <v>1999</v>
          </cell>
          <cell r="J58" t="str">
            <v>R</v>
          </cell>
          <cell r="K58" t="str">
            <v>IN</v>
          </cell>
          <cell r="L58" t="str">
            <v>KE</v>
          </cell>
          <cell r="Y58">
            <v>0</v>
          </cell>
          <cell r="Z58">
            <v>0</v>
          </cell>
          <cell r="AA58">
            <v>0</v>
          </cell>
          <cell r="AB58">
            <v>0</v>
          </cell>
          <cell r="AC58">
            <v>0</v>
          </cell>
          <cell r="AD58">
            <v>0</v>
          </cell>
          <cell r="AE58">
            <v>0</v>
          </cell>
          <cell r="AF58">
            <v>0</v>
          </cell>
        </row>
        <row r="59">
          <cell r="B59" t="str">
            <v>IN-KN-980503</v>
          </cell>
          <cell r="C59" t="str">
            <v>IN-980503</v>
          </cell>
          <cell r="D59" t="str">
            <v>IN-KN</v>
          </cell>
          <cell r="E59" t="str">
            <v>DIV-IN-KN</v>
          </cell>
          <cell r="F59" t="str">
            <v>DIV-KN</v>
          </cell>
          <cell r="G59">
            <v>980503</v>
          </cell>
          <cell r="H59" t="str">
            <v>DIV</v>
          </cell>
          <cell r="I59">
            <v>1999</v>
          </cell>
          <cell r="J59" t="str">
            <v>R</v>
          </cell>
          <cell r="K59" t="str">
            <v>IN</v>
          </cell>
          <cell r="L59" t="str">
            <v>KN</v>
          </cell>
          <cell r="Y59">
            <v>0</v>
          </cell>
          <cell r="Z59">
            <v>0</v>
          </cell>
          <cell r="AA59">
            <v>0</v>
          </cell>
          <cell r="AB59">
            <v>0</v>
          </cell>
          <cell r="AC59">
            <v>0</v>
          </cell>
          <cell r="AD59">
            <v>0</v>
          </cell>
          <cell r="AE59">
            <v>0</v>
          </cell>
          <cell r="AF59">
            <v>0</v>
          </cell>
        </row>
        <row r="60">
          <cell r="B60" t="str">
            <v>AD-KE-980602</v>
          </cell>
          <cell r="C60" t="str">
            <v>AD-980602</v>
          </cell>
          <cell r="D60" t="str">
            <v>AD-KE</v>
          </cell>
          <cell r="E60" t="str">
            <v>OTR-AD-KE</v>
          </cell>
          <cell r="F60" t="str">
            <v>OTR-KE</v>
          </cell>
          <cell r="G60">
            <v>980602</v>
          </cell>
          <cell r="H60" t="str">
            <v>OTR</v>
          </cell>
          <cell r="I60">
            <v>1999</v>
          </cell>
          <cell r="J60" t="str">
            <v>R</v>
          </cell>
          <cell r="K60" t="str">
            <v>AD</v>
          </cell>
          <cell r="L60" t="str">
            <v>KE</v>
          </cell>
          <cell r="Y60">
            <v>0</v>
          </cell>
          <cell r="Z60">
            <v>0</v>
          </cell>
          <cell r="AA60">
            <v>0</v>
          </cell>
          <cell r="AB60">
            <v>0</v>
          </cell>
          <cell r="AC60">
            <v>0</v>
          </cell>
          <cell r="AD60">
            <v>0</v>
          </cell>
          <cell r="AE60">
            <v>0</v>
          </cell>
          <cell r="AF60">
            <v>0</v>
          </cell>
        </row>
        <row r="61">
          <cell r="B61" t="str">
            <v>AD-KN-980602</v>
          </cell>
          <cell r="C61" t="str">
            <v>AD-980602</v>
          </cell>
          <cell r="D61" t="str">
            <v>AD-KN</v>
          </cell>
          <cell r="E61" t="str">
            <v>OTR-AD-KN</v>
          </cell>
          <cell r="F61" t="str">
            <v>OTR-KN</v>
          </cell>
          <cell r="G61">
            <v>980602</v>
          </cell>
          <cell r="H61" t="str">
            <v>OTR</v>
          </cell>
          <cell r="I61">
            <v>1999</v>
          </cell>
          <cell r="J61" t="str">
            <v>R</v>
          </cell>
          <cell r="K61" t="str">
            <v>AD</v>
          </cell>
          <cell r="L61" t="str">
            <v>KN</v>
          </cell>
          <cell r="Y61">
            <v>0</v>
          </cell>
          <cell r="Z61">
            <v>0</v>
          </cell>
          <cell r="AA61">
            <v>0</v>
          </cell>
          <cell r="AB61">
            <v>0</v>
          </cell>
          <cell r="AC61">
            <v>0</v>
          </cell>
          <cell r="AD61">
            <v>0</v>
          </cell>
          <cell r="AE61">
            <v>0</v>
          </cell>
          <cell r="AF61">
            <v>0</v>
          </cell>
        </row>
        <row r="62">
          <cell r="B62" t="str">
            <v>CO-KE-980602</v>
          </cell>
          <cell r="C62" t="str">
            <v>CO-980602</v>
          </cell>
          <cell r="D62" t="str">
            <v>CO-KE</v>
          </cell>
          <cell r="E62" t="str">
            <v>OTR-CO-KE</v>
          </cell>
          <cell r="F62" t="str">
            <v>OTR-KE</v>
          </cell>
          <cell r="G62">
            <v>980602</v>
          </cell>
          <cell r="H62" t="str">
            <v>OTR</v>
          </cell>
          <cell r="I62">
            <v>1999</v>
          </cell>
          <cell r="J62" t="str">
            <v>R</v>
          </cell>
          <cell r="K62" t="str">
            <v>CO</v>
          </cell>
          <cell r="L62" t="str">
            <v>KE</v>
          </cell>
          <cell r="Y62">
            <v>0</v>
          </cell>
          <cell r="Z62">
            <v>0</v>
          </cell>
          <cell r="AA62">
            <v>0</v>
          </cell>
          <cell r="AB62">
            <v>0</v>
          </cell>
          <cell r="AC62">
            <v>0</v>
          </cell>
          <cell r="AD62">
            <v>0</v>
          </cell>
          <cell r="AE62">
            <v>0</v>
          </cell>
          <cell r="AF62">
            <v>0</v>
          </cell>
        </row>
        <row r="63">
          <cell r="B63" t="str">
            <v>CO-KN-980602</v>
          </cell>
          <cell r="C63" t="str">
            <v>CO-980602</v>
          </cell>
          <cell r="D63" t="str">
            <v>CO-KN</v>
          </cell>
          <cell r="E63" t="str">
            <v>OTR-CO-KN</v>
          </cell>
          <cell r="F63" t="str">
            <v>OTR-KN</v>
          </cell>
          <cell r="G63">
            <v>980602</v>
          </cell>
          <cell r="H63" t="str">
            <v>OTR</v>
          </cell>
          <cell r="I63">
            <v>1999</v>
          </cell>
          <cell r="J63" t="str">
            <v>R</v>
          </cell>
          <cell r="K63" t="str">
            <v>CO</v>
          </cell>
          <cell r="L63" t="str">
            <v>KN</v>
          </cell>
          <cell r="Y63">
            <v>0</v>
          </cell>
          <cell r="Z63">
            <v>0</v>
          </cell>
          <cell r="AA63">
            <v>0</v>
          </cell>
          <cell r="AB63">
            <v>0</v>
          </cell>
          <cell r="AC63">
            <v>0</v>
          </cell>
          <cell r="AD63">
            <v>0</v>
          </cell>
          <cell r="AE63">
            <v>0</v>
          </cell>
          <cell r="AF63">
            <v>0</v>
          </cell>
        </row>
        <row r="64">
          <cell r="B64" t="str">
            <v>IN-KE-980602</v>
          </cell>
          <cell r="C64" t="str">
            <v>IN-980602</v>
          </cell>
          <cell r="D64" t="str">
            <v>IN-KE</v>
          </cell>
          <cell r="E64" t="str">
            <v>OTR-IN-KE</v>
          </cell>
          <cell r="F64" t="str">
            <v>OTR-KE</v>
          </cell>
          <cell r="G64">
            <v>980602</v>
          </cell>
          <cell r="H64" t="str">
            <v>OTR</v>
          </cell>
          <cell r="I64">
            <v>1999</v>
          </cell>
          <cell r="J64" t="str">
            <v>R</v>
          </cell>
          <cell r="K64" t="str">
            <v>IN</v>
          </cell>
          <cell r="L64" t="str">
            <v>KE</v>
          </cell>
          <cell r="Y64">
            <v>0</v>
          </cell>
          <cell r="Z64">
            <v>0</v>
          </cell>
          <cell r="AA64">
            <v>0</v>
          </cell>
          <cell r="AB64">
            <v>0</v>
          </cell>
          <cell r="AC64">
            <v>0</v>
          </cell>
          <cell r="AD64">
            <v>0</v>
          </cell>
          <cell r="AE64">
            <v>0</v>
          </cell>
          <cell r="AF64">
            <v>0</v>
          </cell>
        </row>
        <row r="65">
          <cell r="B65" t="str">
            <v>IN-KN-980602</v>
          </cell>
          <cell r="C65" t="str">
            <v>IN-980602</v>
          </cell>
          <cell r="D65" t="str">
            <v>IN-KN</v>
          </cell>
          <cell r="E65" t="str">
            <v>OTR-IN-KN</v>
          </cell>
          <cell r="F65" t="str">
            <v>OTR-KN</v>
          </cell>
          <cell r="G65">
            <v>980602</v>
          </cell>
          <cell r="H65" t="str">
            <v>OTR</v>
          </cell>
          <cell r="I65">
            <v>1999</v>
          </cell>
          <cell r="J65" t="str">
            <v>R</v>
          </cell>
          <cell r="K65" t="str">
            <v>IN</v>
          </cell>
          <cell r="L65" t="str">
            <v>KN</v>
          </cell>
          <cell r="Y65">
            <v>0</v>
          </cell>
          <cell r="Z65">
            <v>0</v>
          </cell>
          <cell r="AA65">
            <v>0</v>
          </cell>
          <cell r="AB65">
            <v>0</v>
          </cell>
          <cell r="AC65">
            <v>0</v>
          </cell>
          <cell r="AD65">
            <v>0</v>
          </cell>
          <cell r="AE65">
            <v>0</v>
          </cell>
          <cell r="AF65">
            <v>0</v>
          </cell>
        </row>
        <row r="66">
          <cell r="B66" t="str">
            <v>AD-KE-980808</v>
          </cell>
          <cell r="C66" t="str">
            <v>AD-980808</v>
          </cell>
          <cell r="D66" t="str">
            <v>AD-KE</v>
          </cell>
          <cell r="E66" t="str">
            <v>DIV-AD-KE</v>
          </cell>
          <cell r="F66" t="str">
            <v>DIV-KE</v>
          </cell>
          <cell r="G66">
            <v>980808</v>
          </cell>
          <cell r="H66" t="str">
            <v>DIV</v>
          </cell>
          <cell r="I66">
            <v>1999</v>
          </cell>
          <cell r="J66" t="str">
            <v>R</v>
          </cell>
          <cell r="K66" t="str">
            <v>AD</v>
          </cell>
          <cell r="L66" t="str">
            <v>KE</v>
          </cell>
          <cell r="Y66">
            <v>0</v>
          </cell>
          <cell r="Z66">
            <v>0</v>
          </cell>
          <cell r="AA66">
            <v>0</v>
          </cell>
          <cell r="AB66">
            <v>0</v>
          </cell>
          <cell r="AC66">
            <v>0</v>
          </cell>
          <cell r="AD66">
            <v>0</v>
          </cell>
          <cell r="AE66">
            <v>0</v>
          </cell>
          <cell r="AF66">
            <v>0</v>
          </cell>
        </row>
        <row r="67">
          <cell r="B67" t="str">
            <v>AD-KN-980808</v>
          </cell>
          <cell r="C67" t="str">
            <v>AD-980808</v>
          </cell>
          <cell r="D67" t="str">
            <v>AD-KN</v>
          </cell>
          <cell r="E67" t="str">
            <v>DIV-AD-KN</v>
          </cell>
          <cell r="F67" t="str">
            <v>DIV-KN</v>
          </cell>
          <cell r="G67">
            <v>980808</v>
          </cell>
          <cell r="H67" t="str">
            <v>DIV</v>
          </cell>
          <cell r="I67">
            <v>1999</v>
          </cell>
          <cell r="J67" t="str">
            <v>R</v>
          </cell>
          <cell r="K67" t="str">
            <v>AD</v>
          </cell>
          <cell r="L67" t="str">
            <v>KN</v>
          </cell>
          <cell r="Y67">
            <v>0</v>
          </cell>
          <cell r="Z67">
            <v>0</v>
          </cell>
          <cell r="AA67">
            <v>0</v>
          </cell>
          <cell r="AB67">
            <v>0</v>
          </cell>
          <cell r="AC67">
            <v>0</v>
          </cell>
          <cell r="AD67">
            <v>0</v>
          </cell>
          <cell r="AE67">
            <v>0</v>
          </cell>
          <cell r="AF67">
            <v>0</v>
          </cell>
        </row>
        <row r="68">
          <cell r="B68" t="str">
            <v>CO-KE-980808</v>
          </cell>
          <cell r="C68" t="str">
            <v>CO-980808</v>
          </cell>
          <cell r="D68" t="str">
            <v>CO-KE</v>
          </cell>
          <cell r="E68" t="str">
            <v>DIV-CO-KE</v>
          </cell>
          <cell r="F68" t="str">
            <v>DIV-KE</v>
          </cell>
          <cell r="G68">
            <v>980808</v>
          </cell>
          <cell r="H68" t="str">
            <v>DIV</v>
          </cell>
          <cell r="I68">
            <v>1999</v>
          </cell>
          <cell r="J68" t="str">
            <v>R</v>
          </cell>
          <cell r="K68" t="str">
            <v>CO</v>
          </cell>
          <cell r="L68" t="str">
            <v>KE</v>
          </cell>
          <cell r="Y68">
            <v>0</v>
          </cell>
          <cell r="Z68">
            <v>0</v>
          </cell>
          <cell r="AA68">
            <v>0</v>
          </cell>
          <cell r="AB68">
            <v>0</v>
          </cell>
          <cell r="AC68">
            <v>0</v>
          </cell>
          <cell r="AD68">
            <v>0</v>
          </cell>
          <cell r="AE68">
            <v>0</v>
          </cell>
          <cell r="AF68">
            <v>0</v>
          </cell>
        </row>
        <row r="69">
          <cell r="B69" t="str">
            <v>CO-KN-980808</v>
          </cell>
          <cell r="C69" t="str">
            <v>CO-980808</v>
          </cell>
          <cell r="D69" t="str">
            <v>CO-KN</v>
          </cell>
          <cell r="E69" t="str">
            <v>DIV-CO-KN</v>
          </cell>
          <cell r="F69" t="str">
            <v>DIV-KN</v>
          </cell>
          <cell r="G69">
            <v>980808</v>
          </cell>
          <cell r="H69" t="str">
            <v>DIV</v>
          </cell>
          <cell r="I69">
            <v>1999</v>
          </cell>
          <cell r="J69" t="str">
            <v>R</v>
          </cell>
          <cell r="K69" t="str">
            <v>CO</v>
          </cell>
          <cell r="L69" t="str">
            <v>KN</v>
          </cell>
          <cell r="Y69">
            <v>0</v>
          </cell>
          <cell r="Z69">
            <v>0</v>
          </cell>
          <cell r="AA69">
            <v>0</v>
          </cell>
          <cell r="AB69">
            <v>0</v>
          </cell>
          <cell r="AC69">
            <v>0</v>
          </cell>
          <cell r="AD69">
            <v>0</v>
          </cell>
          <cell r="AE69">
            <v>0</v>
          </cell>
          <cell r="AF69">
            <v>0</v>
          </cell>
        </row>
        <row r="70">
          <cell r="B70" t="str">
            <v>IN-KE-980808</v>
          </cell>
          <cell r="C70" t="str">
            <v>IN-980808</v>
          </cell>
          <cell r="D70" t="str">
            <v>IN-KE</v>
          </cell>
          <cell r="E70" t="str">
            <v>DIV-IN-KE</v>
          </cell>
          <cell r="F70" t="str">
            <v>DIV-KE</v>
          </cell>
          <cell r="G70">
            <v>980808</v>
          </cell>
          <cell r="H70" t="str">
            <v>DIV</v>
          </cell>
          <cell r="I70">
            <v>1999</v>
          </cell>
          <cell r="J70" t="str">
            <v>R</v>
          </cell>
          <cell r="K70" t="str">
            <v>IN</v>
          </cell>
          <cell r="L70" t="str">
            <v>KE</v>
          </cell>
          <cell r="Y70">
            <v>0</v>
          </cell>
          <cell r="Z70">
            <v>0</v>
          </cell>
          <cell r="AA70">
            <v>0</v>
          </cell>
          <cell r="AB70">
            <v>0</v>
          </cell>
          <cell r="AC70">
            <v>0</v>
          </cell>
          <cell r="AD70">
            <v>0</v>
          </cell>
          <cell r="AE70">
            <v>0</v>
          </cell>
          <cell r="AF70">
            <v>0</v>
          </cell>
        </row>
        <row r="71">
          <cell r="B71" t="str">
            <v>IN-KN-980808</v>
          </cell>
          <cell r="C71" t="str">
            <v>IN-980808</v>
          </cell>
          <cell r="D71" t="str">
            <v>IN-KN</v>
          </cell>
          <cell r="E71" t="str">
            <v>DIV-IN-KN</v>
          </cell>
          <cell r="F71" t="str">
            <v>DIV-KN</v>
          </cell>
          <cell r="G71">
            <v>980808</v>
          </cell>
          <cell r="H71" t="str">
            <v>DIV</v>
          </cell>
          <cell r="I71">
            <v>1999</v>
          </cell>
          <cell r="J71" t="str">
            <v>R</v>
          </cell>
          <cell r="K71" t="str">
            <v>IN</v>
          </cell>
          <cell r="L71" t="str">
            <v>KN</v>
          </cell>
          <cell r="Y71">
            <v>0</v>
          </cell>
          <cell r="Z71">
            <v>0</v>
          </cell>
          <cell r="AA71">
            <v>0</v>
          </cell>
          <cell r="AB71">
            <v>0</v>
          </cell>
          <cell r="AC71">
            <v>0</v>
          </cell>
          <cell r="AD71">
            <v>0</v>
          </cell>
          <cell r="AE71">
            <v>0</v>
          </cell>
          <cell r="AF71">
            <v>0</v>
          </cell>
        </row>
        <row r="72">
          <cell r="B72" t="str">
            <v>AD-KE-980809</v>
          </cell>
          <cell r="C72" t="str">
            <v>AD-980809</v>
          </cell>
          <cell r="D72" t="str">
            <v>AD-KE</v>
          </cell>
          <cell r="E72" t="str">
            <v>PRI-AD-KE</v>
          </cell>
          <cell r="F72" t="str">
            <v>PRI-KE</v>
          </cell>
          <cell r="G72">
            <v>980809</v>
          </cell>
          <cell r="H72" t="str">
            <v>PRI</v>
          </cell>
          <cell r="I72">
            <v>2000</v>
          </cell>
          <cell r="J72" t="str">
            <v>R</v>
          </cell>
          <cell r="K72" t="str">
            <v>AD</v>
          </cell>
          <cell r="L72" t="str">
            <v>KE</v>
          </cell>
          <cell r="Y72">
            <v>0</v>
          </cell>
          <cell r="Z72">
            <v>0</v>
          </cell>
          <cell r="AA72">
            <v>0</v>
          </cell>
          <cell r="AB72">
            <v>0</v>
          </cell>
          <cell r="AC72">
            <v>0</v>
          </cell>
          <cell r="AD72">
            <v>0</v>
          </cell>
          <cell r="AE72">
            <v>0</v>
          </cell>
          <cell r="AF72">
            <v>0</v>
          </cell>
        </row>
        <row r="73">
          <cell r="B73" t="str">
            <v>AD-KN-980809</v>
          </cell>
          <cell r="C73" t="str">
            <v>AD-980809</v>
          </cell>
          <cell r="D73" t="str">
            <v>AD-KN</v>
          </cell>
          <cell r="E73" t="str">
            <v>PRI-AD-KN</v>
          </cell>
          <cell r="F73" t="str">
            <v>PRI-KN</v>
          </cell>
          <cell r="G73">
            <v>980809</v>
          </cell>
          <cell r="H73" t="str">
            <v>PRI</v>
          </cell>
          <cell r="I73">
            <v>2000</v>
          </cell>
          <cell r="J73" t="str">
            <v>R</v>
          </cell>
          <cell r="K73" t="str">
            <v>AD</v>
          </cell>
          <cell r="L73" t="str">
            <v>KN</v>
          </cell>
          <cell r="Y73">
            <v>0</v>
          </cell>
          <cell r="Z73">
            <v>0</v>
          </cell>
          <cell r="AA73">
            <v>0</v>
          </cell>
          <cell r="AB73">
            <v>0</v>
          </cell>
          <cell r="AC73">
            <v>0</v>
          </cell>
          <cell r="AD73">
            <v>0</v>
          </cell>
          <cell r="AE73">
            <v>0</v>
          </cell>
          <cell r="AF73">
            <v>0</v>
          </cell>
        </row>
        <row r="74">
          <cell r="B74" t="str">
            <v>CO-KE-980809</v>
          </cell>
          <cell r="C74" t="str">
            <v>CO-980809</v>
          </cell>
          <cell r="D74" t="str">
            <v>CO-KE</v>
          </cell>
          <cell r="E74" t="str">
            <v>PRI-CO-KE</v>
          </cell>
          <cell r="F74" t="str">
            <v>PRI-KE</v>
          </cell>
          <cell r="G74">
            <v>980809</v>
          </cell>
          <cell r="H74" t="str">
            <v>PRI</v>
          </cell>
          <cell r="I74">
            <v>2000</v>
          </cell>
          <cell r="J74" t="str">
            <v>R</v>
          </cell>
          <cell r="K74" t="str">
            <v>CO</v>
          </cell>
          <cell r="L74" t="str">
            <v>KE</v>
          </cell>
          <cell r="Y74">
            <v>0</v>
          </cell>
          <cell r="Z74">
            <v>0</v>
          </cell>
          <cell r="AA74">
            <v>0</v>
          </cell>
          <cell r="AB74">
            <v>0</v>
          </cell>
          <cell r="AC74">
            <v>0</v>
          </cell>
          <cell r="AD74">
            <v>0</v>
          </cell>
          <cell r="AE74">
            <v>0</v>
          </cell>
          <cell r="AF74">
            <v>0</v>
          </cell>
        </row>
        <row r="75">
          <cell r="B75" t="str">
            <v>CO-KN-980809</v>
          </cell>
          <cell r="C75" t="str">
            <v>CO-980809</v>
          </cell>
          <cell r="D75" t="str">
            <v>CO-KN</v>
          </cell>
          <cell r="E75" t="str">
            <v>PRI-CO-KN</v>
          </cell>
          <cell r="F75" t="str">
            <v>PRI-KN</v>
          </cell>
          <cell r="G75">
            <v>980809</v>
          </cell>
          <cell r="H75" t="str">
            <v>PRI</v>
          </cell>
          <cell r="I75">
            <v>2000</v>
          </cell>
          <cell r="J75" t="str">
            <v>R</v>
          </cell>
          <cell r="K75" t="str">
            <v>CO</v>
          </cell>
          <cell r="L75" t="str">
            <v>KN</v>
          </cell>
          <cell r="Y75">
            <v>0</v>
          </cell>
          <cell r="Z75">
            <v>0</v>
          </cell>
          <cell r="AA75">
            <v>0</v>
          </cell>
          <cell r="AB75">
            <v>0</v>
          </cell>
          <cell r="AC75">
            <v>0</v>
          </cell>
          <cell r="AD75">
            <v>0</v>
          </cell>
          <cell r="AE75">
            <v>0</v>
          </cell>
          <cell r="AF75">
            <v>0</v>
          </cell>
        </row>
        <row r="76">
          <cell r="B76" t="str">
            <v>IN-KE-980809</v>
          </cell>
          <cell r="C76" t="str">
            <v>IN-980809</v>
          </cell>
          <cell r="D76" t="str">
            <v>IN-KE</v>
          </cell>
          <cell r="E76" t="str">
            <v>PRI-IN-KE</v>
          </cell>
          <cell r="F76" t="str">
            <v>PRI-KE</v>
          </cell>
          <cell r="G76">
            <v>980809</v>
          </cell>
          <cell r="H76" t="str">
            <v>PRI</v>
          </cell>
          <cell r="I76">
            <v>2000</v>
          </cell>
          <cell r="J76" t="str">
            <v>R</v>
          </cell>
          <cell r="K76" t="str">
            <v>IN</v>
          </cell>
          <cell r="L76" t="str">
            <v>KE</v>
          </cell>
          <cell r="Y76">
            <v>0</v>
          </cell>
          <cell r="Z76">
            <v>0</v>
          </cell>
          <cell r="AA76">
            <v>0</v>
          </cell>
          <cell r="AB76">
            <v>0</v>
          </cell>
          <cell r="AC76">
            <v>0</v>
          </cell>
          <cell r="AD76">
            <v>0</v>
          </cell>
          <cell r="AE76">
            <v>0</v>
          </cell>
          <cell r="AF76">
            <v>0</v>
          </cell>
        </row>
        <row r="77">
          <cell r="B77" t="str">
            <v>IN-KN-980809</v>
          </cell>
          <cell r="C77" t="str">
            <v>IN-980809</v>
          </cell>
          <cell r="D77" t="str">
            <v>IN-KN</v>
          </cell>
          <cell r="E77" t="str">
            <v>PRI-IN-KN</v>
          </cell>
          <cell r="F77" t="str">
            <v>PRI-KN</v>
          </cell>
          <cell r="G77">
            <v>980809</v>
          </cell>
          <cell r="H77" t="str">
            <v>PRI</v>
          </cell>
          <cell r="I77">
            <v>2000</v>
          </cell>
          <cell r="J77" t="str">
            <v>R</v>
          </cell>
          <cell r="K77" t="str">
            <v>IN</v>
          </cell>
          <cell r="L77" t="str">
            <v>KN</v>
          </cell>
          <cell r="Y77">
            <v>0</v>
          </cell>
          <cell r="Z77">
            <v>0</v>
          </cell>
          <cell r="AA77">
            <v>0</v>
          </cell>
          <cell r="AB77">
            <v>0</v>
          </cell>
          <cell r="AC77">
            <v>0</v>
          </cell>
          <cell r="AD77">
            <v>0</v>
          </cell>
          <cell r="AE77">
            <v>0</v>
          </cell>
          <cell r="AF77">
            <v>0</v>
          </cell>
        </row>
        <row r="78">
          <cell r="B78" t="str">
            <v>AD-KE-981004</v>
          </cell>
          <cell r="C78" t="str">
            <v>AD-981004</v>
          </cell>
          <cell r="D78" t="str">
            <v>AD-KE</v>
          </cell>
          <cell r="E78" t="str">
            <v>OTR-AD-KE</v>
          </cell>
          <cell r="F78" t="str">
            <v>OTR-KE</v>
          </cell>
          <cell r="G78">
            <v>981004</v>
          </cell>
          <cell r="H78" t="str">
            <v>OTR</v>
          </cell>
          <cell r="I78">
            <v>1999</v>
          </cell>
          <cell r="J78" t="str">
            <v>R</v>
          </cell>
          <cell r="K78" t="str">
            <v>AD</v>
          </cell>
          <cell r="L78" t="str">
            <v>KE</v>
          </cell>
          <cell r="Y78">
            <v>0</v>
          </cell>
          <cell r="Z78">
            <v>0</v>
          </cell>
          <cell r="AA78">
            <v>0</v>
          </cell>
          <cell r="AB78">
            <v>0</v>
          </cell>
          <cell r="AC78">
            <v>0</v>
          </cell>
          <cell r="AD78">
            <v>0</v>
          </cell>
          <cell r="AE78">
            <v>0</v>
          </cell>
          <cell r="AF78">
            <v>0</v>
          </cell>
        </row>
        <row r="79">
          <cell r="B79" t="str">
            <v>AD-KN-981004</v>
          </cell>
          <cell r="C79" t="str">
            <v>AD-981004</v>
          </cell>
          <cell r="D79" t="str">
            <v>AD-KN</v>
          </cell>
          <cell r="E79" t="str">
            <v>OTR-AD-KN</v>
          </cell>
          <cell r="F79" t="str">
            <v>OTR-KN</v>
          </cell>
          <cell r="G79">
            <v>981004</v>
          </cell>
          <cell r="H79" t="str">
            <v>OTR</v>
          </cell>
          <cell r="I79">
            <v>1999</v>
          </cell>
          <cell r="J79" t="str">
            <v>R</v>
          </cell>
          <cell r="K79" t="str">
            <v>AD</v>
          </cell>
          <cell r="L79" t="str">
            <v>KN</v>
          </cell>
          <cell r="Y79">
            <v>0</v>
          </cell>
          <cell r="Z79">
            <v>0</v>
          </cell>
          <cell r="AA79">
            <v>0</v>
          </cell>
          <cell r="AB79">
            <v>0</v>
          </cell>
          <cell r="AC79">
            <v>0</v>
          </cell>
          <cell r="AD79">
            <v>0</v>
          </cell>
          <cell r="AE79">
            <v>0</v>
          </cell>
          <cell r="AF79">
            <v>0</v>
          </cell>
        </row>
        <row r="80">
          <cell r="B80" t="str">
            <v>CO-KE-981004</v>
          </cell>
          <cell r="C80" t="str">
            <v>CO-981004</v>
          </cell>
          <cell r="D80" t="str">
            <v>CO-KE</v>
          </cell>
          <cell r="E80" t="str">
            <v>OTR-CO-KE</v>
          </cell>
          <cell r="F80" t="str">
            <v>OTR-KE</v>
          </cell>
          <cell r="G80">
            <v>981004</v>
          </cell>
          <cell r="H80" t="str">
            <v>OTR</v>
          </cell>
          <cell r="I80">
            <v>1999</v>
          </cell>
          <cell r="J80" t="str">
            <v>R</v>
          </cell>
          <cell r="K80" t="str">
            <v>CO</v>
          </cell>
          <cell r="L80" t="str">
            <v>KE</v>
          </cell>
          <cell r="Y80">
            <v>0</v>
          </cell>
          <cell r="Z80">
            <v>0</v>
          </cell>
          <cell r="AA80">
            <v>0</v>
          </cell>
          <cell r="AB80">
            <v>0</v>
          </cell>
          <cell r="AC80">
            <v>0</v>
          </cell>
          <cell r="AD80">
            <v>0</v>
          </cell>
          <cell r="AE80">
            <v>0</v>
          </cell>
          <cell r="AF80">
            <v>0</v>
          </cell>
        </row>
        <row r="81">
          <cell r="B81" t="str">
            <v>CO-KN-981004</v>
          </cell>
          <cell r="C81" t="str">
            <v>CO-981004</v>
          </cell>
          <cell r="D81" t="str">
            <v>CO-KN</v>
          </cell>
          <cell r="E81" t="str">
            <v>OTR-CO-KN</v>
          </cell>
          <cell r="F81" t="str">
            <v>OTR-KN</v>
          </cell>
          <cell r="G81">
            <v>981004</v>
          </cell>
          <cell r="H81" t="str">
            <v>OTR</v>
          </cell>
          <cell r="I81">
            <v>1999</v>
          </cell>
          <cell r="J81" t="str">
            <v>R</v>
          </cell>
          <cell r="K81" t="str">
            <v>CO</v>
          </cell>
          <cell r="L81" t="str">
            <v>KN</v>
          </cell>
          <cell r="Y81">
            <v>0</v>
          </cell>
          <cell r="Z81">
            <v>0</v>
          </cell>
          <cell r="AA81">
            <v>0</v>
          </cell>
          <cell r="AB81">
            <v>0</v>
          </cell>
          <cell r="AC81">
            <v>0</v>
          </cell>
          <cell r="AD81">
            <v>0</v>
          </cell>
          <cell r="AE81">
            <v>0</v>
          </cell>
          <cell r="AF81">
            <v>0</v>
          </cell>
        </row>
        <row r="82">
          <cell r="B82" t="str">
            <v>IN-KE-981004</v>
          </cell>
          <cell r="C82" t="str">
            <v>IN-981004</v>
          </cell>
          <cell r="D82" t="str">
            <v>IN-KE</v>
          </cell>
          <cell r="E82" t="str">
            <v>OTR-IN-KE</v>
          </cell>
          <cell r="F82" t="str">
            <v>OTR-KE</v>
          </cell>
          <cell r="G82">
            <v>981004</v>
          </cell>
          <cell r="H82" t="str">
            <v>OTR</v>
          </cell>
          <cell r="I82">
            <v>1999</v>
          </cell>
          <cell r="J82" t="str">
            <v>R</v>
          </cell>
          <cell r="K82" t="str">
            <v>IN</v>
          </cell>
          <cell r="L82" t="str">
            <v>KE</v>
          </cell>
          <cell r="Y82">
            <v>0</v>
          </cell>
          <cell r="Z82">
            <v>0</v>
          </cell>
          <cell r="AA82">
            <v>0</v>
          </cell>
          <cell r="AB82">
            <v>0</v>
          </cell>
          <cell r="AC82">
            <v>0</v>
          </cell>
          <cell r="AD82">
            <v>0</v>
          </cell>
          <cell r="AE82">
            <v>0</v>
          </cell>
          <cell r="AF82">
            <v>0</v>
          </cell>
        </row>
        <row r="83">
          <cell r="B83" t="str">
            <v>IN-KN-981004</v>
          </cell>
          <cell r="C83" t="str">
            <v>IN-981004</v>
          </cell>
          <cell r="D83" t="str">
            <v>IN-KN</v>
          </cell>
          <cell r="E83" t="str">
            <v>OTR-IN-KN</v>
          </cell>
          <cell r="F83" t="str">
            <v>OTR-KN</v>
          </cell>
          <cell r="G83">
            <v>981004</v>
          </cell>
          <cell r="H83" t="str">
            <v>OTR</v>
          </cell>
          <cell r="I83">
            <v>1999</v>
          </cell>
          <cell r="J83" t="str">
            <v>R</v>
          </cell>
          <cell r="K83" t="str">
            <v>IN</v>
          </cell>
          <cell r="L83" t="str">
            <v>KN</v>
          </cell>
          <cell r="Y83">
            <v>0</v>
          </cell>
          <cell r="Z83">
            <v>0</v>
          </cell>
          <cell r="AA83">
            <v>0</v>
          </cell>
          <cell r="AB83">
            <v>0</v>
          </cell>
          <cell r="AC83">
            <v>0</v>
          </cell>
          <cell r="AD83">
            <v>0</v>
          </cell>
          <cell r="AE83">
            <v>0</v>
          </cell>
          <cell r="AF83">
            <v>0</v>
          </cell>
        </row>
        <row r="84">
          <cell r="B84" t="str">
            <v>AD-KE-A99M401</v>
          </cell>
          <cell r="C84" t="str">
            <v>AD-A99M401</v>
          </cell>
          <cell r="D84" t="str">
            <v>AD-KE</v>
          </cell>
          <cell r="E84" t="str">
            <v>PRI-AD-KE</v>
          </cell>
          <cell r="F84" t="str">
            <v>PRI-KE</v>
          </cell>
          <cell r="G84" t="str">
            <v>A99M401</v>
          </cell>
          <cell r="H84" t="str">
            <v>PRI</v>
          </cell>
          <cell r="I84">
            <v>1999</v>
          </cell>
          <cell r="J84" t="str">
            <v>R</v>
          </cell>
          <cell r="K84" t="str">
            <v>AD</v>
          </cell>
          <cell r="L84" t="str">
            <v>KE</v>
          </cell>
          <cell r="Y84">
            <v>0</v>
          </cell>
          <cell r="Z84">
            <v>0</v>
          </cell>
          <cell r="AA84">
            <v>0</v>
          </cell>
          <cell r="AB84">
            <v>0</v>
          </cell>
          <cell r="AC84">
            <v>0</v>
          </cell>
          <cell r="AD84">
            <v>0</v>
          </cell>
          <cell r="AE84">
            <v>0</v>
          </cell>
          <cell r="AF84">
            <v>0</v>
          </cell>
        </row>
        <row r="85">
          <cell r="B85" t="str">
            <v>AD-KN-A99M401</v>
          </cell>
          <cell r="C85" t="str">
            <v>AD-A99M401</v>
          </cell>
          <cell r="D85" t="str">
            <v>AD-KN</v>
          </cell>
          <cell r="E85" t="str">
            <v>PRI-AD-KN</v>
          </cell>
          <cell r="F85" t="str">
            <v>PRI-KN</v>
          </cell>
          <cell r="G85" t="str">
            <v>A99M401</v>
          </cell>
          <cell r="H85" t="str">
            <v>PRI</v>
          </cell>
          <cell r="I85">
            <v>1999</v>
          </cell>
          <cell r="J85" t="str">
            <v>R</v>
          </cell>
          <cell r="K85" t="str">
            <v>AD</v>
          </cell>
          <cell r="L85" t="str">
            <v>KN</v>
          </cell>
          <cell r="Y85">
            <v>0</v>
          </cell>
          <cell r="Z85">
            <v>0</v>
          </cell>
          <cell r="AA85">
            <v>0</v>
          </cell>
          <cell r="AB85">
            <v>0</v>
          </cell>
          <cell r="AC85">
            <v>0</v>
          </cell>
          <cell r="AD85">
            <v>0</v>
          </cell>
          <cell r="AE85">
            <v>0</v>
          </cell>
          <cell r="AF85">
            <v>0</v>
          </cell>
        </row>
        <row r="86">
          <cell r="B86" t="str">
            <v>CO-KE-A99M401</v>
          </cell>
          <cell r="C86" t="str">
            <v>CO-A99M401</v>
          </cell>
          <cell r="D86" t="str">
            <v>CO-KE</v>
          </cell>
          <cell r="E86" t="str">
            <v>PRI-CO-KE</v>
          </cell>
          <cell r="F86" t="str">
            <v>PRI-KE</v>
          </cell>
          <cell r="G86" t="str">
            <v>A99M401</v>
          </cell>
          <cell r="H86" t="str">
            <v>PRI</v>
          </cell>
          <cell r="I86">
            <v>1999</v>
          </cell>
          <cell r="J86" t="str">
            <v>R</v>
          </cell>
          <cell r="K86" t="str">
            <v>CO</v>
          </cell>
          <cell r="L86" t="str">
            <v>KE</v>
          </cell>
          <cell r="Y86">
            <v>0</v>
          </cell>
          <cell r="Z86">
            <v>0</v>
          </cell>
          <cell r="AA86">
            <v>0</v>
          </cell>
          <cell r="AB86">
            <v>0</v>
          </cell>
          <cell r="AC86">
            <v>0</v>
          </cell>
          <cell r="AD86">
            <v>0</v>
          </cell>
          <cell r="AE86">
            <v>0</v>
          </cell>
          <cell r="AF86">
            <v>0</v>
          </cell>
        </row>
        <row r="87">
          <cell r="B87" t="str">
            <v>CO-KN-A99M401</v>
          </cell>
          <cell r="C87" t="str">
            <v>CO-A99M401</v>
          </cell>
          <cell r="D87" t="str">
            <v>CO-KN</v>
          </cell>
          <cell r="E87" t="str">
            <v>PRI-CO-KN</v>
          </cell>
          <cell r="F87" t="str">
            <v>PRI-KN</v>
          </cell>
          <cell r="G87" t="str">
            <v>A99M401</v>
          </cell>
          <cell r="H87" t="str">
            <v>PRI</v>
          </cell>
          <cell r="I87">
            <v>1999</v>
          </cell>
          <cell r="J87" t="str">
            <v>R</v>
          </cell>
          <cell r="K87" t="str">
            <v>CO</v>
          </cell>
          <cell r="L87" t="str">
            <v>KN</v>
          </cell>
          <cell r="Y87">
            <v>0</v>
          </cell>
          <cell r="Z87">
            <v>0</v>
          </cell>
          <cell r="AA87">
            <v>0</v>
          </cell>
          <cell r="AB87">
            <v>0</v>
          </cell>
          <cell r="AC87">
            <v>0</v>
          </cell>
          <cell r="AD87">
            <v>0</v>
          </cell>
          <cell r="AE87">
            <v>0</v>
          </cell>
          <cell r="AF87">
            <v>0</v>
          </cell>
        </row>
        <row r="88">
          <cell r="B88" t="str">
            <v>IN-KE-A99M401</v>
          </cell>
          <cell r="C88" t="str">
            <v>IN-A99M401</v>
          </cell>
          <cell r="D88" t="str">
            <v>IN-KE</v>
          </cell>
          <cell r="E88" t="str">
            <v>PRI-IN-KE</v>
          </cell>
          <cell r="F88" t="str">
            <v>PRI-KE</v>
          </cell>
          <cell r="G88" t="str">
            <v>A99M401</v>
          </cell>
          <cell r="H88" t="str">
            <v>PRI</v>
          </cell>
          <cell r="I88">
            <v>1999</v>
          </cell>
          <cell r="J88" t="str">
            <v>R</v>
          </cell>
          <cell r="K88" t="str">
            <v>IN</v>
          </cell>
          <cell r="L88" t="str">
            <v>KE</v>
          </cell>
          <cell r="Y88">
            <v>0</v>
          </cell>
          <cell r="Z88">
            <v>0</v>
          </cell>
          <cell r="AA88">
            <v>0</v>
          </cell>
          <cell r="AB88">
            <v>0</v>
          </cell>
          <cell r="AC88">
            <v>0</v>
          </cell>
          <cell r="AD88">
            <v>0</v>
          </cell>
          <cell r="AE88">
            <v>0</v>
          </cell>
          <cell r="AF88">
            <v>0</v>
          </cell>
        </row>
        <row r="89">
          <cell r="B89" t="str">
            <v>IN-KN-A99M401</v>
          </cell>
          <cell r="C89" t="str">
            <v>IN-A99M401</v>
          </cell>
          <cell r="D89" t="str">
            <v>IN-KN</v>
          </cell>
          <cell r="E89" t="str">
            <v>PRI-IN-KN</v>
          </cell>
          <cell r="F89" t="str">
            <v>PRI-KN</v>
          </cell>
          <cell r="G89" t="str">
            <v>A99M401</v>
          </cell>
          <cell r="H89" t="str">
            <v>PRI</v>
          </cell>
          <cell r="I89">
            <v>1999</v>
          </cell>
          <cell r="J89" t="str">
            <v>R</v>
          </cell>
          <cell r="K89" t="str">
            <v>IN</v>
          </cell>
          <cell r="L89" t="str">
            <v>KN</v>
          </cell>
          <cell r="Y89">
            <v>0</v>
          </cell>
          <cell r="Z89">
            <v>0</v>
          </cell>
          <cell r="AA89">
            <v>0</v>
          </cell>
          <cell r="AB89">
            <v>0</v>
          </cell>
          <cell r="AC89">
            <v>0</v>
          </cell>
          <cell r="AD89">
            <v>0</v>
          </cell>
          <cell r="AE89">
            <v>0</v>
          </cell>
          <cell r="AF89">
            <v>0</v>
          </cell>
        </row>
        <row r="90">
          <cell r="B90" t="str">
            <v>AD-KE-A99M402</v>
          </cell>
          <cell r="C90" t="str">
            <v>AD-A99M402</v>
          </cell>
          <cell r="D90" t="str">
            <v>AD-KE</v>
          </cell>
          <cell r="E90" t="str">
            <v>PRI-AD-KE</v>
          </cell>
          <cell r="F90" t="str">
            <v>PRI-KE</v>
          </cell>
          <cell r="G90" t="str">
            <v>A99M402</v>
          </cell>
          <cell r="H90" t="str">
            <v>PRI</v>
          </cell>
          <cell r="I90">
            <v>1999</v>
          </cell>
          <cell r="J90" t="str">
            <v>R</v>
          </cell>
          <cell r="K90" t="str">
            <v>AD</v>
          </cell>
          <cell r="L90" t="str">
            <v>KE</v>
          </cell>
          <cell r="Y90">
            <v>0</v>
          </cell>
          <cell r="Z90">
            <v>0</v>
          </cell>
          <cell r="AA90">
            <v>0</v>
          </cell>
          <cell r="AB90">
            <v>0</v>
          </cell>
          <cell r="AC90">
            <v>0</v>
          </cell>
          <cell r="AD90">
            <v>0</v>
          </cell>
          <cell r="AE90">
            <v>0</v>
          </cell>
          <cell r="AF90">
            <v>0</v>
          </cell>
        </row>
        <row r="91">
          <cell r="B91" t="str">
            <v>AD-KN-A99M402</v>
          </cell>
          <cell r="C91" t="str">
            <v>AD-A99M402</v>
          </cell>
          <cell r="D91" t="str">
            <v>AD-KN</v>
          </cell>
          <cell r="E91" t="str">
            <v>PRI-AD-KN</v>
          </cell>
          <cell r="F91" t="str">
            <v>PRI-KN</v>
          </cell>
          <cell r="G91" t="str">
            <v>A99M402</v>
          </cell>
          <cell r="H91" t="str">
            <v>PRI</v>
          </cell>
          <cell r="I91">
            <v>1999</v>
          </cell>
          <cell r="J91" t="str">
            <v>R</v>
          </cell>
          <cell r="K91" t="str">
            <v>AD</v>
          </cell>
          <cell r="L91" t="str">
            <v>KN</v>
          </cell>
          <cell r="Y91">
            <v>0</v>
          </cell>
          <cell r="Z91">
            <v>0</v>
          </cell>
          <cell r="AA91">
            <v>0</v>
          </cell>
          <cell r="AB91">
            <v>0</v>
          </cell>
          <cell r="AC91">
            <v>0</v>
          </cell>
          <cell r="AD91">
            <v>0</v>
          </cell>
          <cell r="AE91">
            <v>0</v>
          </cell>
          <cell r="AF91">
            <v>0</v>
          </cell>
        </row>
        <row r="92">
          <cell r="B92" t="str">
            <v>CO-KE-A99M402</v>
          </cell>
          <cell r="C92" t="str">
            <v>CO-A99M402</v>
          </cell>
          <cell r="D92" t="str">
            <v>CO-KE</v>
          </cell>
          <cell r="E92" t="str">
            <v>PRI-CO-KE</v>
          </cell>
          <cell r="F92" t="str">
            <v>PRI-KE</v>
          </cell>
          <cell r="G92" t="str">
            <v>A99M402</v>
          </cell>
          <cell r="H92" t="str">
            <v>PRI</v>
          </cell>
          <cell r="I92">
            <v>1999</v>
          </cell>
          <cell r="J92" t="str">
            <v>R</v>
          </cell>
          <cell r="K92" t="str">
            <v>CO</v>
          </cell>
          <cell r="L92" t="str">
            <v>KE</v>
          </cell>
          <cell r="Y92">
            <v>0</v>
          </cell>
          <cell r="Z92">
            <v>0</v>
          </cell>
          <cell r="AA92">
            <v>0</v>
          </cell>
          <cell r="AB92">
            <v>0</v>
          </cell>
          <cell r="AC92">
            <v>0</v>
          </cell>
          <cell r="AD92">
            <v>0</v>
          </cell>
          <cell r="AE92">
            <v>0</v>
          </cell>
          <cell r="AF92">
            <v>0</v>
          </cell>
        </row>
        <row r="93">
          <cell r="B93" t="str">
            <v>CO-KN-A99M402</v>
          </cell>
          <cell r="C93" t="str">
            <v>CO-A99M402</v>
          </cell>
          <cell r="D93" t="str">
            <v>CO-KN</v>
          </cell>
          <cell r="E93" t="str">
            <v>PRI-CO-KN</v>
          </cell>
          <cell r="F93" t="str">
            <v>PRI-KN</v>
          </cell>
          <cell r="G93" t="str">
            <v>A99M402</v>
          </cell>
          <cell r="H93" t="str">
            <v>PRI</v>
          </cell>
          <cell r="I93">
            <v>1999</v>
          </cell>
          <cell r="J93" t="str">
            <v>R</v>
          </cell>
          <cell r="K93" t="str">
            <v>CO</v>
          </cell>
          <cell r="L93" t="str">
            <v>KN</v>
          </cell>
          <cell r="Y93">
            <v>0</v>
          </cell>
          <cell r="Z93">
            <v>0</v>
          </cell>
          <cell r="AA93">
            <v>0</v>
          </cell>
          <cell r="AB93">
            <v>0</v>
          </cell>
          <cell r="AC93">
            <v>0</v>
          </cell>
          <cell r="AD93">
            <v>0</v>
          </cell>
          <cell r="AE93">
            <v>0</v>
          </cell>
          <cell r="AF93">
            <v>0</v>
          </cell>
        </row>
        <row r="94">
          <cell r="B94" t="str">
            <v>IN-KE-A99M402</v>
          </cell>
          <cell r="C94" t="str">
            <v>IN-A99M402</v>
          </cell>
          <cell r="D94" t="str">
            <v>IN-KE</v>
          </cell>
          <cell r="E94" t="str">
            <v>PRI-IN-KE</v>
          </cell>
          <cell r="F94" t="str">
            <v>PRI-KE</v>
          </cell>
          <cell r="G94" t="str">
            <v>A99M402</v>
          </cell>
          <cell r="H94" t="str">
            <v>PRI</v>
          </cell>
          <cell r="I94">
            <v>1999</v>
          </cell>
          <cell r="J94" t="str">
            <v>R</v>
          </cell>
          <cell r="K94" t="str">
            <v>IN</v>
          </cell>
          <cell r="L94" t="str">
            <v>KE</v>
          </cell>
          <cell r="Y94">
            <v>0</v>
          </cell>
          <cell r="Z94">
            <v>0</v>
          </cell>
          <cell r="AA94">
            <v>0</v>
          </cell>
          <cell r="AB94">
            <v>0</v>
          </cell>
          <cell r="AC94">
            <v>0</v>
          </cell>
          <cell r="AD94">
            <v>0</v>
          </cell>
          <cell r="AE94">
            <v>0</v>
          </cell>
          <cell r="AF94">
            <v>0</v>
          </cell>
        </row>
        <row r="95">
          <cell r="B95" t="str">
            <v>IN-KN-A99M402</v>
          </cell>
          <cell r="C95" t="str">
            <v>IN-A99M402</v>
          </cell>
          <cell r="D95" t="str">
            <v>IN-KN</v>
          </cell>
          <cell r="E95" t="str">
            <v>PRI-IN-KN</v>
          </cell>
          <cell r="F95" t="str">
            <v>PRI-KN</v>
          </cell>
          <cell r="G95" t="str">
            <v>A99M402</v>
          </cell>
          <cell r="H95" t="str">
            <v>PRI</v>
          </cell>
          <cell r="I95">
            <v>1999</v>
          </cell>
          <cell r="J95" t="str">
            <v>R</v>
          </cell>
          <cell r="K95" t="str">
            <v>IN</v>
          </cell>
          <cell r="L95" t="str">
            <v>KN</v>
          </cell>
          <cell r="Y95">
            <v>0</v>
          </cell>
          <cell r="Z95">
            <v>0</v>
          </cell>
          <cell r="AA95">
            <v>0</v>
          </cell>
          <cell r="AB95">
            <v>0</v>
          </cell>
          <cell r="AC95">
            <v>0</v>
          </cell>
          <cell r="AD95">
            <v>0</v>
          </cell>
          <cell r="AE95">
            <v>0</v>
          </cell>
          <cell r="AF95">
            <v>0</v>
          </cell>
        </row>
        <row r="96">
          <cell r="B96" t="str">
            <v>AD-KE-A99M403</v>
          </cell>
          <cell r="C96" t="str">
            <v>AD-A99M403</v>
          </cell>
          <cell r="D96" t="str">
            <v>AD-KE</v>
          </cell>
          <cell r="E96" t="str">
            <v>OTR-AD-KE</v>
          </cell>
          <cell r="F96" t="str">
            <v>OTR-KE</v>
          </cell>
          <cell r="G96" t="str">
            <v>A99M403</v>
          </cell>
          <cell r="H96" t="str">
            <v>OTR</v>
          </cell>
          <cell r="I96">
            <v>1999</v>
          </cell>
          <cell r="J96" t="str">
            <v>R</v>
          </cell>
          <cell r="K96" t="str">
            <v>AD</v>
          </cell>
          <cell r="L96" t="str">
            <v>KE</v>
          </cell>
          <cell r="Y96">
            <v>0</v>
          </cell>
          <cell r="Z96">
            <v>0</v>
          </cell>
          <cell r="AA96">
            <v>0</v>
          </cell>
          <cell r="AB96">
            <v>0</v>
          </cell>
          <cell r="AC96">
            <v>0</v>
          </cell>
          <cell r="AD96">
            <v>0</v>
          </cell>
          <cell r="AE96">
            <v>0</v>
          </cell>
          <cell r="AF96">
            <v>0</v>
          </cell>
        </row>
        <row r="97">
          <cell r="B97" t="str">
            <v>AD-KN-A99M403</v>
          </cell>
          <cell r="C97" t="str">
            <v>AD-A99M403</v>
          </cell>
          <cell r="D97" t="str">
            <v>AD-KN</v>
          </cell>
          <cell r="E97" t="str">
            <v>OTR-AD-KN</v>
          </cell>
          <cell r="F97" t="str">
            <v>OTR-KN</v>
          </cell>
          <cell r="G97" t="str">
            <v>A99M403</v>
          </cell>
          <cell r="H97" t="str">
            <v>OTR</v>
          </cell>
          <cell r="I97">
            <v>1999</v>
          </cell>
          <cell r="J97" t="str">
            <v>R</v>
          </cell>
          <cell r="K97" t="str">
            <v>AD</v>
          </cell>
          <cell r="L97" t="str">
            <v>KN</v>
          </cell>
          <cell r="Y97">
            <v>0</v>
          </cell>
          <cell r="Z97">
            <v>0</v>
          </cell>
          <cell r="AA97">
            <v>0</v>
          </cell>
          <cell r="AB97">
            <v>0</v>
          </cell>
          <cell r="AC97">
            <v>0</v>
          </cell>
          <cell r="AD97">
            <v>0</v>
          </cell>
          <cell r="AE97">
            <v>0</v>
          </cell>
          <cell r="AF97">
            <v>0</v>
          </cell>
        </row>
        <row r="98">
          <cell r="B98" t="str">
            <v>CO-KE-A99M403</v>
          </cell>
          <cell r="C98" t="str">
            <v>CO-A99M403</v>
          </cell>
          <cell r="D98" t="str">
            <v>CO-KE</v>
          </cell>
          <cell r="E98" t="str">
            <v>OTR-CO-KE</v>
          </cell>
          <cell r="F98" t="str">
            <v>OTR-KE</v>
          </cell>
          <cell r="G98" t="str">
            <v>A99M403</v>
          </cell>
          <cell r="H98" t="str">
            <v>OTR</v>
          </cell>
          <cell r="I98">
            <v>1999</v>
          </cell>
          <cell r="J98" t="str">
            <v>R</v>
          </cell>
          <cell r="K98" t="str">
            <v>CO</v>
          </cell>
          <cell r="L98" t="str">
            <v>KE</v>
          </cell>
          <cell r="Y98">
            <v>0</v>
          </cell>
          <cell r="Z98">
            <v>0</v>
          </cell>
          <cell r="AA98">
            <v>0</v>
          </cell>
          <cell r="AB98">
            <v>0</v>
          </cell>
          <cell r="AC98">
            <v>0</v>
          </cell>
          <cell r="AD98">
            <v>0</v>
          </cell>
          <cell r="AE98">
            <v>0</v>
          </cell>
          <cell r="AF98">
            <v>0</v>
          </cell>
        </row>
        <row r="99">
          <cell r="B99" t="str">
            <v>CO-KN-A99M403</v>
          </cell>
          <cell r="C99" t="str">
            <v>CO-A99M403</v>
          </cell>
          <cell r="D99" t="str">
            <v>CO-KN</v>
          </cell>
          <cell r="E99" t="str">
            <v>OTR-CO-KN</v>
          </cell>
          <cell r="F99" t="str">
            <v>OTR-KN</v>
          </cell>
          <cell r="G99" t="str">
            <v>A99M403</v>
          </cell>
          <cell r="H99" t="str">
            <v>OTR</v>
          </cell>
          <cell r="I99">
            <v>1999</v>
          </cell>
          <cell r="J99" t="str">
            <v>R</v>
          </cell>
          <cell r="K99" t="str">
            <v>CO</v>
          </cell>
          <cell r="L99" t="str">
            <v>KN</v>
          </cell>
          <cell r="Y99">
            <v>0</v>
          </cell>
          <cell r="Z99">
            <v>0</v>
          </cell>
          <cell r="AA99">
            <v>0</v>
          </cell>
          <cell r="AB99">
            <v>0</v>
          </cell>
          <cell r="AC99">
            <v>0</v>
          </cell>
          <cell r="AD99">
            <v>0</v>
          </cell>
          <cell r="AE99">
            <v>0</v>
          </cell>
          <cell r="AF99">
            <v>0</v>
          </cell>
        </row>
        <row r="100">
          <cell r="B100" t="str">
            <v>IN-KE-A99M403</v>
          </cell>
          <cell r="C100" t="str">
            <v>IN-A99M403</v>
          </cell>
          <cell r="D100" t="str">
            <v>IN-KE</v>
          </cell>
          <cell r="E100" t="str">
            <v>OTR-IN-KE</v>
          </cell>
          <cell r="F100" t="str">
            <v>OTR-KE</v>
          </cell>
          <cell r="G100" t="str">
            <v>A99M403</v>
          </cell>
          <cell r="H100" t="str">
            <v>OTR</v>
          </cell>
          <cell r="I100">
            <v>1999</v>
          </cell>
          <cell r="J100" t="str">
            <v>R</v>
          </cell>
          <cell r="K100" t="str">
            <v>IN</v>
          </cell>
          <cell r="L100" t="str">
            <v>KE</v>
          </cell>
          <cell r="Y100">
            <v>0</v>
          </cell>
          <cell r="Z100">
            <v>0</v>
          </cell>
          <cell r="AA100">
            <v>0</v>
          </cell>
          <cell r="AB100">
            <v>0</v>
          </cell>
          <cell r="AC100">
            <v>0</v>
          </cell>
          <cell r="AD100">
            <v>0</v>
          </cell>
          <cell r="AE100">
            <v>0</v>
          </cell>
          <cell r="AF100">
            <v>0</v>
          </cell>
        </row>
        <row r="101">
          <cell r="B101" t="str">
            <v>IN-KN-A99M403</v>
          </cell>
          <cell r="C101" t="str">
            <v>IN-A99M403</v>
          </cell>
          <cell r="D101" t="str">
            <v>IN-KN</v>
          </cell>
          <cell r="E101" t="str">
            <v>OTR-IN-KN</v>
          </cell>
          <cell r="F101" t="str">
            <v>OTR-KN</v>
          </cell>
          <cell r="G101" t="str">
            <v>A99M403</v>
          </cell>
          <cell r="H101" t="str">
            <v>OTR</v>
          </cell>
          <cell r="I101">
            <v>1999</v>
          </cell>
          <cell r="J101" t="str">
            <v>R</v>
          </cell>
          <cell r="K101" t="str">
            <v>IN</v>
          </cell>
          <cell r="L101" t="str">
            <v>KN</v>
          </cell>
          <cell r="Y101">
            <v>0</v>
          </cell>
          <cell r="Z101">
            <v>0</v>
          </cell>
          <cell r="AA101">
            <v>0</v>
          </cell>
          <cell r="AB101">
            <v>0</v>
          </cell>
          <cell r="AC101">
            <v>0</v>
          </cell>
          <cell r="AD101">
            <v>0</v>
          </cell>
          <cell r="AE101">
            <v>0</v>
          </cell>
          <cell r="AF101">
            <v>0</v>
          </cell>
        </row>
        <row r="102">
          <cell r="B102" t="str">
            <v>AD-KE-A99M406</v>
          </cell>
          <cell r="C102" t="str">
            <v>AD-A99M406</v>
          </cell>
          <cell r="D102" t="str">
            <v>AD-KE</v>
          </cell>
          <cell r="E102" t="str">
            <v>OTR-AD-KE</v>
          </cell>
          <cell r="F102" t="str">
            <v>OTR-KE</v>
          </cell>
          <cell r="G102" t="str">
            <v>A99M406</v>
          </cell>
          <cell r="H102" t="str">
            <v>OTR</v>
          </cell>
          <cell r="I102">
            <v>1999</v>
          </cell>
          <cell r="J102" t="str">
            <v>R</v>
          </cell>
          <cell r="K102" t="str">
            <v>AD</v>
          </cell>
          <cell r="L102" t="str">
            <v>KE</v>
          </cell>
          <cell r="Y102">
            <v>0</v>
          </cell>
          <cell r="Z102">
            <v>0</v>
          </cell>
          <cell r="AA102">
            <v>0</v>
          </cell>
          <cell r="AB102">
            <v>0</v>
          </cell>
          <cell r="AC102">
            <v>0</v>
          </cell>
          <cell r="AD102">
            <v>0</v>
          </cell>
          <cell r="AE102">
            <v>0</v>
          </cell>
          <cell r="AF102">
            <v>0</v>
          </cell>
        </row>
        <row r="103">
          <cell r="B103" t="str">
            <v>AD-KN-A99M406</v>
          </cell>
          <cell r="C103" t="str">
            <v>AD-A99M406</v>
          </cell>
          <cell r="D103" t="str">
            <v>AD-KN</v>
          </cell>
          <cell r="E103" t="str">
            <v>OTR-AD-KN</v>
          </cell>
          <cell r="F103" t="str">
            <v>OTR-KN</v>
          </cell>
          <cell r="G103" t="str">
            <v>A99M406</v>
          </cell>
          <cell r="H103" t="str">
            <v>OTR</v>
          </cell>
          <cell r="I103">
            <v>1999</v>
          </cell>
          <cell r="J103" t="str">
            <v>R</v>
          </cell>
          <cell r="K103" t="str">
            <v>AD</v>
          </cell>
          <cell r="L103" t="str">
            <v>KN</v>
          </cell>
          <cell r="Y103">
            <v>0</v>
          </cell>
          <cell r="Z103">
            <v>0</v>
          </cell>
          <cell r="AA103">
            <v>0</v>
          </cell>
          <cell r="AB103">
            <v>0</v>
          </cell>
          <cell r="AC103">
            <v>0</v>
          </cell>
          <cell r="AD103">
            <v>0</v>
          </cell>
          <cell r="AE103">
            <v>0</v>
          </cell>
          <cell r="AF103">
            <v>0</v>
          </cell>
        </row>
        <row r="104">
          <cell r="B104" t="str">
            <v>CO-KE-A99M406</v>
          </cell>
          <cell r="C104" t="str">
            <v>CO-A99M406</v>
          </cell>
          <cell r="D104" t="str">
            <v>CO-KE</v>
          </cell>
          <cell r="E104" t="str">
            <v>OTR-CO-KE</v>
          </cell>
          <cell r="F104" t="str">
            <v>OTR-KE</v>
          </cell>
          <cell r="G104" t="str">
            <v>A99M406</v>
          </cell>
          <cell r="H104" t="str">
            <v>OTR</v>
          </cell>
          <cell r="I104">
            <v>1999</v>
          </cell>
          <cell r="J104" t="str">
            <v>R</v>
          </cell>
          <cell r="K104" t="str">
            <v>CO</v>
          </cell>
          <cell r="L104" t="str">
            <v>KE</v>
          </cell>
          <cell r="Y104">
            <v>0</v>
          </cell>
          <cell r="Z104">
            <v>0</v>
          </cell>
          <cell r="AA104">
            <v>0</v>
          </cell>
          <cell r="AB104">
            <v>0</v>
          </cell>
          <cell r="AC104">
            <v>0</v>
          </cell>
          <cell r="AD104">
            <v>0</v>
          </cell>
          <cell r="AE104">
            <v>0</v>
          </cell>
          <cell r="AF104">
            <v>0</v>
          </cell>
        </row>
        <row r="105">
          <cell r="B105" t="str">
            <v>CO-KN-A99M406</v>
          </cell>
          <cell r="C105" t="str">
            <v>CO-A99M406</v>
          </cell>
          <cell r="D105" t="str">
            <v>CO-KN</v>
          </cell>
          <cell r="E105" t="str">
            <v>OTR-CO-KN</v>
          </cell>
          <cell r="F105" t="str">
            <v>OTR-KN</v>
          </cell>
          <cell r="G105" t="str">
            <v>A99M406</v>
          </cell>
          <cell r="H105" t="str">
            <v>OTR</v>
          </cell>
          <cell r="I105">
            <v>1999</v>
          </cell>
          <cell r="J105" t="str">
            <v>R</v>
          </cell>
          <cell r="K105" t="str">
            <v>CO</v>
          </cell>
          <cell r="L105" t="str">
            <v>KN</v>
          </cell>
          <cell r="Y105">
            <v>0</v>
          </cell>
          <cell r="Z105">
            <v>0</v>
          </cell>
          <cell r="AA105">
            <v>0</v>
          </cell>
          <cell r="AB105">
            <v>0</v>
          </cell>
          <cell r="AC105">
            <v>0</v>
          </cell>
          <cell r="AD105">
            <v>0</v>
          </cell>
          <cell r="AE105">
            <v>0</v>
          </cell>
          <cell r="AF105">
            <v>0</v>
          </cell>
        </row>
        <row r="106">
          <cell r="B106" t="str">
            <v>IN-KE-A99M406</v>
          </cell>
          <cell r="C106" t="str">
            <v>IN-A99M406</v>
          </cell>
          <cell r="D106" t="str">
            <v>IN-KE</v>
          </cell>
          <cell r="E106" t="str">
            <v>OTR-IN-KE</v>
          </cell>
          <cell r="F106" t="str">
            <v>OTR-KE</v>
          </cell>
          <cell r="G106" t="str">
            <v>A99M406</v>
          </cell>
          <cell r="H106" t="str">
            <v>OTR</v>
          </cell>
          <cell r="I106">
            <v>1999</v>
          </cell>
          <cell r="J106" t="str">
            <v>R</v>
          </cell>
          <cell r="K106" t="str">
            <v>IN</v>
          </cell>
          <cell r="L106" t="str">
            <v>KE</v>
          </cell>
          <cell r="Y106">
            <v>0</v>
          </cell>
          <cell r="Z106">
            <v>0</v>
          </cell>
          <cell r="AA106">
            <v>0</v>
          </cell>
          <cell r="AB106">
            <v>0</v>
          </cell>
          <cell r="AC106">
            <v>0</v>
          </cell>
          <cell r="AD106">
            <v>0</v>
          </cell>
          <cell r="AE106">
            <v>0</v>
          </cell>
          <cell r="AF106">
            <v>0</v>
          </cell>
        </row>
        <row r="107">
          <cell r="B107" t="str">
            <v>IN-KN-A99M406</v>
          </cell>
          <cell r="C107" t="str">
            <v>IN-A99M406</v>
          </cell>
          <cell r="D107" t="str">
            <v>IN-KN</v>
          </cell>
          <cell r="E107" t="str">
            <v>OTR-IN-KN</v>
          </cell>
          <cell r="F107" t="str">
            <v>OTR-KN</v>
          </cell>
          <cell r="G107" t="str">
            <v>A99M406</v>
          </cell>
          <cell r="H107" t="str">
            <v>OTR</v>
          </cell>
          <cell r="I107">
            <v>1999</v>
          </cell>
          <cell r="J107" t="str">
            <v>R</v>
          </cell>
          <cell r="K107" t="str">
            <v>IN</v>
          </cell>
          <cell r="L107" t="str">
            <v>KN</v>
          </cell>
          <cell r="Y107">
            <v>0</v>
          </cell>
          <cell r="Z107">
            <v>0</v>
          </cell>
          <cell r="AA107">
            <v>0</v>
          </cell>
          <cell r="AB107">
            <v>0</v>
          </cell>
          <cell r="AC107">
            <v>0</v>
          </cell>
          <cell r="AD107">
            <v>0</v>
          </cell>
          <cell r="AE107">
            <v>0</v>
          </cell>
          <cell r="AF107">
            <v>0</v>
          </cell>
        </row>
        <row r="108">
          <cell r="B108" t="str">
            <v>AD-KE-A99M407</v>
          </cell>
          <cell r="C108" t="str">
            <v>AD-A99M407</v>
          </cell>
          <cell r="D108" t="str">
            <v>AD-KE</v>
          </cell>
          <cell r="E108" t="str">
            <v>PRI-AD-KE</v>
          </cell>
          <cell r="F108" t="str">
            <v>PRI-KE</v>
          </cell>
          <cell r="G108" t="str">
            <v>A99M407</v>
          </cell>
          <cell r="H108" t="str">
            <v>PRI</v>
          </cell>
          <cell r="I108">
            <v>2000</v>
          </cell>
          <cell r="J108" t="str">
            <v>R</v>
          </cell>
          <cell r="K108" t="str">
            <v>AD</v>
          </cell>
          <cell r="L108" t="str">
            <v>KE</v>
          </cell>
          <cell r="Y108">
            <v>0</v>
          </cell>
          <cell r="Z108">
            <v>0</v>
          </cell>
          <cell r="AA108">
            <v>0</v>
          </cell>
          <cell r="AB108">
            <v>0</v>
          </cell>
          <cell r="AC108">
            <v>0</v>
          </cell>
          <cell r="AD108">
            <v>0</v>
          </cell>
          <cell r="AE108">
            <v>0</v>
          </cell>
          <cell r="AF108">
            <v>0</v>
          </cell>
        </row>
        <row r="109">
          <cell r="B109" t="str">
            <v>AD-KN-A99M407</v>
          </cell>
          <cell r="C109" t="str">
            <v>AD-A99M407</v>
          </cell>
          <cell r="D109" t="str">
            <v>AD-KN</v>
          </cell>
          <cell r="E109" t="str">
            <v>PRI-AD-KN</v>
          </cell>
          <cell r="F109" t="str">
            <v>PRI-KN</v>
          </cell>
          <cell r="G109" t="str">
            <v>A99M407</v>
          </cell>
          <cell r="H109" t="str">
            <v>PRI</v>
          </cell>
          <cell r="I109">
            <v>2000</v>
          </cell>
          <cell r="J109" t="str">
            <v>R</v>
          </cell>
          <cell r="K109" t="str">
            <v>AD</v>
          </cell>
          <cell r="L109" t="str">
            <v>KN</v>
          </cell>
          <cell r="Y109">
            <v>0</v>
          </cell>
          <cell r="Z109">
            <v>0</v>
          </cell>
          <cell r="AA109">
            <v>0</v>
          </cell>
          <cell r="AB109">
            <v>0</v>
          </cell>
          <cell r="AC109">
            <v>0</v>
          </cell>
          <cell r="AD109">
            <v>0</v>
          </cell>
          <cell r="AE109">
            <v>0</v>
          </cell>
          <cell r="AF109">
            <v>0</v>
          </cell>
        </row>
        <row r="110">
          <cell r="B110" t="str">
            <v>CO-KE-A99M407</v>
          </cell>
          <cell r="C110" t="str">
            <v>CO-A99M407</v>
          </cell>
          <cell r="D110" t="str">
            <v>CO-KE</v>
          </cell>
          <cell r="E110" t="str">
            <v>PRI-CO-KE</v>
          </cell>
          <cell r="F110" t="str">
            <v>PRI-KE</v>
          </cell>
          <cell r="G110" t="str">
            <v>A99M407</v>
          </cell>
          <cell r="H110" t="str">
            <v>PRI</v>
          </cell>
          <cell r="I110">
            <v>2000</v>
          </cell>
          <cell r="J110" t="str">
            <v>R</v>
          </cell>
          <cell r="K110" t="str">
            <v>CO</v>
          </cell>
          <cell r="L110" t="str">
            <v>KE</v>
          </cell>
          <cell r="Y110">
            <v>0</v>
          </cell>
          <cell r="Z110">
            <v>0</v>
          </cell>
          <cell r="AA110">
            <v>0</v>
          </cell>
          <cell r="AB110">
            <v>0</v>
          </cell>
          <cell r="AC110">
            <v>0</v>
          </cell>
          <cell r="AD110">
            <v>0</v>
          </cell>
          <cell r="AE110">
            <v>0</v>
          </cell>
          <cell r="AF110">
            <v>0</v>
          </cell>
        </row>
        <row r="111">
          <cell r="B111" t="str">
            <v>CO-KN-A99M407</v>
          </cell>
          <cell r="C111" t="str">
            <v>CO-A99M407</v>
          </cell>
          <cell r="D111" t="str">
            <v>CO-KN</v>
          </cell>
          <cell r="E111" t="str">
            <v>PRI-CO-KN</v>
          </cell>
          <cell r="F111" t="str">
            <v>PRI-KN</v>
          </cell>
          <cell r="G111" t="str">
            <v>A99M407</v>
          </cell>
          <cell r="H111" t="str">
            <v>PRI</v>
          </cell>
          <cell r="I111">
            <v>2000</v>
          </cell>
          <cell r="J111" t="str">
            <v>R</v>
          </cell>
          <cell r="K111" t="str">
            <v>CO</v>
          </cell>
          <cell r="L111" t="str">
            <v>KN</v>
          </cell>
          <cell r="Y111">
            <v>0</v>
          </cell>
          <cell r="Z111">
            <v>0</v>
          </cell>
          <cell r="AA111">
            <v>0</v>
          </cell>
          <cell r="AB111">
            <v>0</v>
          </cell>
          <cell r="AC111">
            <v>0</v>
          </cell>
          <cell r="AD111">
            <v>0</v>
          </cell>
          <cell r="AE111">
            <v>0</v>
          </cell>
          <cell r="AF111">
            <v>0</v>
          </cell>
        </row>
        <row r="112">
          <cell r="B112" t="str">
            <v>IN-KE-A99M407</v>
          </cell>
          <cell r="C112" t="str">
            <v>IN-A99M407</v>
          </cell>
          <cell r="D112" t="str">
            <v>IN-KE</v>
          </cell>
          <cell r="E112" t="str">
            <v>PRI-IN-KE</v>
          </cell>
          <cell r="F112" t="str">
            <v>PRI-KE</v>
          </cell>
          <cell r="G112" t="str">
            <v>A99M407</v>
          </cell>
          <cell r="H112" t="str">
            <v>PRI</v>
          </cell>
          <cell r="I112">
            <v>2000</v>
          </cell>
          <cell r="J112" t="str">
            <v>R</v>
          </cell>
          <cell r="K112" t="str">
            <v>IN</v>
          </cell>
          <cell r="L112" t="str">
            <v>KE</v>
          </cell>
          <cell r="Y112">
            <v>0</v>
          </cell>
          <cell r="Z112">
            <v>0</v>
          </cell>
          <cell r="AA112">
            <v>0</v>
          </cell>
          <cell r="AB112">
            <v>0</v>
          </cell>
          <cell r="AC112">
            <v>0</v>
          </cell>
          <cell r="AD112">
            <v>0</v>
          </cell>
          <cell r="AE112">
            <v>0</v>
          </cell>
          <cell r="AF112">
            <v>0</v>
          </cell>
        </row>
        <row r="113">
          <cell r="B113" t="str">
            <v>IN-KN-A99M407</v>
          </cell>
          <cell r="C113" t="str">
            <v>IN-A99M407</v>
          </cell>
          <cell r="D113" t="str">
            <v>IN-KN</v>
          </cell>
          <cell r="E113" t="str">
            <v>PRI-IN-KN</v>
          </cell>
          <cell r="F113" t="str">
            <v>PRI-KN</v>
          </cell>
          <cell r="G113" t="str">
            <v>A99M407</v>
          </cell>
          <cell r="H113" t="str">
            <v>PRI</v>
          </cell>
          <cell r="I113">
            <v>2000</v>
          </cell>
          <cell r="J113" t="str">
            <v>R</v>
          </cell>
          <cell r="K113" t="str">
            <v>IN</v>
          </cell>
          <cell r="L113" t="str">
            <v>KN</v>
          </cell>
          <cell r="Y113">
            <v>0</v>
          </cell>
          <cell r="Z113">
            <v>0</v>
          </cell>
          <cell r="AA113">
            <v>0</v>
          </cell>
          <cell r="AB113">
            <v>0</v>
          </cell>
          <cell r="AC113">
            <v>0</v>
          </cell>
          <cell r="AD113">
            <v>0</v>
          </cell>
          <cell r="AE113">
            <v>0</v>
          </cell>
          <cell r="AF113">
            <v>0</v>
          </cell>
        </row>
        <row r="114">
          <cell r="B114" t="str">
            <v>AD-KE-A00M201</v>
          </cell>
          <cell r="C114" t="str">
            <v>AD-A00M201</v>
          </cell>
          <cell r="D114" t="str">
            <v>AD-KE</v>
          </cell>
          <cell r="E114" t="str">
            <v>OTR-AD-KE</v>
          </cell>
          <cell r="F114" t="str">
            <v>OTR-KE</v>
          </cell>
          <cell r="G114" t="str">
            <v>A00M201</v>
          </cell>
          <cell r="H114" t="str">
            <v>OTR</v>
          </cell>
          <cell r="I114">
            <v>2000</v>
          </cell>
          <cell r="J114" t="str">
            <v>R</v>
          </cell>
          <cell r="K114" t="str">
            <v>AD</v>
          </cell>
          <cell r="L114" t="str">
            <v>KE</v>
          </cell>
          <cell r="Y114">
            <v>0</v>
          </cell>
          <cell r="Z114">
            <v>0</v>
          </cell>
          <cell r="AA114">
            <v>0</v>
          </cell>
          <cell r="AB114">
            <v>0</v>
          </cell>
          <cell r="AC114">
            <v>0</v>
          </cell>
          <cell r="AD114">
            <v>0</v>
          </cell>
          <cell r="AE114">
            <v>0</v>
          </cell>
          <cell r="AF114">
            <v>0</v>
          </cell>
        </row>
        <row r="115">
          <cell r="B115" t="str">
            <v>AD-KN-A00M201</v>
          </cell>
          <cell r="C115" t="str">
            <v>AD-A00M201</v>
          </cell>
          <cell r="D115" t="str">
            <v>AD-KN</v>
          </cell>
          <cell r="E115" t="str">
            <v>OTR-AD-KN</v>
          </cell>
          <cell r="F115" t="str">
            <v>OTR-KN</v>
          </cell>
          <cell r="G115" t="str">
            <v>A00M201</v>
          </cell>
          <cell r="H115" t="str">
            <v>OTR</v>
          </cell>
          <cell r="I115">
            <v>2000</v>
          </cell>
          <cell r="J115" t="str">
            <v>R</v>
          </cell>
          <cell r="K115" t="str">
            <v>AD</v>
          </cell>
          <cell r="L115" t="str">
            <v>KN</v>
          </cell>
          <cell r="Y115">
            <v>0</v>
          </cell>
          <cell r="Z115">
            <v>0</v>
          </cell>
          <cell r="AA115">
            <v>0</v>
          </cell>
          <cell r="AB115">
            <v>0</v>
          </cell>
          <cell r="AC115">
            <v>0</v>
          </cell>
          <cell r="AD115">
            <v>0</v>
          </cell>
          <cell r="AE115">
            <v>0</v>
          </cell>
          <cell r="AF115">
            <v>0</v>
          </cell>
        </row>
        <row r="116">
          <cell r="B116" t="str">
            <v>CO-KE-A00M201</v>
          </cell>
          <cell r="C116" t="str">
            <v>CO-A00M201</v>
          </cell>
          <cell r="D116" t="str">
            <v>CO-KE</v>
          </cell>
          <cell r="E116" t="str">
            <v>OTR-CO-KE</v>
          </cell>
          <cell r="F116" t="str">
            <v>OTR-KE</v>
          </cell>
          <cell r="G116" t="str">
            <v>A00M201</v>
          </cell>
          <cell r="H116" t="str">
            <v>OTR</v>
          </cell>
          <cell r="I116">
            <v>2000</v>
          </cell>
          <cell r="J116" t="str">
            <v>R</v>
          </cell>
          <cell r="K116" t="str">
            <v>CO</v>
          </cell>
          <cell r="L116" t="str">
            <v>KE</v>
          </cell>
          <cell r="Y116">
            <v>0</v>
          </cell>
          <cell r="Z116">
            <v>0</v>
          </cell>
          <cell r="AA116">
            <v>0</v>
          </cell>
          <cell r="AB116">
            <v>0</v>
          </cell>
          <cell r="AC116">
            <v>0</v>
          </cell>
          <cell r="AD116">
            <v>0</v>
          </cell>
          <cell r="AE116">
            <v>0</v>
          </cell>
          <cell r="AF116">
            <v>0</v>
          </cell>
        </row>
        <row r="117">
          <cell r="B117" t="str">
            <v>CO-KN-A00M201</v>
          </cell>
          <cell r="C117" t="str">
            <v>CO-A00M201</v>
          </cell>
          <cell r="D117" t="str">
            <v>CO-KN</v>
          </cell>
          <cell r="E117" t="str">
            <v>OTR-CO-KN</v>
          </cell>
          <cell r="F117" t="str">
            <v>OTR-KN</v>
          </cell>
          <cell r="G117" t="str">
            <v>A00M201</v>
          </cell>
          <cell r="H117" t="str">
            <v>OTR</v>
          </cell>
          <cell r="I117">
            <v>2000</v>
          </cell>
          <cell r="J117" t="str">
            <v>R</v>
          </cell>
          <cell r="K117" t="str">
            <v>CO</v>
          </cell>
          <cell r="L117" t="str">
            <v>KN</v>
          </cell>
          <cell r="Y117">
            <v>0</v>
          </cell>
          <cell r="Z117">
            <v>0</v>
          </cell>
          <cell r="AA117">
            <v>0</v>
          </cell>
          <cell r="AB117">
            <v>0</v>
          </cell>
          <cell r="AC117">
            <v>0</v>
          </cell>
          <cell r="AD117">
            <v>0</v>
          </cell>
          <cell r="AE117">
            <v>0</v>
          </cell>
          <cell r="AF117">
            <v>0</v>
          </cell>
        </row>
        <row r="118">
          <cell r="B118" t="str">
            <v>IN-KE-A00M201</v>
          </cell>
          <cell r="C118" t="str">
            <v>IN-A00M201</v>
          </cell>
          <cell r="D118" t="str">
            <v>IN-KE</v>
          </cell>
          <cell r="E118" t="str">
            <v>OTR-IN-KE</v>
          </cell>
          <cell r="F118" t="str">
            <v>OTR-KE</v>
          </cell>
          <cell r="G118" t="str">
            <v>A00M201</v>
          </cell>
          <cell r="H118" t="str">
            <v>OTR</v>
          </cell>
          <cell r="I118">
            <v>2000</v>
          </cell>
          <cell r="J118" t="str">
            <v>R</v>
          </cell>
          <cell r="K118" t="str">
            <v>IN</v>
          </cell>
          <cell r="L118" t="str">
            <v>KE</v>
          </cell>
          <cell r="Y118">
            <v>0</v>
          </cell>
          <cell r="Z118">
            <v>0</v>
          </cell>
          <cell r="AA118">
            <v>0</v>
          </cell>
          <cell r="AB118">
            <v>0</v>
          </cell>
          <cell r="AC118">
            <v>0</v>
          </cell>
          <cell r="AD118">
            <v>0</v>
          </cell>
          <cell r="AE118">
            <v>0</v>
          </cell>
          <cell r="AF118">
            <v>0</v>
          </cell>
        </row>
        <row r="119">
          <cell r="B119" t="str">
            <v>IN-KN-A00M201</v>
          </cell>
          <cell r="C119" t="str">
            <v>IN-A00M201</v>
          </cell>
          <cell r="D119" t="str">
            <v>IN-KN</v>
          </cell>
          <cell r="E119" t="str">
            <v>OTR-IN-KN</v>
          </cell>
          <cell r="F119" t="str">
            <v>OTR-KN</v>
          </cell>
          <cell r="G119" t="str">
            <v>A00M201</v>
          </cell>
          <cell r="H119" t="str">
            <v>OTR</v>
          </cell>
          <cell r="I119">
            <v>2000</v>
          </cell>
          <cell r="J119" t="str">
            <v>R</v>
          </cell>
          <cell r="K119" t="str">
            <v>IN</v>
          </cell>
          <cell r="L119" t="str">
            <v>KN</v>
          </cell>
          <cell r="Y119">
            <v>0</v>
          </cell>
          <cell r="Z119">
            <v>0</v>
          </cell>
          <cell r="AA119">
            <v>0</v>
          </cell>
          <cell r="AB119">
            <v>0</v>
          </cell>
          <cell r="AC119">
            <v>0</v>
          </cell>
          <cell r="AD119">
            <v>0</v>
          </cell>
          <cell r="AE119">
            <v>0</v>
          </cell>
          <cell r="AF119">
            <v>0</v>
          </cell>
        </row>
        <row r="120">
          <cell r="B120" t="str">
            <v>AD-KE-A00M202</v>
          </cell>
          <cell r="C120" t="str">
            <v>AD-A00M202</v>
          </cell>
          <cell r="D120" t="str">
            <v>AD-KE</v>
          </cell>
          <cell r="E120" t="str">
            <v>PRI-AD-KE</v>
          </cell>
          <cell r="F120" t="str">
            <v>PRI-KE</v>
          </cell>
          <cell r="G120" t="str">
            <v>A00M202</v>
          </cell>
          <cell r="H120" t="str">
            <v>PRI</v>
          </cell>
          <cell r="I120">
            <v>2001</v>
          </cell>
          <cell r="J120" t="str">
            <v>R</v>
          </cell>
          <cell r="K120" t="str">
            <v>AD</v>
          </cell>
          <cell r="L120" t="str">
            <v>KE</v>
          </cell>
          <cell r="Y120">
            <v>0</v>
          </cell>
          <cell r="Z120">
            <v>0</v>
          </cell>
          <cell r="AA120">
            <v>0</v>
          </cell>
          <cell r="AB120">
            <v>0</v>
          </cell>
          <cell r="AC120">
            <v>0</v>
          </cell>
          <cell r="AD120">
            <v>0</v>
          </cell>
          <cell r="AE120">
            <v>0</v>
          </cell>
          <cell r="AF120">
            <v>0</v>
          </cell>
        </row>
        <row r="121">
          <cell r="B121" t="str">
            <v>AD-KN-A00M202</v>
          </cell>
          <cell r="C121" t="str">
            <v>AD-A00M202</v>
          </cell>
          <cell r="D121" t="str">
            <v>AD-KN</v>
          </cell>
          <cell r="E121" t="str">
            <v>PRI-AD-KN</v>
          </cell>
          <cell r="F121" t="str">
            <v>PRI-KN</v>
          </cell>
          <cell r="G121" t="str">
            <v>A00M202</v>
          </cell>
          <cell r="H121" t="str">
            <v>PRI</v>
          </cell>
          <cell r="I121">
            <v>2001</v>
          </cell>
          <cell r="J121" t="str">
            <v>R</v>
          </cell>
          <cell r="K121" t="str">
            <v>AD</v>
          </cell>
          <cell r="L121" t="str">
            <v>KN</v>
          </cell>
          <cell r="Y121">
            <v>0</v>
          </cell>
          <cell r="Z121">
            <v>0</v>
          </cell>
          <cell r="AA121">
            <v>0</v>
          </cell>
          <cell r="AB121">
            <v>0</v>
          </cell>
          <cell r="AC121">
            <v>0</v>
          </cell>
          <cell r="AD121">
            <v>0</v>
          </cell>
          <cell r="AE121">
            <v>0</v>
          </cell>
          <cell r="AF121">
            <v>0</v>
          </cell>
        </row>
        <row r="122">
          <cell r="B122" t="str">
            <v>CO-KE-A00M202</v>
          </cell>
          <cell r="C122" t="str">
            <v>CO-A00M202</v>
          </cell>
          <cell r="D122" t="str">
            <v>CO-KE</v>
          </cell>
          <cell r="E122" t="str">
            <v>PRI-CO-KE</v>
          </cell>
          <cell r="F122" t="str">
            <v>PRI-KE</v>
          </cell>
          <cell r="G122" t="str">
            <v>A00M202</v>
          </cell>
          <cell r="H122" t="str">
            <v>PRI</v>
          </cell>
          <cell r="I122">
            <v>2001</v>
          </cell>
          <cell r="J122" t="str">
            <v>R</v>
          </cell>
          <cell r="K122" t="str">
            <v>CO</v>
          </cell>
          <cell r="L122" t="str">
            <v>KE</v>
          </cell>
          <cell r="Y122">
            <v>0</v>
          </cell>
          <cell r="Z122">
            <v>0</v>
          </cell>
          <cell r="AA122">
            <v>0</v>
          </cell>
          <cell r="AB122">
            <v>0</v>
          </cell>
          <cell r="AC122">
            <v>0</v>
          </cell>
          <cell r="AD122">
            <v>0</v>
          </cell>
          <cell r="AE122">
            <v>0</v>
          </cell>
          <cell r="AF122">
            <v>0</v>
          </cell>
        </row>
        <row r="123">
          <cell r="B123" t="str">
            <v>CO-KN-A00M202</v>
          </cell>
          <cell r="C123" t="str">
            <v>CO-A00M202</v>
          </cell>
          <cell r="D123" t="str">
            <v>CO-KN</v>
          </cell>
          <cell r="E123" t="str">
            <v>PRI-CO-KN</v>
          </cell>
          <cell r="F123" t="str">
            <v>PRI-KN</v>
          </cell>
          <cell r="G123" t="str">
            <v>A00M202</v>
          </cell>
          <cell r="H123" t="str">
            <v>PRI</v>
          </cell>
          <cell r="I123">
            <v>2001</v>
          </cell>
          <cell r="J123" t="str">
            <v>R</v>
          </cell>
          <cell r="K123" t="str">
            <v>CO</v>
          </cell>
          <cell r="L123" t="str">
            <v>KN</v>
          </cell>
          <cell r="Y123">
            <v>0</v>
          </cell>
          <cell r="Z123">
            <v>0</v>
          </cell>
          <cell r="AA123">
            <v>0</v>
          </cell>
          <cell r="AB123">
            <v>0</v>
          </cell>
          <cell r="AC123">
            <v>0</v>
          </cell>
          <cell r="AD123">
            <v>0</v>
          </cell>
          <cell r="AE123">
            <v>0</v>
          </cell>
          <cell r="AF123">
            <v>0</v>
          </cell>
        </row>
        <row r="124">
          <cell r="B124" t="str">
            <v>IN-KE-A00M202</v>
          </cell>
          <cell r="C124" t="str">
            <v>IN-A00M202</v>
          </cell>
          <cell r="D124" t="str">
            <v>IN-KE</v>
          </cell>
          <cell r="E124" t="str">
            <v>PRI-IN-KE</v>
          </cell>
          <cell r="F124" t="str">
            <v>PRI-KE</v>
          </cell>
          <cell r="G124" t="str">
            <v>A00M202</v>
          </cell>
          <cell r="H124" t="str">
            <v>PRI</v>
          </cell>
          <cell r="I124">
            <v>2001</v>
          </cell>
          <cell r="J124" t="str">
            <v>R</v>
          </cell>
          <cell r="K124" t="str">
            <v>IN</v>
          </cell>
          <cell r="L124" t="str">
            <v>KE</v>
          </cell>
          <cell r="Y124">
            <v>0</v>
          </cell>
          <cell r="Z124">
            <v>0</v>
          </cell>
          <cell r="AA124">
            <v>0</v>
          </cell>
          <cell r="AB124">
            <v>0</v>
          </cell>
          <cell r="AC124">
            <v>0</v>
          </cell>
          <cell r="AD124">
            <v>0</v>
          </cell>
          <cell r="AE124">
            <v>0</v>
          </cell>
          <cell r="AF124">
            <v>0</v>
          </cell>
        </row>
        <row r="125">
          <cell r="B125" t="str">
            <v>IN-KN-A00M202</v>
          </cell>
          <cell r="C125" t="str">
            <v>IN-A00M202</v>
          </cell>
          <cell r="D125" t="str">
            <v>IN-KN</v>
          </cell>
          <cell r="E125" t="str">
            <v>PRI-IN-KN</v>
          </cell>
          <cell r="F125" t="str">
            <v>PRI-KN</v>
          </cell>
          <cell r="G125" t="str">
            <v>A00M202</v>
          </cell>
          <cell r="H125" t="str">
            <v>PRI</v>
          </cell>
          <cell r="I125">
            <v>2001</v>
          </cell>
          <cell r="J125" t="str">
            <v>R</v>
          </cell>
          <cell r="K125" t="str">
            <v>IN</v>
          </cell>
          <cell r="L125" t="str">
            <v>KN</v>
          </cell>
          <cell r="M125">
            <v>180</v>
          </cell>
          <cell r="N125">
            <v>51</v>
          </cell>
          <cell r="O125">
            <v>34</v>
          </cell>
          <cell r="Y125">
            <v>1393.32</v>
          </cell>
          <cell r="Z125">
            <v>265</v>
          </cell>
          <cell r="AA125">
            <v>0</v>
          </cell>
          <cell r="AB125">
            <v>1658.32</v>
          </cell>
          <cell r="AC125">
            <v>265</v>
          </cell>
          <cell r="AD125">
            <v>1658.32</v>
          </cell>
          <cell r="AE125">
            <v>0</v>
          </cell>
          <cell r="AF125">
            <v>-12.597443277</v>
          </cell>
        </row>
        <row r="126">
          <cell r="B126" t="str">
            <v>AD-KE-A00M401</v>
          </cell>
          <cell r="C126" t="str">
            <v>AD-A00M401</v>
          </cell>
          <cell r="D126" t="str">
            <v>AD-KE</v>
          </cell>
          <cell r="E126" t="str">
            <v>OTR-AD-KE</v>
          </cell>
          <cell r="F126" t="str">
            <v>OTR-KE</v>
          </cell>
          <cell r="G126" t="str">
            <v>A00M401</v>
          </cell>
          <cell r="H126" t="str">
            <v>OTR</v>
          </cell>
          <cell r="I126">
            <v>2001</v>
          </cell>
          <cell r="J126" t="str">
            <v>R</v>
          </cell>
          <cell r="K126" t="str">
            <v>AD</v>
          </cell>
          <cell r="L126" t="str">
            <v>KE</v>
          </cell>
          <cell r="Y126">
            <v>322.2</v>
          </cell>
          <cell r="Z126">
            <v>0</v>
          </cell>
          <cell r="AA126">
            <v>0</v>
          </cell>
          <cell r="AB126">
            <v>322.2</v>
          </cell>
          <cell r="AC126">
            <v>0</v>
          </cell>
          <cell r="AD126">
            <v>322.2</v>
          </cell>
          <cell r="AE126">
            <v>0</v>
          </cell>
          <cell r="AF126">
            <v>0</v>
          </cell>
        </row>
        <row r="127">
          <cell r="B127" t="str">
            <v>AD-KN-A00M401</v>
          </cell>
          <cell r="C127" t="str">
            <v>AD-A00M401</v>
          </cell>
          <cell r="D127" t="str">
            <v>AD-KN</v>
          </cell>
          <cell r="E127" t="str">
            <v>OTR-AD-KN</v>
          </cell>
          <cell r="F127" t="str">
            <v>OTR-KN</v>
          </cell>
          <cell r="G127" t="str">
            <v>A00M401</v>
          </cell>
          <cell r="H127" t="str">
            <v>OTR</v>
          </cell>
          <cell r="I127">
            <v>2001</v>
          </cell>
          <cell r="J127" t="str">
            <v>R</v>
          </cell>
          <cell r="K127" t="str">
            <v>AD</v>
          </cell>
          <cell r="L127" t="str">
            <v>KN</v>
          </cell>
          <cell r="Y127">
            <v>0</v>
          </cell>
          <cell r="Z127">
            <v>0</v>
          </cell>
          <cell r="AA127">
            <v>0</v>
          </cell>
          <cell r="AB127">
            <v>0</v>
          </cell>
          <cell r="AC127">
            <v>0</v>
          </cell>
          <cell r="AD127">
            <v>0</v>
          </cell>
          <cell r="AE127">
            <v>0</v>
          </cell>
          <cell r="AF127">
            <v>0</v>
          </cell>
        </row>
        <row r="128">
          <cell r="B128" t="str">
            <v>CO-KE-A00M401</v>
          </cell>
          <cell r="C128" t="str">
            <v>CO-A00M401</v>
          </cell>
          <cell r="D128" t="str">
            <v>CO-KE</v>
          </cell>
          <cell r="E128" t="str">
            <v>OTR-CO-KE</v>
          </cell>
          <cell r="F128" t="str">
            <v>OTR-KE</v>
          </cell>
          <cell r="G128" t="str">
            <v>A00M401</v>
          </cell>
          <cell r="H128" t="str">
            <v>OTR</v>
          </cell>
          <cell r="I128">
            <v>2001</v>
          </cell>
          <cell r="J128" t="str">
            <v>R</v>
          </cell>
          <cell r="K128" t="str">
            <v>CO</v>
          </cell>
          <cell r="L128" t="str">
            <v>KE</v>
          </cell>
          <cell r="Y128">
            <v>0</v>
          </cell>
          <cell r="Z128">
            <v>0</v>
          </cell>
          <cell r="AA128">
            <v>0</v>
          </cell>
          <cell r="AB128">
            <v>0</v>
          </cell>
          <cell r="AC128">
            <v>0</v>
          </cell>
          <cell r="AD128">
            <v>0</v>
          </cell>
          <cell r="AE128">
            <v>0</v>
          </cell>
          <cell r="AF128">
            <v>0</v>
          </cell>
        </row>
        <row r="129">
          <cell r="B129" t="str">
            <v>CO-KN-A00M401</v>
          </cell>
          <cell r="C129" t="str">
            <v>CO-A00M401</v>
          </cell>
          <cell r="D129" t="str">
            <v>CO-KN</v>
          </cell>
          <cell r="E129" t="str">
            <v>OTR-CO-KN</v>
          </cell>
          <cell r="F129" t="str">
            <v>OTR-KN</v>
          </cell>
          <cell r="G129" t="str">
            <v>A00M401</v>
          </cell>
          <cell r="H129" t="str">
            <v>OTR</v>
          </cell>
          <cell r="I129">
            <v>2001</v>
          </cell>
          <cell r="J129" t="str">
            <v>R</v>
          </cell>
          <cell r="K129" t="str">
            <v>CO</v>
          </cell>
          <cell r="L129" t="str">
            <v>KN</v>
          </cell>
          <cell r="Y129">
            <v>0</v>
          </cell>
          <cell r="Z129">
            <v>0</v>
          </cell>
          <cell r="AA129">
            <v>0</v>
          </cell>
          <cell r="AB129">
            <v>0</v>
          </cell>
          <cell r="AC129">
            <v>0</v>
          </cell>
          <cell r="AD129">
            <v>0</v>
          </cell>
          <cell r="AE129">
            <v>0</v>
          </cell>
          <cell r="AF129">
            <v>0</v>
          </cell>
        </row>
        <row r="130">
          <cell r="B130" t="str">
            <v>IN-KE-A00M401</v>
          </cell>
          <cell r="C130" t="str">
            <v>IN-A00M401</v>
          </cell>
          <cell r="D130" t="str">
            <v>IN-KE</v>
          </cell>
          <cell r="E130" t="str">
            <v>OTR-IN-KE</v>
          </cell>
          <cell r="F130" t="str">
            <v>OTR-KE</v>
          </cell>
          <cell r="G130" t="str">
            <v>A00M401</v>
          </cell>
          <cell r="H130" t="str">
            <v>OTR</v>
          </cell>
          <cell r="I130">
            <v>2001</v>
          </cell>
          <cell r="J130" t="str">
            <v>R</v>
          </cell>
          <cell r="K130" t="str">
            <v>IN</v>
          </cell>
          <cell r="L130" t="str">
            <v>KE</v>
          </cell>
          <cell r="Y130">
            <v>0</v>
          </cell>
          <cell r="Z130">
            <v>0</v>
          </cell>
          <cell r="AA130">
            <v>0</v>
          </cell>
          <cell r="AB130">
            <v>0</v>
          </cell>
          <cell r="AC130">
            <v>0</v>
          </cell>
          <cell r="AD130">
            <v>0</v>
          </cell>
          <cell r="AE130">
            <v>0</v>
          </cell>
          <cell r="AF130">
            <v>0</v>
          </cell>
        </row>
        <row r="131">
          <cell r="B131" t="str">
            <v>IN-KN-A00M401</v>
          </cell>
          <cell r="C131" t="str">
            <v>IN-A00M401</v>
          </cell>
          <cell r="D131" t="str">
            <v>IN-KN</v>
          </cell>
          <cell r="E131" t="str">
            <v>OTR-IN-KN</v>
          </cell>
          <cell r="F131" t="str">
            <v>OTR-KN</v>
          </cell>
          <cell r="G131" t="str">
            <v>A00M401</v>
          </cell>
          <cell r="H131" t="str">
            <v>OTR</v>
          </cell>
          <cell r="I131">
            <v>2001</v>
          </cell>
          <cell r="J131" t="str">
            <v>R</v>
          </cell>
          <cell r="K131" t="str">
            <v>IN</v>
          </cell>
          <cell r="L131" t="str">
            <v>KN</v>
          </cell>
          <cell r="Y131">
            <v>1.37</v>
          </cell>
          <cell r="Z131">
            <v>0</v>
          </cell>
          <cell r="AA131">
            <v>0</v>
          </cell>
          <cell r="AB131">
            <v>1.37</v>
          </cell>
          <cell r="AC131">
            <v>0</v>
          </cell>
          <cell r="AD131">
            <v>1.37</v>
          </cell>
          <cell r="AE131">
            <v>0</v>
          </cell>
          <cell r="AF131">
            <v>0</v>
          </cell>
        </row>
        <row r="132">
          <cell r="B132" t="str">
            <v>AD-KE-A00M405</v>
          </cell>
          <cell r="C132" t="str">
            <v>AD-A00M405</v>
          </cell>
          <cell r="D132" t="str">
            <v>AD-KE</v>
          </cell>
          <cell r="E132" t="str">
            <v>OTR-AD-KE</v>
          </cell>
          <cell r="F132" t="str">
            <v>OTR-KE</v>
          </cell>
          <cell r="G132" t="str">
            <v>A00M405</v>
          </cell>
          <cell r="H132" t="str">
            <v>OTR</v>
          </cell>
          <cell r="I132">
            <v>2001</v>
          </cell>
          <cell r="J132" t="str">
            <v>R</v>
          </cell>
          <cell r="K132" t="str">
            <v>AD</v>
          </cell>
          <cell r="L132" t="str">
            <v>KE</v>
          </cell>
          <cell r="Y132">
            <v>0</v>
          </cell>
          <cell r="Z132">
            <v>0</v>
          </cell>
          <cell r="AA132">
            <v>0</v>
          </cell>
          <cell r="AB132">
            <v>0</v>
          </cell>
          <cell r="AC132">
            <v>0</v>
          </cell>
          <cell r="AD132">
            <v>0</v>
          </cell>
          <cell r="AE132">
            <v>0</v>
          </cell>
          <cell r="AF132">
            <v>0</v>
          </cell>
        </row>
        <row r="133">
          <cell r="B133" t="str">
            <v>AD-KN-A00M405</v>
          </cell>
          <cell r="C133" t="str">
            <v>AD-A00M405</v>
          </cell>
          <cell r="D133" t="str">
            <v>AD-KN</v>
          </cell>
          <cell r="E133" t="str">
            <v>OTR-AD-KN</v>
          </cell>
          <cell r="F133" t="str">
            <v>OTR-KN</v>
          </cell>
          <cell r="G133" t="str">
            <v>A00M405</v>
          </cell>
          <cell r="H133" t="str">
            <v>OTR</v>
          </cell>
          <cell r="I133">
            <v>2001</v>
          </cell>
          <cell r="J133" t="str">
            <v>R</v>
          </cell>
          <cell r="K133" t="str">
            <v>AD</v>
          </cell>
          <cell r="L133" t="str">
            <v>KN</v>
          </cell>
          <cell r="Y133">
            <v>210.44</v>
          </cell>
          <cell r="Z133">
            <v>0</v>
          </cell>
          <cell r="AA133">
            <v>0</v>
          </cell>
          <cell r="AB133">
            <v>210.44</v>
          </cell>
          <cell r="AC133">
            <v>0</v>
          </cell>
          <cell r="AD133">
            <v>210.44</v>
          </cell>
          <cell r="AE133">
            <v>0</v>
          </cell>
          <cell r="AF133">
            <v>0</v>
          </cell>
        </row>
        <row r="134">
          <cell r="B134" t="str">
            <v>CO-KE-A00M405</v>
          </cell>
          <cell r="C134" t="str">
            <v>CO-A00M405</v>
          </cell>
          <cell r="D134" t="str">
            <v>CO-KE</v>
          </cell>
          <cell r="E134" t="str">
            <v>OTR-CO-KE</v>
          </cell>
          <cell r="F134" t="str">
            <v>OTR-KE</v>
          </cell>
          <cell r="G134" t="str">
            <v>A00M405</v>
          </cell>
          <cell r="H134" t="str">
            <v>OTR</v>
          </cell>
          <cell r="I134">
            <v>2001</v>
          </cell>
          <cell r="J134" t="str">
            <v>R</v>
          </cell>
          <cell r="K134" t="str">
            <v>CO</v>
          </cell>
          <cell r="L134" t="str">
            <v>KE</v>
          </cell>
          <cell r="Y134">
            <v>0</v>
          </cell>
          <cell r="Z134">
            <v>0</v>
          </cell>
          <cell r="AA134">
            <v>0</v>
          </cell>
          <cell r="AB134">
            <v>0</v>
          </cell>
          <cell r="AC134">
            <v>0</v>
          </cell>
          <cell r="AD134">
            <v>0</v>
          </cell>
          <cell r="AE134">
            <v>0</v>
          </cell>
          <cell r="AF134">
            <v>0</v>
          </cell>
        </row>
        <row r="135">
          <cell r="B135" t="str">
            <v>CO-KN-A00M405</v>
          </cell>
          <cell r="C135" t="str">
            <v>CO-A00M405</v>
          </cell>
          <cell r="D135" t="str">
            <v>CO-KN</v>
          </cell>
          <cell r="E135" t="str">
            <v>OTR-CO-KN</v>
          </cell>
          <cell r="F135" t="str">
            <v>OTR-KN</v>
          </cell>
          <cell r="G135" t="str">
            <v>A00M405</v>
          </cell>
          <cell r="H135" t="str">
            <v>OTR</v>
          </cell>
          <cell r="I135">
            <v>2001</v>
          </cell>
          <cell r="J135" t="str">
            <v>R</v>
          </cell>
          <cell r="K135" t="str">
            <v>CO</v>
          </cell>
          <cell r="L135" t="str">
            <v>KN</v>
          </cell>
          <cell r="M135">
            <v>3</v>
          </cell>
          <cell r="N135">
            <v>2</v>
          </cell>
          <cell r="O135">
            <v>2</v>
          </cell>
          <cell r="P135">
            <v>3</v>
          </cell>
          <cell r="Q135">
            <v>2</v>
          </cell>
          <cell r="Y135">
            <v>59.88</v>
          </cell>
          <cell r="Z135">
            <v>12</v>
          </cell>
          <cell r="AA135">
            <v>0</v>
          </cell>
          <cell r="AB135">
            <v>71.88</v>
          </cell>
          <cell r="AC135">
            <v>12</v>
          </cell>
          <cell r="AD135">
            <v>71.88</v>
          </cell>
          <cell r="AE135">
            <v>0</v>
          </cell>
          <cell r="AF135">
            <v>-0.81681639790000005</v>
          </cell>
        </row>
        <row r="136">
          <cell r="B136" t="str">
            <v>IN-KE-A00M405</v>
          </cell>
          <cell r="C136" t="str">
            <v>IN-A00M405</v>
          </cell>
          <cell r="D136" t="str">
            <v>IN-KE</v>
          </cell>
          <cell r="E136" t="str">
            <v>OTR-IN-KE</v>
          </cell>
          <cell r="F136" t="str">
            <v>OTR-KE</v>
          </cell>
          <cell r="G136" t="str">
            <v>A00M405</v>
          </cell>
          <cell r="H136" t="str">
            <v>OTR</v>
          </cell>
          <cell r="I136">
            <v>2001</v>
          </cell>
          <cell r="J136" t="str">
            <v>R</v>
          </cell>
          <cell r="K136" t="str">
            <v>IN</v>
          </cell>
          <cell r="L136" t="str">
            <v>KE</v>
          </cell>
          <cell r="Y136">
            <v>0</v>
          </cell>
          <cell r="Z136">
            <v>0</v>
          </cell>
          <cell r="AA136">
            <v>0</v>
          </cell>
          <cell r="AB136">
            <v>0</v>
          </cell>
          <cell r="AC136">
            <v>0</v>
          </cell>
          <cell r="AD136">
            <v>0</v>
          </cell>
          <cell r="AE136">
            <v>0</v>
          </cell>
          <cell r="AF136">
            <v>0</v>
          </cell>
        </row>
        <row r="137">
          <cell r="B137" t="str">
            <v>IN-KN-A00M405</v>
          </cell>
          <cell r="C137" t="str">
            <v>IN-A00M405</v>
          </cell>
          <cell r="D137" t="str">
            <v>IN-KN</v>
          </cell>
          <cell r="E137" t="str">
            <v>OTR-IN-KN</v>
          </cell>
          <cell r="F137" t="str">
            <v>OTR-KN</v>
          </cell>
          <cell r="G137" t="str">
            <v>A00M405</v>
          </cell>
          <cell r="H137" t="str">
            <v>OTR</v>
          </cell>
          <cell r="I137">
            <v>2001</v>
          </cell>
          <cell r="J137" t="str">
            <v>R</v>
          </cell>
          <cell r="K137" t="str">
            <v>IN</v>
          </cell>
          <cell r="L137" t="str">
            <v>KN</v>
          </cell>
          <cell r="N137">
            <v>2</v>
          </cell>
          <cell r="O137">
            <v>2</v>
          </cell>
          <cell r="P137">
            <v>1</v>
          </cell>
          <cell r="Q137">
            <v>1</v>
          </cell>
          <cell r="Y137">
            <v>51.54</v>
          </cell>
          <cell r="Z137">
            <v>6</v>
          </cell>
          <cell r="AA137">
            <v>0</v>
          </cell>
          <cell r="AB137">
            <v>57.54</v>
          </cell>
          <cell r="AC137">
            <v>6</v>
          </cell>
          <cell r="AD137">
            <v>57.54</v>
          </cell>
          <cell r="AE137">
            <v>0</v>
          </cell>
          <cell r="AF137">
            <v>-0.40371197919999996</v>
          </cell>
        </row>
        <row r="138">
          <cell r="B138" t="str">
            <v>AD-KE-A00M406</v>
          </cell>
          <cell r="C138" t="str">
            <v>AD-A00M406</v>
          </cell>
          <cell r="D138" t="str">
            <v>AD-KE</v>
          </cell>
          <cell r="E138" t="str">
            <v>OTR-AD-KE</v>
          </cell>
          <cell r="F138" t="str">
            <v>OTR-KE</v>
          </cell>
          <cell r="G138" t="str">
            <v>A00M406</v>
          </cell>
          <cell r="H138" t="str">
            <v>OTR</v>
          </cell>
          <cell r="I138">
            <v>2001</v>
          </cell>
          <cell r="J138" t="str">
            <v>R</v>
          </cell>
          <cell r="K138" t="str">
            <v>AD</v>
          </cell>
          <cell r="L138" t="str">
            <v>KE</v>
          </cell>
          <cell r="Y138">
            <v>0</v>
          </cell>
          <cell r="Z138">
            <v>0</v>
          </cell>
          <cell r="AA138">
            <v>0</v>
          </cell>
          <cell r="AB138">
            <v>0</v>
          </cell>
          <cell r="AC138">
            <v>0</v>
          </cell>
          <cell r="AD138">
            <v>0</v>
          </cell>
          <cell r="AE138">
            <v>0</v>
          </cell>
          <cell r="AF138">
            <v>0</v>
          </cell>
        </row>
        <row r="139">
          <cell r="B139" t="str">
            <v>AD-KN-A00M406</v>
          </cell>
          <cell r="C139" t="str">
            <v>AD-A00M406</v>
          </cell>
          <cell r="D139" t="str">
            <v>AD-KN</v>
          </cell>
          <cell r="E139" t="str">
            <v>OTR-AD-KN</v>
          </cell>
          <cell r="F139" t="str">
            <v>OTR-KN</v>
          </cell>
          <cell r="G139" t="str">
            <v>A00M406</v>
          </cell>
          <cell r="H139" t="str">
            <v>OTR</v>
          </cell>
          <cell r="I139">
            <v>2001</v>
          </cell>
          <cell r="J139" t="str">
            <v>R</v>
          </cell>
          <cell r="K139" t="str">
            <v>AD</v>
          </cell>
          <cell r="L139" t="str">
            <v>KN</v>
          </cell>
          <cell r="Y139">
            <v>11.31</v>
          </cell>
          <cell r="Z139">
            <v>0</v>
          </cell>
          <cell r="AA139">
            <v>0</v>
          </cell>
          <cell r="AB139">
            <v>11.31</v>
          </cell>
          <cell r="AC139">
            <v>0</v>
          </cell>
          <cell r="AD139">
            <v>11.31</v>
          </cell>
          <cell r="AE139">
            <v>0</v>
          </cell>
          <cell r="AF139">
            <v>0</v>
          </cell>
        </row>
        <row r="140">
          <cell r="B140" t="str">
            <v>CO-KE-A00M406</v>
          </cell>
          <cell r="C140" t="str">
            <v>CO-A00M406</v>
          </cell>
          <cell r="D140" t="str">
            <v>CO-KE</v>
          </cell>
          <cell r="E140" t="str">
            <v>OTR-CO-KE</v>
          </cell>
          <cell r="F140" t="str">
            <v>OTR-KE</v>
          </cell>
          <cell r="G140" t="str">
            <v>A00M406</v>
          </cell>
          <cell r="H140" t="str">
            <v>OTR</v>
          </cell>
          <cell r="I140">
            <v>2001</v>
          </cell>
          <cell r="J140" t="str">
            <v>R</v>
          </cell>
          <cell r="K140" t="str">
            <v>CO</v>
          </cell>
          <cell r="L140" t="str">
            <v>KE</v>
          </cell>
          <cell r="Y140">
            <v>0</v>
          </cell>
          <cell r="Z140">
            <v>0</v>
          </cell>
          <cell r="AA140">
            <v>0</v>
          </cell>
          <cell r="AB140">
            <v>0</v>
          </cell>
          <cell r="AC140">
            <v>0</v>
          </cell>
          <cell r="AD140">
            <v>0</v>
          </cell>
          <cell r="AE140">
            <v>0</v>
          </cell>
          <cell r="AF140">
            <v>0</v>
          </cell>
        </row>
        <row r="141">
          <cell r="B141" t="str">
            <v>CO-KN-A00M406</v>
          </cell>
          <cell r="C141" t="str">
            <v>CO-A00M406</v>
          </cell>
          <cell r="D141" t="str">
            <v>CO-KN</v>
          </cell>
          <cell r="E141" t="str">
            <v>OTR-CO-KN</v>
          </cell>
          <cell r="F141" t="str">
            <v>OTR-KN</v>
          </cell>
          <cell r="G141" t="str">
            <v>A00M406</v>
          </cell>
          <cell r="H141" t="str">
            <v>OTR</v>
          </cell>
          <cell r="I141">
            <v>2001</v>
          </cell>
          <cell r="J141" t="str">
            <v>R</v>
          </cell>
          <cell r="K141" t="str">
            <v>CO</v>
          </cell>
          <cell r="L141" t="str">
            <v>KN</v>
          </cell>
          <cell r="Y141">
            <v>0</v>
          </cell>
          <cell r="Z141">
            <v>0</v>
          </cell>
          <cell r="AA141">
            <v>0</v>
          </cell>
          <cell r="AB141">
            <v>0</v>
          </cell>
          <cell r="AC141">
            <v>0</v>
          </cell>
          <cell r="AD141">
            <v>0</v>
          </cell>
          <cell r="AE141">
            <v>0</v>
          </cell>
          <cell r="AF141">
            <v>0</v>
          </cell>
        </row>
        <row r="142">
          <cell r="B142" t="str">
            <v>IN-KE-A00M406</v>
          </cell>
          <cell r="C142" t="str">
            <v>IN-A00M406</v>
          </cell>
          <cell r="D142" t="str">
            <v>IN-KE</v>
          </cell>
          <cell r="E142" t="str">
            <v>OTR-IN-KE</v>
          </cell>
          <cell r="F142" t="str">
            <v>OTR-KE</v>
          </cell>
          <cell r="G142" t="str">
            <v>A00M406</v>
          </cell>
          <cell r="H142" t="str">
            <v>OTR</v>
          </cell>
          <cell r="I142">
            <v>2001</v>
          </cell>
          <cell r="J142" t="str">
            <v>R</v>
          </cell>
          <cell r="K142" t="str">
            <v>IN</v>
          </cell>
          <cell r="L142" t="str">
            <v>KE</v>
          </cell>
          <cell r="Y142">
            <v>0</v>
          </cell>
          <cell r="Z142">
            <v>0</v>
          </cell>
          <cell r="AA142">
            <v>0</v>
          </cell>
          <cell r="AB142">
            <v>0</v>
          </cell>
          <cell r="AC142">
            <v>0</v>
          </cell>
          <cell r="AD142">
            <v>0</v>
          </cell>
          <cell r="AE142">
            <v>0</v>
          </cell>
          <cell r="AF142">
            <v>0</v>
          </cell>
        </row>
        <row r="143">
          <cell r="B143" t="str">
            <v>IN-KN-A00M406</v>
          </cell>
          <cell r="C143" t="str">
            <v>IN-A00M406</v>
          </cell>
          <cell r="D143" t="str">
            <v>IN-KN</v>
          </cell>
          <cell r="E143" t="str">
            <v>OTR-IN-KN</v>
          </cell>
          <cell r="F143" t="str">
            <v>OTR-KN</v>
          </cell>
          <cell r="G143" t="str">
            <v>A00M406</v>
          </cell>
          <cell r="H143" t="str">
            <v>OTR</v>
          </cell>
          <cell r="I143">
            <v>2001</v>
          </cell>
          <cell r="J143" t="str">
            <v>R</v>
          </cell>
          <cell r="K143" t="str">
            <v>IN</v>
          </cell>
          <cell r="L143" t="str">
            <v>KN</v>
          </cell>
          <cell r="M143">
            <v>0.4</v>
          </cell>
          <cell r="N143">
            <v>0.4</v>
          </cell>
          <cell r="P143">
            <v>10.9</v>
          </cell>
          <cell r="Q143">
            <v>6.3</v>
          </cell>
          <cell r="Y143">
            <v>19.760000000000002</v>
          </cell>
          <cell r="Z143">
            <v>18</v>
          </cell>
          <cell r="AA143">
            <v>0</v>
          </cell>
          <cell r="AB143">
            <v>37.760000000000005</v>
          </cell>
          <cell r="AC143">
            <v>18</v>
          </cell>
          <cell r="AD143">
            <v>37.760000000000005</v>
          </cell>
          <cell r="AE143">
            <v>0</v>
          </cell>
          <cell r="AF143">
            <v>-1.6115236335000001</v>
          </cell>
        </row>
        <row r="144">
          <cell r="B144" t="str">
            <v>AD-KE-A00M101</v>
          </cell>
          <cell r="C144" t="str">
            <v>AD-A00M101</v>
          </cell>
          <cell r="D144" t="str">
            <v>AD-KE</v>
          </cell>
          <cell r="E144" t="str">
            <v>DIV-AD-KE</v>
          </cell>
          <cell r="F144" t="str">
            <v>DIV-KE</v>
          </cell>
          <cell r="G144" t="str">
            <v>A00M101</v>
          </cell>
          <cell r="H144" t="str">
            <v>DIV</v>
          </cell>
          <cell r="I144">
            <v>2000</v>
          </cell>
          <cell r="J144" t="str">
            <v>R</v>
          </cell>
          <cell r="K144" t="str">
            <v>AD</v>
          </cell>
          <cell r="L144" t="str">
            <v>KE</v>
          </cell>
          <cell r="Y144">
            <v>0</v>
          </cell>
          <cell r="Z144">
            <v>0</v>
          </cell>
          <cell r="AA144">
            <v>0</v>
          </cell>
          <cell r="AB144">
            <v>0</v>
          </cell>
          <cell r="AC144">
            <v>0</v>
          </cell>
          <cell r="AD144">
            <v>0</v>
          </cell>
          <cell r="AE144">
            <v>0</v>
          </cell>
          <cell r="AF144">
            <v>0</v>
          </cell>
        </row>
        <row r="145">
          <cell r="B145" t="str">
            <v>AD-KN-A00M101</v>
          </cell>
          <cell r="C145" t="str">
            <v>AD-A00M101</v>
          </cell>
          <cell r="D145" t="str">
            <v>AD-KN</v>
          </cell>
          <cell r="E145" t="str">
            <v>DIV-AD-KN</v>
          </cell>
          <cell r="F145" t="str">
            <v>DIV-KN</v>
          </cell>
          <cell r="G145" t="str">
            <v>A00M101</v>
          </cell>
          <cell r="H145" t="str">
            <v>DIV</v>
          </cell>
          <cell r="I145">
            <v>2000</v>
          </cell>
          <cell r="J145" t="str">
            <v>R</v>
          </cell>
          <cell r="K145" t="str">
            <v>AD</v>
          </cell>
          <cell r="L145" t="str">
            <v>KN</v>
          </cell>
          <cell r="Y145">
            <v>0</v>
          </cell>
          <cell r="Z145">
            <v>0</v>
          </cell>
          <cell r="AA145">
            <v>0</v>
          </cell>
          <cell r="AB145">
            <v>0</v>
          </cell>
          <cell r="AC145">
            <v>0</v>
          </cell>
          <cell r="AD145">
            <v>0</v>
          </cell>
          <cell r="AE145">
            <v>0</v>
          </cell>
          <cell r="AF145">
            <v>0</v>
          </cell>
        </row>
        <row r="146">
          <cell r="B146" t="str">
            <v>CO-KE-A00M101</v>
          </cell>
          <cell r="C146" t="str">
            <v>CO-A00M101</v>
          </cell>
          <cell r="D146" t="str">
            <v>CO-KE</v>
          </cell>
          <cell r="E146" t="str">
            <v>DIV-CO-KE</v>
          </cell>
          <cell r="F146" t="str">
            <v>DIV-KE</v>
          </cell>
          <cell r="G146" t="str">
            <v>A00M101</v>
          </cell>
          <cell r="H146" t="str">
            <v>DIV</v>
          </cell>
          <cell r="I146">
            <v>2000</v>
          </cell>
          <cell r="J146" t="str">
            <v>R</v>
          </cell>
          <cell r="K146" t="str">
            <v>CO</v>
          </cell>
          <cell r="L146" t="str">
            <v>KE</v>
          </cell>
          <cell r="Y146">
            <v>0</v>
          </cell>
          <cell r="Z146">
            <v>0</v>
          </cell>
          <cell r="AA146">
            <v>0</v>
          </cell>
          <cell r="AB146">
            <v>0</v>
          </cell>
          <cell r="AC146">
            <v>0</v>
          </cell>
          <cell r="AD146">
            <v>0</v>
          </cell>
          <cell r="AE146">
            <v>0</v>
          </cell>
          <cell r="AF146">
            <v>0</v>
          </cell>
        </row>
        <row r="147">
          <cell r="B147" t="str">
            <v>CO-KN-A00M101</v>
          </cell>
          <cell r="C147" t="str">
            <v>CO-A00M101</v>
          </cell>
          <cell r="D147" t="str">
            <v>CO-KN</v>
          </cell>
          <cell r="E147" t="str">
            <v>DIV-CO-KN</v>
          </cell>
          <cell r="F147" t="str">
            <v>DIV-KN</v>
          </cell>
          <cell r="G147" t="str">
            <v>A00M101</v>
          </cell>
          <cell r="H147" t="str">
            <v>DIV</v>
          </cell>
          <cell r="I147">
            <v>2000</v>
          </cell>
          <cell r="J147" t="str">
            <v>R</v>
          </cell>
          <cell r="K147" t="str">
            <v>CO</v>
          </cell>
          <cell r="L147" t="str">
            <v>KN</v>
          </cell>
          <cell r="Y147">
            <v>0</v>
          </cell>
          <cell r="Z147">
            <v>0</v>
          </cell>
          <cell r="AA147">
            <v>0</v>
          </cell>
          <cell r="AB147">
            <v>0</v>
          </cell>
          <cell r="AC147">
            <v>0</v>
          </cell>
          <cell r="AD147">
            <v>0</v>
          </cell>
          <cell r="AE147">
            <v>0</v>
          </cell>
          <cell r="AF147">
            <v>0</v>
          </cell>
        </row>
        <row r="148">
          <cell r="B148" t="str">
            <v>IN-KE-A00M101</v>
          </cell>
          <cell r="C148" t="str">
            <v>IN-A00M101</v>
          </cell>
          <cell r="D148" t="str">
            <v>IN-KE</v>
          </cell>
          <cell r="E148" t="str">
            <v>DIV-IN-KE</v>
          </cell>
          <cell r="F148" t="str">
            <v>DIV-KE</v>
          </cell>
          <cell r="G148" t="str">
            <v>A00M101</v>
          </cell>
          <cell r="H148" t="str">
            <v>DIV</v>
          </cell>
          <cell r="I148">
            <v>2000</v>
          </cell>
          <cell r="J148" t="str">
            <v>R</v>
          </cell>
          <cell r="K148" t="str">
            <v>IN</v>
          </cell>
          <cell r="L148" t="str">
            <v>KE</v>
          </cell>
          <cell r="Y148">
            <v>0</v>
          </cell>
          <cell r="Z148">
            <v>0</v>
          </cell>
          <cell r="AA148">
            <v>0</v>
          </cell>
          <cell r="AB148">
            <v>0</v>
          </cell>
          <cell r="AC148">
            <v>0</v>
          </cell>
          <cell r="AD148">
            <v>0</v>
          </cell>
          <cell r="AE148">
            <v>0</v>
          </cell>
          <cell r="AF148">
            <v>0</v>
          </cell>
        </row>
        <row r="149">
          <cell r="B149" t="str">
            <v>IN-KN-A00M101</v>
          </cell>
          <cell r="C149" t="str">
            <v>IN-A00M101</v>
          </cell>
          <cell r="D149" t="str">
            <v>IN-KN</v>
          </cell>
          <cell r="E149" t="str">
            <v>DIV-IN-KN</v>
          </cell>
          <cell r="F149" t="str">
            <v>DIV-KN</v>
          </cell>
          <cell r="G149" t="str">
            <v>A00M101</v>
          </cell>
          <cell r="H149" t="str">
            <v>DIV</v>
          </cell>
          <cell r="I149">
            <v>2000</v>
          </cell>
          <cell r="J149" t="str">
            <v>R</v>
          </cell>
          <cell r="K149" t="str">
            <v>IN</v>
          </cell>
          <cell r="L149" t="str">
            <v>KN</v>
          </cell>
          <cell r="Y149">
            <v>0</v>
          </cell>
          <cell r="Z149">
            <v>0</v>
          </cell>
          <cell r="AA149">
            <v>0</v>
          </cell>
          <cell r="AB149">
            <v>0</v>
          </cell>
          <cell r="AC149">
            <v>0</v>
          </cell>
          <cell r="AD149">
            <v>0</v>
          </cell>
          <cell r="AE149">
            <v>0</v>
          </cell>
          <cell r="AF149">
            <v>0</v>
          </cell>
        </row>
        <row r="150">
          <cell r="B150" t="str">
            <v>AD-KE-A00M102</v>
          </cell>
          <cell r="C150" t="str">
            <v>AD-A00M102</v>
          </cell>
          <cell r="D150" t="str">
            <v>AD-KE</v>
          </cell>
          <cell r="E150" t="str">
            <v>DIV-AD-KE</v>
          </cell>
          <cell r="F150" t="str">
            <v>DIV-KE</v>
          </cell>
          <cell r="G150" t="str">
            <v>A00M102</v>
          </cell>
          <cell r="H150" t="str">
            <v>DIV</v>
          </cell>
          <cell r="I150">
            <v>2001</v>
          </cell>
          <cell r="J150" t="str">
            <v>R</v>
          </cell>
          <cell r="K150" t="str">
            <v>AD</v>
          </cell>
          <cell r="L150" t="str">
            <v>KE</v>
          </cell>
          <cell r="Y150">
            <v>0</v>
          </cell>
          <cell r="Z150">
            <v>0</v>
          </cell>
          <cell r="AA150">
            <v>0</v>
          </cell>
          <cell r="AB150">
            <v>0</v>
          </cell>
          <cell r="AC150">
            <v>0</v>
          </cell>
          <cell r="AD150">
            <v>0</v>
          </cell>
          <cell r="AE150">
            <v>0</v>
          </cell>
          <cell r="AF150">
            <v>0</v>
          </cell>
        </row>
        <row r="151">
          <cell r="B151" t="str">
            <v>AD-KN-A00M102</v>
          </cell>
          <cell r="C151" t="str">
            <v>AD-A00M102</v>
          </cell>
          <cell r="D151" t="str">
            <v>AD-KN</v>
          </cell>
          <cell r="E151" t="str">
            <v>DIV-AD-KN</v>
          </cell>
          <cell r="F151" t="str">
            <v>DIV-KN</v>
          </cell>
          <cell r="G151" t="str">
            <v>A00M102</v>
          </cell>
          <cell r="H151" t="str">
            <v>DIV</v>
          </cell>
          <cell r="I151">
            <v>2001</v>
          </cell>
          <cell r="J151" t="str">
            <v>R</v>
          </cell>
          <cell r="K151" t="str">
            <v>AD</v>
          </cell>
          <cell r="L151" t="str">
            <v>KN</v>
          </cell>
          <cell r="Y151">
            <v>0</v>
          </cell>
          <cell r="Z151">
            <v>0</v>
          </cell>
          <cell r="AA151">
            <v>0</v>
          </cell>
          <cell r="AB151">
            <v>0</v>
          </cell>
          <cell r="AC151">
            <v>0</v>
          </cell>
          <cell r="AD151">
            <v>0</v>
          </cell>
          <cell r="AE151">
            <v>0</v>
          </cell>
          <cell r="AF151">
            <v>0</v>
          </cell>
        </row>
        <row r="152">
          <cell r="B152" t="str">
            <v>CO-KE-A00M102</v>
          </cell>
          <cell r="C152" t="str">
            <v>CO-A00M102</v>
          </cell>
          <cell r="D152" t="str">
            <v>CO-KE</v>
          </cell>
          <cell r="E152" t="str">
            <v>DIV-CO-KE</v>
          </cell>
          <cell r="F152" t="str">
            <v>DIV-KE</v>
          </cell>
          <cell r="G152" t="str">
            <v>A00M102</v>
          </cell>
          <cell r="H152" t="str">
            <v>DIV</v>
          </cell>
          <cell r="I152">
            <v>2001</v>
          </cell>
          <cell r="J152" t="str">
            <v>R</v>
          </cell>
          <cell r="K152" t="str">
            <v>CO</v>
          </cell>
          <cell r="L152" t="str">
            <v>KE</v>
          </cell>
          <cell r="Y152">
            <v>0</v>
          </cell>
          <cell r="Z152">
            <v>0</v>
          </cell>
          <cell r="AA152">
            <v>0</v>
          </cell>
          <cell r="AB152">
            <v>0</v>
          </cell>
          <cell r="AC152">
            <v>0</v>
          </cell>
          <cell r="AD152">
            <v>0</v>
          </cell>
          <cell r="AE152">
            <v>0</v>
          </cell>
          <cell r="AF152">
            <v>0</v>
          </cell>
        </row>
        <row r="153">
          <cell r="B153" t="str">
            <v>CO-KN-A00M102</v>
          </cell>
          <cell r="C153" t="str">
            <v>CO-A00M102</v>
          </cell>
          <cell r="D153" t="str">
            <v>CO-KN</v>
          </cell>
          <cell r="E153" t="str">
            <v>DIV-CO-KN</v>
          </cell>
          <cell r="F153" t="str">
            <v>DIV-KN</v>
          </cell>
          <cell r="G153" t="str">
            <v>A00M102</v>
          </cell>
          <cell r="H153" t="str">
            <v>DIV</v>
          </cell>
          <cell r="I153">
            <v>2001</v>
          </cell>
          <cell r="J153" t="str">
            <v>R</v>
          </cell>
          <cell r="K153" t="str">
            <v>CO</v>
          </cell>
          <cell r="L153" t="str">
            <v>KN</v>
          </cell>
          <cell r="Y153">
            <v>0</v>
          </cell>
          <cell r="Z153">
            <v>0</v>
          </cell>
          <cell r="AA153">
            <v>0</v>
          </cell>
          <cell r="AB153">
            <v>0</v>
          </cell>
          <cell r="AC153">
            <v>0</v>
          </cell>
          <cell r="AD153">
            <v>0</v>
          </cell>
          <cell r="AE153">
            <v>0</v>
          </cell>
          <cell r="AF153">
            <v>0</v>
          </cell>
        </row>
        <row r="154">
          <cell r="B154" t="str">
            <v>IN-KE-A00M102</v>
          </cell>
          <cell r="C154" t="str">
            <v>IN-A00M102</v>
          </cell>
          <cell r="D154" t="str">
            <v>IN-KE</v>
          </cell>
          <cell r="E154" t="str">
            <v>DIV-IN-KE</v>
          </cell>
          <cell r="F154" t="str">
            <v>DIV-KE</v>
          </cell>
          <cell r="G154" t="str">
            <v>A00M102</v>
          </cell>
          <cell r="H154" t="str">
            <v>DIV</v>
          </cell>
          <cell r="I154">
            <v>2001</v>
          </cell>
          <cell r="J154" t="str">
            <v>R</v>
          </cell>
          <cell r="K154" t="str">
            <v>IN</v>
          </cell>
          <cell r="L154" t="str">
            <v>KE</v>
          </cell>
          <cell r="Y154">
            <v>0</v>
          </cell>
          <cell r="Z154">
            <v>0</v>
          </cell>
          <cell r="AA154">
            <v>0</v>
          </cell>
          <cell r="AB154">
            <v>0</v>
          </cell>
          <cell r="AC154">
            <v>0</v>
          </cell>
          <cell r="AD154">
            <v>0</v>
          </cell>
          <cell r="AE154">
            <v>0</v>
          </cell>
          <cell r="AF154">
            <v>0</v>
          </cell>
        </row>
        <row r="155">
          <cell r="B155" t="str">
            <v>IN-KN-A00M102</v>
          </cell>
          <cell r="C155" t="str">
            <v>IN-A00M102</v>
          </cell>
          <cell r="D155" t="str">
            <v>IN-KN</v>
          </cell>
          <cell r="E155" t="str">
            <v>DIV-IN-KN</v>
          </cell>
          <cell r="F155" t="str">
            <v>DIV-KN</v>
          </cell>
          <cell r="G155" t="str">
            <v>A00M102</v>
          </cell>
          <cell r="H155" t="str">
            <v>DIV</v>
          </cell>
          <cell r="I155">
            <v>2001</v>
          </cell>
          <cell r="J155" t="str">
            <v>R</v>
          </cell>
          <cell r="K155" t="str">
            <v>IN</v>
          </cell>
          <cell r="L155" t="str">
            <v>KN</v>
          </cell>
          <cell r="N155">
            <v>3</v>
          </cell>
          <cell r="O155">
            <v>7</v>
          </cell>
          <cell r="P155">
            <v>6</v>
          </cell>
          <cell r="Q155">
            <v>30</v>
          </cell>
          <cell r="Y155">
            <v>26.4</v>
          </cell>
          <cell r="Z155">
            <v>46</v>
          </cell>
          <cell r="AA155">
            <v>0</v>
          </cell>
          <cell r="AB155">
            <v>72.400000000000006</v>
          </cell>
          <cell r="AC155">
            <v>46</v>
          </cell>
          <cell r="AD155">
            <v>72.400000000000006</v>
          </cell>
          <cell r="AE155">
            <v>0</v>
          </cell>
          <cell r="AF155">
            <v>-4.0305176789999999</v>
          </cell>
        </row>
        <row r="156">
          <cell r="B156" t="str">
            <v>AD-KE-A00M103</v>
          </cell>
          <cell r="C156" t="str">
            <v>AD-A00M103</v>
          </cell>
          <cell r="D156" t="str">
            <v>AD-KE</v>
          </cell>
          <cell r="E156" t="str">
            <v>DIV-AD-KE</v>
          </cell>
          <cell r="F156" t="str">
            <v>DIV-KE</v>
          </cell>
          <cell r="G156" t="str">
            <v>A00M103</v>
          </cell>
          <cell r="H156" t="str">
            <v>DIV</v>
          </cell>
          <cell r="I156">
            <v>2001</v>
          </cell>
          <cell r="J156" t="str">
            <v>R</v>
          </cell>
          <cell r="K156" t="str">
            <v>AD</v>
          </cell>
          <cell r="L156" t="str">
            <v>KE</v>
          </cell>
          <cell r="Y156">
            <v>0</v>
          </cell>
          <cell r="Z156">
            <v>0</v>
          </cell>
          <cell r="AA156">
            <v>0</v>
          </cell>
          <cell r="AB156">
            <v>0</v>
          </cell>
          <cell r="AC156">
            <v>0</v>
          </cell>
          <cell r="AD156">
            <v>0</v>
          </cell>
          <cell r="AE156">
            <v>0</v>
          </cell>
          <cell r="AF156">
            <v>0</v>
          </cell>
        </row>
        <row r="157">
          <cell r="B157" t="str">
            <v>AD-KN-A00M103</v>
          </cell>
          <cell r="C157" t="str">
            <v>AD-A00M103</v>
          </cell>
          <cell r="D157" t="str">
            <v>AD-KN</v>
          </cell>
          <cell r="E157" t="str">
            <v>DIV-AD-KN</v>
          </cell>
          <cell r="F157" t="str">
            <v>DIV-KN</v>
          </cell>
          <cell r="G157" t="str">
            <v>A00M103</v>
          </cell>
          <cell r="H157" t="str">
            <v>DIV</v>
          </cell>
          <cell r="I157">
            <v>2001</v>
          </cell>
          <cell r="J157" t="str">
            <v>R</v>
          </cell>
          <cell r="K157" t="str">
            <v>AD</v>
          </cell>
          <cell r="L157" t="str">
            <v>KN</v>
          </cell>
          <cell r="Y157">
            <v>0</v>
          </cell>
          <cell r="Z157">
            <v>0</v>
          </cell>
          <cell r="AA157">
            <v>0</v>
          </cell>
          <cell r="AB157">
            <v>0</v>
          </cell>
          <cell r="AC157">
            <v>0</v>
          </cell>
          <cell r="AD157">
            <v>0</v>
          </cell>
          <cell r="AE157">
            <v>0</v>
          </cell>
          <cell r="AF157">
            <v>0</v>
          </cell>
        </row>
        <row r="158">
          <cell r="B158" t="str">
            <v>CO-KE-A00M103</v>
          </cell>
          <cell r="C158" t="str">
            <v>CO-A00M103</v>
          </cell>
          <cell r="D158" t="str">
            <v>CO-KE</v>
          </cell>
          <cell r="E158" t="str">
            <v>DIV-CO-KE</v>
          </cell>
          <cell r="F158" t="str">
            <v>DIV-KE</v>
          </cell>
          <cell r="G158" t="str">
            <v>A00M103</v>
          </cell>
          <cell r="H158" t="str">
            <v>DIV</v>
          </cell>
          <cell r="I158">
            <v>2001</v>
          </cell>
          <cell r="J158" t="str">
            <v>R</v>
          </cell>
          <cell r="K158" t="str">
            <v>CO</v>
          </cell>
          <cell r="L158" t="str">
            <v>KE</v>
          </cell>
          <cell r="Y158">
            <v>0</v>
          </cell>
          <cell r="Z158">
            <v>0</v>
          </cell>
          <cell r="AA158">
            <v>0</v>
          </cell>
          <cell r="AB158">
            <v>0</v>
          </cell>
          <cell r="AC158">
            <v>0</v>
          </cell>
          <cell r="AD158">
            <v>0</v>
          </cell>
          <cell r="AE158">
            <v>0</v>
          </cell>
          <cell r="AF158">
            <v>0</v>
          </cell>
        </row>
        <row r="159">
          <cell r="B159" t="str">
            <v>CO-KN-A00M103</v>
          </cell>
          <cell r="C159" t="str">
            <v>CO-A00M103</v>
          </cell>
          <cell r="D159" t="str">
            <v>CO-KN</v>
          </cell>
          <cell r="E159" t="str">
            <v>DIV-CO-KN</v>
          </cell>
          <cell r="F159" t="str">
            <v>DIV-KN</v>
          </cell>
          <cell r="G159" t="str">
            <v>A00M103</v>
          </cell>
          <cell r="H159" t="str">
            <v>DIV</v>
          </cell>
          <cell r="I159">
            <v>2001</v>
          </cell>
          <cell r="J159" t="str">
            <v>R</v>
          </cell>
          <cell r="K159" t="str">
            <v>CO</v>
          </cell>
          <cell r="L159" t="str">
            <v>KN</v>
          </cell>
          <cell r="Y159">
            <v>0</v>
          </cell>
          <cell r="Z159">
            <v>0</v>
          </cell>
          <cell r="AA159">
            <v>0</v>
          </cell>
          <cell r="AB159">
            <v>0</v>
          </cell>
          <cell r="AC159">
            <v>0</v>
          </cell>
          <cell r="AD159">
            <v>0</v>
          </cell>
          <cell r="AE159">
            <v>0</v>
          </cell>
          <cell r="AF159">
            <v>0</v>
          </cell>
        </row>
        <row r="160">
          <cell r="B160" t="str">
            <v>IN-KE-A00M103</v>
          </cell>
          <cell r="C160" t="str">
            <v>IN-A00M103</v>
          </cell>
          <cell r="D160" t="str">
            <v>IN-KE</v>
          </cell>
          <cell r="E160" t="str">
            <v>DIV-IN-KE</v>
          </cell>
          <cell r="F160" t="str">
            <v>DIV-KE</v>
          </cell>
          <cell r="G160" t="str">
            <v>A00M103</v>
          </cell>
          <cell r="H160" t="str">
            <v>DIV</v>
          </cell>
          <cell r="I160">
            <v>2001</v>
          </cell>
          <cell r="J160" t="str">
            <v>R</v>
          </cell>
          <cell r="K160" t="str">
            <v>IN</v>
          </cell>
          <cell r="L160" t="str">
            <v>KE</v>
          </cell>
          <cell r="Y160">
            <v>0</v>
          </cell>
          <cell r="Z160">
            <v>0</v>
          </cell>
          <cell r="AA160">
            <v>0</v>
          </cell>
          <cell r="AB160">
            <v>0</v>
          </cell>
          <cell r="AC160">
            <v>0</v>
          </cell>
          <cell r="AD160">
            <v>0</v>
          </cell>
          <cell r="AE160">
            <v>0</v>
          </cell>
          <cell r="AF160">
            <v>0</v>
          </cell>
        </row>
        <row r="161">
          <cell r="B161" t="str">
            <v>IN-KN-A00M103</v>
          </cell>
          <cell r="C161" t="str">
            <v>IN-A00M103</v>
          </cell>
          <cell r="D161" t="str">
            <v>IN-KN</v>
          </cell>
          <cell r="E161" t="str">
            <v>DIV-IN-KN</v>
          </cell>
          <cell r="F161" t="str">
            <v>DIV-KN</v>
          </cell>
          <cell r="G161" t="str">
            <v>A00M103</v>
          </cell>
          <cell r="H161" t="str">
            <v>DIV</v>
          </cell>
          <cell r="I161">
            <v>2001</v>
          </cell>
          <cell r="J161" t="str">
            <v>R</v>
          </cell>
          <cell r="K161" t="str">
            <v>IN</v>
          </cell>
          <cell r="L161" t="str">
            <v>KN</v>
          </cell>
          <cell r="N161">
            <v>3</v>
          </cell>
          <cell r="O161">
            <v>1</v>
          </cell>
          <cell r="Q161">
            <v>2</v>
          </cell>
          <cell r="Y161">
            <v>0</v>
          </cell>
          <cell r="Z161">
            <v>6</v>
          </cell>
          <cell r="AA161">
            <v>0</v>
          </cell>
          <cell r="AB161">
            <v>6</v>
          </cell>
          <cell r="AC161">
            <v>6</v>
          </cell>
          <cell r="AD161">
            <v>6</v>
          </cell>
          <cell r="AE161">
            <v>0</v>
          </cell>
          <cell r="AF161">
            <v>-0.36959032000000003</v>
          </cell>
        </row>
        <row r="162">
          <cell r="B162" t="str">
            <v>AD-KE-A00M301</v>
          </cell>
          <cell r="C162" t="str">
            <v>AD-A00M301</v>
          </cell>
          <cell r="D162" t="str">
            <v>AD-KE</v>
          </cell>
          <cell r="E162" t="str">
            <v>DIV-AD-KE</v>
          </cell>
          <cell r="F162" t="str">
            <v>DIV-KE</v>
          </cell>
          <cell r="G162" t="str">
            <v>A00M301</v>
          </cell>
          <cell r="H162" t="str">
            <v>DIV</v>
          </cell>
          <cell r="I162">
            <v>2001</v>
          </cell>
          <cell r="J162" t="str">
            <v>R</v>
          </cell>
          <cell r="K162" t="str">
            <v>AD</v>
          </cell>
          <cell r="L162" t="str">
            <v>KE</v>
          </cell>
          <cell r="Y162">
            <v>74.599999999999994</v>
          </cell>
          <cell r="Z162">
            <v>0</v>
          </cell>
          <cell r="AA162">
            <v>0</v>
          </cell>
          <cell r="AB162">
            <v>74.599999999999994</v>
          </cell>
          <cell r="AC162">
            <v>0</v>
          </cell>
          <cell r="AD162">
            <v>74.599999999999994</v>
          </cell>
          <cell r="AE162">
            <v>0</v>
          </cell>
          <cell r="AF162">
            <v>0</v>
          </cell>
        </row>
        <row r="163">
          <cell r="B163" t="str">
            <v>AD-KN-A00M301</v>
          </cell>
          <cell r="C163" t="str">
            <v>AD-A00M301</v>
          </cell>
          <cell r="D163" t="str">
            <v>AD-KN</v>
          </cell>
          <cell r="E163" t="str">
            <v>DIV-AD-KN</v>
          </cell>
          <cell r="F163" t="str">
            <v>DIV-KN</v>
          </cell>
          <cell r="G163" t="str">
            <v>A00M301</v>
          </cell>
          <cell r="H163" t="str">
            <v>DIV</v>
          </cell>
          <cell r="I163">
            <v>2001</v>
          </cell>
          <cell r="J163" t="str">
            <v>R</v>
          </cell>
          <cell r="K163" t="str">
            <v>AD</v>
          </cell>
          <cell r="L163" t="str">
            <v>KN</v>
          </cell>
          <cell r="Y163">
            <v>84.54</v>
          </cell>
          <cell r="Z163">
            <v>0</v>
          </cell>
          <cell r="AA163">
            <v>0</v>
          </cell>
          <cell r="AB163">
            <v>84.54</v>
          </cell>
          <cell r="AC163">
            <v>0</v>
          </cell>
          <cell r="AD163">
            <v>84.54</v>
          </cell>
          <cell r="AE163">
            <v>0</v>
          </cell>
          <cell r="AF163">
            <v>0</v>
          </cell>
        </row>
        <row r="164">
          <cell r="B164" t="str">
            <v>CO-KE-A00M301</v>
          </cell>
          <cell r="C164" t="str">
            <v>CO-A00M301</v>
          </cell>
          <cell r="D164" t="str">
            <v>CO-KE</v>
          </cell>
          <cell r="E164" t="str">
            <v>DIV-CO-KE</v>
          </cell>
          <cell r="F164" t="str">
            <v>DIV-KE</v>
          </cell>
          <cell r="G164" t="str">
            <v>A00M301</v>
          </cell>
          <cell r="H164" t="str">
            <v>DIV</v>
          </cell>
          <cell r="I164">
            <v>2001</v>
          </cell>
          <cell r="J164" t="str">
            <v>R</v>
          </cell>
          <cell r="K164" t="str">
            <v>CO</v>
          </cell>
          <cell r="L164" t="str">
            <v>KE</v>
          </cell>
          <cell r="Y164">
            <v>0</v>
          </cell>
          <cell r="Z164">
            <v>0</v>
          </cell>
          <cell r="AA164">
            <v>0</v>
          </cell>
          <cell r="AB164">
            <v>0</v>
          </cell>
          <cell r="AC164">
            <v>0</v>
          </cell>
          <cell r="AD164">
            <v>0</v>
          </cell>
          <cell r="AE164">
            <v>0</v>
          </cell>
          <cell r="AF164">
            <v>0</v>
          </cell>
        </row>
        <row r="165">
          <cell r="B165" t="str">
            <v>CO-KN-A00M301</v>
          </cell>
          <cell r="C165" t="str">
            <v>CO-A00M301</v>
          </cell>
          <cell r="D165" t="str">
            <v>CO-KN</v>
          </cell>
          <cell r="E165" t="str">
            <v>DIV-CO-KN</v>
          </cell>
          <cell r="F165" t="str">
            <v>DIV-KN</v>
          </cell>
          <cell r="G165" t="str">
            <v>A00M301</v>
          </cell>
          <cell r="H165" t="str">
            <v>DIV</v>
          </cell>
          <cell r="I165">
            <v>2001</v>
          </cell>
          <cell r="J165" t="str">
            <v>R</v>
          </cell>
          <cell r="K165" t="str">
            <v>CO</v>
          </cell>
          <cell r="L165" t="str">
            <v>KN</v>
          </cell>
          <cell r="N165">
            <v>1.8</v>
          </cell>
          <cell r="O165">
            <v>8.9</v>
          </cell>
          <cell r="Y165">
            <v>23.79</v>
          </cell>
          <cell r="Z165">
            <v>10.700000000000001</v>
          </cell>
          <cell r="AA165">
            <v>0</v>
          </cell>
          <cell r="AB165">
            <v>34.49</v>
          </cell>
          <cell r="AC165">
            <v>10.700000000000001</v>
          </cell>
          <cell r="AD165">
            <v>34.49</v>
          </cell>
          <cell r="AE165">
            <v>0</v>
          </cell>
          <cell r="AF165">
            <v>-0.72650998991999993</v>
          </cell>
        </row>
        <row r="166">
          <cell r="B166" t="str">
            <v>IN-KE-A00M301</v>
          </cell>
          <cell r="C166" t="str">
            <v>IN-A00M301</v>
          </cell>
          <cell r="D166" t="str">
            <v>IN-KE</v>
          </cell>
          <cell r="E166" t="str">
            <v>DIV-IN-KE</v>
          </cell>
          <cell r="F166" t="str">
            <v>DIV-KE</v>
          </cell>
          <cell r="G166" t="str">
            <v>A00M301</v>
          </cell>
          <cell r="H166" t="str">
            <v>DIV</v>
          </cell>
          <cell r="I166">
            <v>2001</v>
          </cell>
          <cell r="J166" t="str">
            <v>R</v>
          </cell>
          <cell r="K166" t="str">
            <v>IN</v>
          </cell>
          <cell r="L166" t="str">
            <v>KE</v>
          </cell>
          <cell r="Y166">
            <v>0</v>
          </cell>
          <cell r="Z166">
            <v>0</v>
          </cell>
          <cell r="AA166">
            <v>0</v>
          </cell>
          <cell r="AB166">
            <v>0</v>
          </cell>
          <cell r="AC166">
            <v>0</v>
          </cell>
          <cell r="AD166">
            <v>0</v>
          </cell>
          <cell r="AE166">
            <v>0</v>
          </cell>
          <cell r="AF166">
            <v>0</v>
          </cell>
        </row>
        <row r="167">
          <cell r="B167" t="str">
            <v>IN-KN-A00M301</v>
          </cell>
          <cell r="C167" t="str">
            <v>IN-A00M301</v>
          </cell>
          <cell r="D167" t="str">
            <v>IN-KN</v>
          </cell>
          <cell r="E167" t="str">
            <v>DIV-IN-KN</v>
          </cell>
          <cell r="F167" t="str">
            <v>DIV-KN</v>
          </cell>
          <cell r="G167" t="str">
            <v>A00M301</v>
          </cell>
          <cell r="H167" t="str">
            <v>DIV</v>
          </cell>
          <cell r="I167">
            <v>2001</v>
          </cell>
          <cell r="J167" t="str">
            <v>R</v>
          </cell>
          <cell r="K167" t="str">
            <v>IN</v>
          </cell>
          <cell r="L167" t="str">
            <v>KN</v>
          </cell>
          <cell r="N167">
            <v>0.5</v>
          </cell>
          <cell r="O167">
            <v>3.5</v>
          </cell>
          <cell r="Y167">
            <v>6.76</v>
          </cell>
          <cell r="Z167">
            <v>4</v>
          </cell>
          <cell r="AA167">
            <v>0</v>
          </cell>
          <cell r="AB167">
            <v>10.76</v>
          </cell>
          <cell r="AC167">
            <v>4</v>
          </cell>
          <cell r="AD167">
            <v>10.76</v>
          </cell>
          <cell r="AE167">
            <v>0</v>
          </cell>
          <cell r="AF167">
            <v>-0.2785086189</v>
          </cell>
        </row>
        <row r="168">
          <cell r="B168" t="str">
            <v>AD-KE-A00M302</v>
          </cell>
          <cell r="C168" t="str">
            <v>AD-A00M302</v>
          </cell>
          <cell r="D168" t="str">
            <v>AD-KE</v>
          </cell>
          <cell r="E168" t="str">
            <v>DIV-AD-KE</v>
          </cell>
          <cell r="F168" t="str">
            <v>DIV-KE</v>
          </cell>
          <cell r="G168" t="str">
            <v>A00M302</v>
          </cell>
          <cell r="H168" t="str">
            <v>DIV</v>
          </cell>
          <cell r="I168">
            <v>2001</v>
          </cell>
          <cell r="J168" t="str">
            <v>R</v>
          </cell>
          <cell r="K168" t="str">
            <v>AD</v>
          </cell>
          <cell r="L168" t="str">
            <v>KE</v>
          </cell>
          <cell r="Y168">
            <v>0</v>
          </cell>
          <cell r="Z168">
            <v>0</v>
          </cell>
          <cell r="AA168">
            <v>0</v>
          </cell>
          <cell r="AB168">
            <v>0</v>
          </cell>
          <cell r="AC168">
            <v>0</v>
          </cell>
          <cell r="AD168">
            <v>0</v>
          </cell>
          <cell r="AE168">
            <v>0</v>
          </cell>
          <cell r="AF168">
            <v>0</v>
          </cell>
        </row>
        <row r="169">
          <cell r="B169" t="str">
            <v>AD-KN-A00M302</v>
          </cell>
          <cell r="C169" t="str">
            <v>AD-A00M302</v>
          </cell>
          <cell r="D169" t="str">
            <v>AD-KN</v>
          </cell>
          <cell r="E169" t="str">
            <v>DIV-AD-KN</v>
          </cell>
          <cell r="F169" t="str">
            <v>DIV-KN</v>
          </cell>
          <cell r="G169" t="str">
            <v>A00M302</v>
          </cell>
          <cell r="H169" t="str">
            <v>DIV</v>
          </cell>
          <cell r="I169">
            <v>2001</v>
          </cell>
          <cell r="J169" t="str">
            <v>R</v>
          </cell>
          <cell r="K169" t="str">
            <v>AD</v>
          </cell>
          <cell r="L169" t="str">
            <v>KN</v>
          </cell>
          <cell r="O169">
            <v>18.399999999999999</v>
          </cell>
          <cell r="P169">
            <v>-8</v>
          </cell>
          <cell r="Q169">
            <v>0.1</v>
          </cell>
          <cell r="Y169">
            <v>44.2</v>
          </cell>
          <cell r="Z169">
            <v>10.499999999999998</v>
          </cell>
          <cell r="AA169">
            <v>0</v>
          </cell>
          <cell r="AB169">
            <v>54.7</v>
          </cell>
          <cell r="AC169">
            <v>10.499999999999998</v>
          </cell>
          <cell r="AD169">
            <v>54.7</v>
          </cell>
          <cell r="AE169">
            <v>0</v>
          </cell>
          <cell r="AF169">
            <v>-0.66539417376999987</v>
          </cell>
        </row>
        <row r="170">
          <cell r="B170" t="str">
            <v>CO-KE-A00M302</v>
          </cell>
          <cell r="C170" t="str">
            <v>CO-A00M302</v>
          </cell>
          <cell r="D170" t="str">
            <v>CO-KE</v>
          </cell>
          <cell r="E170" t="str">
            <v>DIV-CO-KE</v>
          </cell>
          <cell r="F170" t="str">
            <v>DIV-KE</v>
          </cell>
          <cell r="G170" t="str">
            <v>A00M302</v>
          </cell>
          <cell r="H170" t="str">
            <v>DIV</v>
          </cell>
          <cell r="I170">
            <v>2001</v>
          </cell>
          <cell r="J170" t="str">
            <v>R</v>
          </cell>
          <cell r="K170" t="str">
            <v>CO</v>
          </cell>
          <cell r="L170" t="str">
            <v>KE</v>
          </cell>
          <cell r="Y170">
            <v>0</v>
          </cell>
          <cell r="Z170">
            <v>0</v>
          </cell>
          <cell r="AA170">
            <v>0</v>
          </cell>
          <cell r="AB170">
            <v>0</v>
          </cell>
          <cell r="AC170">
            <v>0</v>
          </cell>
          <cell r="AD170">
            <v>0</v>
          </cell>
          <cell r="AE170">
            <v>0</v>
          </cell>
          <cell r="AF170">
            <v>0</v>
          </cell>
        </row>
        <row r="171">
          <cell r="B171" t="str">
            <v>CO-KN-A00M302</v>
          </cell>
          <cell r="C171" t="str">
            <v>CO-A00M302</v>
          </cell>
          <cell r="D171" t="str">
            <v>CO-KN</v>
          </cell>
          <cell r="E171" t="str">
            <v>DIV-CO-KN</v>
          </cell>
          <cell r="F171" t="str">
            <v>DIV-KN</v>
          </cell>
          <cell r="G171" t="str">
            <v>A00M302</v>
          </cell>
          <cell r="H171" t="str">
            <v>DIV</v>
          </cell>
          <cell r="I171">
            <v>2001</v>
          </cell>
          <cell r="J171" t="str">
            <v>R</v>
          </cell>
          <cell r="K171" t="str">
            <v>CO</v>
          </cell>
          <cell r="L171" t="str">
            <v>KN</v>
          </cell>
          <cell r="M171">
            <v>-85.3</v>
          </cell>
          <cell r="O171">
            <v>0.1</v>
          </cell>
          <cell r="P171">
            <v>93</v>
          </cell>
          <cell r="Q171">
            <v>5.2</v>
          </cell>
          <cell r="Y171">
            <v>81.53</v>
          </cell>
          <cell r="Z171">
            <v>12.999999999999996</v>
          </cell>
          <cell r="AA171">
            <v>0</v>
          </cell>
          <cell r="AB171">
            <v>94.53</v>
          </cell>
          <cell r="AC171">
            <v>12.999999999999996</v>
          </cell>
          <cell r="AD171">
            <v>94.53</v>
          </cell>
          <cell r="AE171">
            <v>0</v>
          </cell>
          <cell r="AF171">
            <v>-4.9124030657800013</v>
          </cell>
        </row>
        <row r="172">
          <cell r="B172" t="str">
            <v>IN-KE-A00M302</v>
          </cell>
          <cell r="C172" t="str">
            <v>IN-A00M302</v>
          </cell>
          <cell r="D172" t="str">
            <v>IN-KE</v>
          </cell>
          <cell r="E172" t="str">
            <v>DIV-IN-KE</v>
          </cell>
          <cell r="F172" t="str">
            <v>DIV-KE</v>
          </cell>
          <cell r="G172" t="str">
            <v>A00M302</v>
          </cell>
          <cell r="H172" t="str">
            <v>DIV</v>
          </cell>
          <cell r="I172">
            <v>2001</v>
          </cell>
          <cell r="J172" t="str">
            <v>R</v>
          </cell>
          <cell r="K172" t="str">
            <v>IN</v>
          </cell>
          <cell r="L172" t="str">
            <v>KE</v>
          </cell>
          <cell r="Y172">
            <v>0</v>
          </cell>
          <cell r="Z172">
            <v>0</v>
          </cell>
          <cell r="AA172">
            <v>0</v>
          </cell>
          <cell r="AB172">
            <v>0</v>
          </cell>
          <cell r="AC172">
            <v>0</v>
          </cell>
          <cell r="AD172">
            <v>0</v>
          </cell>
          <cell r="AE172">
            <v>0</v>
          </cell>
          <cell r="AF172">
            <v>0</v>
          </cell>
        </row>
        <row r="173">
          <cell r="B173" t="str">
            <v>IN-KN-A00M302</v>
          </cell>
          <cell r="C173" t="str">
            <v>IN-A00M302</v>
          </cell>
          <cell r="D173" t="str">
            <v>IN-KN</v>
          </cell>
          <cell r="E173" t="str">
            <v>DIV-IN-KN</v>
          </cell>
          <cell r="F173" t="str">
            <v>DIV-KN</v>
          </cell>
          <cell r="G173" t="str">
            <v>A00M302</v>
          </cell>
          <cell r="H173" t="str">
            <v>DIV</v>
          </cell>
          <cell r="I173">
            <v>2001</v>
          </cell>
          <cell r="J173" t="str">
            <v>R</v>
          </cell>
          <cell r="K173" t="str">
            <v>IN</v>
          </cell>
          <cell r="L173" t="str">
            <v>KN</v>
          </cell>
          <cell r="N173">
            <v>0.6</v>
          </cell>
          <cell r="O173">
            <v>1.1000000000000001</v>
          </cell>
          <cell r="P173">
            <v>3.5</v>
          </cell>
          <cell r="Q173">
            <v>4.8</v>
          </cell>
          <cell r="Y173">
            <v>21.9</v>
          </cell>
          <cell r="Z173">
            <v>10</v>
          </cell>
          <cell r="AA173">
            <v>0</v>
          </cell>
          <cell r="AB173">
            <v>31.9</v>
          </cell>
          <cell r="AC173">
            <v>10</v>
          </cell>
          <cell r="AD173">
            <v>31.9</v>
          </cell>
          <cell r="AE173">
            <v>0</v>
          </cell>
          <cell r="AF173">
            <v>-0.87528896400999989</v>
          </cell>
        </row>
        <row r="174">
          <cell r="B174" t="str">
            <v>AD-KE-A00M303</v>
          </cell>
          <cell r="C174" t="str">
            <v>AD-A00M303</v>
          </cell>
          <cell r="D174" t="str">
            <v>AD-KE</v>
          </cell>
          <cell r="E174" t="str">
            <v>DIV-AD-KE</v>
          </cell>
          <cell r="F174" t="str">
            <v>DIV-KE</v>
          </cell>
          <cell r="G174" t="str">
            <v>A00M303</v>
          </cell>
          <cell r="H174" t="str">
            <v>DIV</v>
          </cell>
          <cell r="I174">
            <v>2001</v>
          </cell>
          <cell r="J174" t="str">
            <v>R</v>
          </cell>
          <cell r="K174" t="str">
            <v>AD</v>
          </cell>
          <cell r="L174" t="str">
            <v>KE</v>
          </cell>
          <cell r="Y174">
            <v>0</v>
          </cell>
          <cell r="Z174">
            <v>0</v>
          </cell>
          <cell r="AA174">
            <v>0</v>
          </cell>
          <cell r="AB174">
            <v>0</v>
          </cell>
          <cell r="AC174">
            <v>0</v>
          </cell>
          <cell r="AD174">
            <v>0</v>
          </cell>
          <cell r="AE174">
            <v>0</v>
          </cell>
          <cell r="AF174">
            <v>0</v>
          </cell>
        </row>
        <row r="175">
          <cell r="B175" t="str">
            <v>AD-KN-A00M303</v>
          </cell>
          <cell r="C175" t="str">
            <v>AD-A00M303</v>
          </cell>
          <cell r="D175" t="str">
            <v>AD-KN</v>
          </cell>
          <cell r="E175" t="str">
            <v>DIV-AD-KN</v>
          </cell>
          <cell r="F175" t="str">
            <v>DIV-KN</v>
          </cell>
          <cell r="G175" t="str">
            <v>A00M303</v>
          </cell>
          <cell r="H175" t="str">
            <v>DIV</v>
          </cell>
          <cell r="I175">
            <v>2001</v>
          </cell>
          <cell r="J175" t="str">
            <v>R</v>
          </cell>
          <cell r="K175" t="str">
            <v>AD</v>
          </cell>
          <cell r="L175" t="str">
            <v>KN</v>
          </cell>
          <cell r="M175">
            <v>0.6</v>
          </cell>
          <cell r="P175">
            <v>0.2</v>
          </cell>
          <cell r="Q175">
            <v>0.6</v>
          </cell>
          <cell r="Y175">
            <v>0.74</v>
          </cell>
          <cell r="Z175">
            <v>1.4</v>
          </cell>
          <cell r="AA175">
            <v>0</v>
          </cell>
          <cell r="AB175">
            <v>2.1399999999999997</v>
          </cell>
          <cell r="AC175">
            <v>1.4</v>
          </cell>
          <cell r="AD175">
            <v>2.1399999999999997</v>
          </cell>
          <cell r="AE175">
            <v>0</v>
          </cell>
          <cell r="AF175">
            <v>-0.10290527235999999</v>
          </cell>
        </row>
        <row r="176">
          <cell r="B176" t="str">
            <v>CO-KE-A00M303</v>
          </cell>
          <cell r="C176" t="str">
            <v>CO-A00M303</v>
          </cell>
          <cell r="D176" t="str">
            <v>CO-KE</v>
          </cell>
          <cell r="E176" t="str">
            <v>DIV-CO-KE</v>
          </cell>
          <cell r="F176" t="str">
            <v>DIV-KE</v>
          </cell>
          <cell r="G176" t="str">
            <v>A00M303</v>
          </cell>
          <cell r="H176" t="str">
            <v>DIV</v>
          </cell>
          <cell r="I176">
            <v>2001</v>
          </cell>
          <cell r="J176" t="str">
            <v>R</v>
          </cell>
          <cell r="K176" t="str">
            <v>CO</v>
          </cell>
          <cell r="L176" t="str">
            <v>KE</v>
          </cell>
          <cell r="Y176">
            <v>0</v>
          </cell>
          <cell r="Z176">
            <v>0</v>
          </cell>
          <cell r="AA176">
            <v>0</v>
          </cell>
          <cell r="AB176">
            <v>0</v>
          </cell>
          <cell r="AC176">
            <v>0</v>
          </cell>
          <cell r="AD176">
            <v>0</v>
          </cell>
          <cell r="AE176">
            <v>0</v>
          </cell>
          <cell r="AF176">
            <v>0</v>
          </cell>
        </row>
        <row r="177">
          <cell r="B177" t="str">
            <v>CO-KN-A00M303</v>
          </cell>
          <cell r="C177" t="str">
            <v>CO-A00M303</v>
          </cell>
          <cell r="D177" t="str">
            <v>CO-KN</v>
          </cell>
          <cell r="E177" t="str">
            <v>DIV-CO-KN</v>
          </cell>
          <cell r="F177" t="str">
            <v>DIV-KN</v>
          </cell>
          <cell r="G177" t="str">
            <v>A00M303</v>
          </cell>
          <cell r="H177" t="str">
            <v>DIV</v>
          </cell>
          <cell r="I177">
            <v>2001</v>
          </cell>
          <cell r="J177" t="str">
            <v>R</v>
          </cell>
          <cell r="K177" t="str">
            <v>CO</v>
          </cell>
          <cell r="L177" t="str">
            <v>KN</v>
          </cell>
          <cell r="Y177">
            <v>0</v>
          </cell>
          <cell r="Z177">
            <v>0</v>
          </cell>
          <cell r="AA177">
            <v>0</v>
          </cell>
          <cell r="AB177">
            <v>0</v>
          </cell>
          <cell r="AC177">
            <v>0</v>
          </cell>
          <cell r="AD177">
            <v>0</v>
          </cell>
          <cell r="AE177">
            <v>0</v>
          </cell>
          <cell r="AF177">
            <v>0</v>
          </cell>
        </row>
        <row r="178">
          <cell r="B178" t="str">
            <v>IN-KE-A00M303</v>
          </cell>
          <cell r="C178" t="str">
            <v>IN-A00M303</v>
          </cell>
          <cell r="D178" t="str">
            <v>IN-KE</v>
          </cell>
          <cell r="E178" t="str">
            <v>DIV-IN-KE</v>
          </cell>
          <cell r="F178" t="str">
            <v>DIV-KE</v>
          </cell>
          <cell r="G178" t="str">
            <v>A00M303</v>
          </cell>
          <cell r="H178" t="str">
            <v>DIV</v>
          </cell>
          <cell r="I178">
            <v>2001</v>
          </cell>
          <cell r="J178" t="str">
            <v>R</v>
          </cell>
          <cell r="K178" t="str">
            <v>IN</v>
          </cell>
          <cell r="L178" t="str">
            <v>KE</v>
          </cell>
          <cell r="Y178">
            <v>0</v>
          </cell>
          <cell r="Z178">
            <v>0</v>
          </cell>
          <cell r="AA178">
            <v>0</v>
          </cell>
          <cell r="AB178">
            <v>0</v>
          </cell>
          <cell r="AC178">
            <v>0</v>
          </cell>
          <cell r="AD178">
            <v>0</v>
          </cell>
          <cell r="AE178">
            <v>0</v>
          </cell>
          <cell r="AF178">
            <v>0</v>
          </cell>
        </row>
        <row r="179">
          <cell r="B179" t="str">
            <v>IN-KN-A00M303</v>
          </cell>
          <cell r="C179" t="str">
            <v>IN-A00M303</v>
          </cell>
          <cell r="D179" t="str">
            <v>IN-KN</v>
          </cell>
          <cell r="E179" t="str">
            <v>DIV-IN-KN</v>
          </cell>
          <cell r="F179" t="str">
            <v>DIV-KN</v>
          </cell>
          <cell r="G179" t="str">
            <v>A00M303</v>
          </cell>
          <cell r="H179" t="str">
            <v>DIV</v>
          </cell>
          <cell r="I179">
            <v>2001</v>
          </cell>
          <cell r="J179" t="str">
            <v>R</v>
          </cell>
          <cell r="K179" t="str">
            <v>IN</v>
          </cell>
          <cell r="L179" t="str">
            <v>KN</v>
          </cell>
          <cell r="N179">
            <v>0.4</v>
          </cell>
          <cell r="O179">
            <v>1.2</v>
          </cell>
          <cell r="P179">
            <v>4</v>
          </cell>
          <cell r="Q179">
            <v>3.7</v>
          </cell>
          <cell r="Y179">
            <v>7.38</v>
          </cell>
          <cell r="Z179">
            <v>9.3000000000000007</v>
          </cell>
          <cell r="AA179">
            <v>0</v>
          </cell>
          <cell r="AB179">
            <v>16.68</v>
          </cell>
          <cell r="AC179">
            <v>9.3000000000000007</v>
          </cell>
          <cell r="AD179">
            <v>16.68</v>
          </cell>
          <cell r="AE179">
            <v>0</v>
          </cell>
          <cell r="AF179">
            <v>-0.81556126836999998</v>
          </cell>
        </row>
        <row r="180">
          <cell r="B180" t="str">
            <v>AD-KE-A00M304</v>
          </cell>
          <cell r="C180" t="str">
            <v>AD-A00M304</v>
          </cell>
          <cell r="D180" t="str">
            <v>AD-KE</v>
          </cell>
          <cell r="E180" t="str">
            <v>DIV-AD-KE</v>
          </cell>
          <cell r="F180" t="str">
            <v>DIV-KE</v>
          </cell>
          <cell r="G180" t="str">
            <v>A00M304</v>
          </cell>
          <cell r="H180" t="str">
            <v>DIV</v>
          </cell>
          <cell r="I180">
            <v>2000</v>
          </cell>
          <cell r="J180" t="str">
            <v>R</v>
          </cell>
          <cell r="K180" t="str">
            <v>AD</v>
          </cell>
          <cell r="L180" t="str">
            <v>KE</v>
          </cell>
          <cell r="Y180">
            <v>0</v>
          </cell>
          <cell r="Z180">
            <v>0</v>
          </cell>
          <cell r="AA180">
            <v>0</v>
          </cell>
          <cell r="AB180">
            <v>0</v>
          </cell>
          <cell r="AC180">
            <v>0</v>
          </cell>
          <cell r="AD180">
            <v>0</v>
          </cell>
          <cell r="AE180">
            <v>0</v>
          </cell>
          <cell r="AF180">
            <v>0</v>
          </cell>
        </row>
        <row r="181">
          <cell r="B181" t="str">
            <v>AD-KN-A00M304</v>
          </cell>
          <cell r="C181" t="str">
            <v>AD-A00M304</v>
          </cell>
          <cell r="D181" t="str">
            <v>AD-KN</v>
          </cell>
          <cell r="E181" t="str">
            <v>DIV-AD-KN</v>
          </cell>
          <cell r="F181" t="str">
            <v>DIV-KN</v>
          </cell>
          <cell r="G181" t="str">
            <v>A00M304</v>
          </cell>
          <cell r="H181" t="str">
            <v>DIV</v>
          </cell>
          <cell r="I181">
            <v>2000</v>
          </cell>
          <cell r="J181" t="str">
            <v>R</v>
          </cell>
          <cell r="K181" t="str">
            <v>AD</v>
          </cell>
          <cell r="L181" t="str">
            <v>KN</v>
          </cell>
          <cell r="Y181">
            <v>0</v>
          </cell>
          <cell r="Z181">
            <v>0</v>
          </cell>
          <cell r="AA181">
            <v>0</v>
          </cell>
          <cell r="AB181">
            <v>0</v>
          </cell>
          <cell r="AC181">
            <v>0</v>
          </cell>
          <cell r="AD181">
            <v>0</v>
          </cell>
          <cell r="AE181">
            <v>0</v>
          </cell>
          <cell r="AF181">
            <v>0</v>
          </cell>
        </row>
        <row r="182">
          <cell r="B182" t="str">
            <v>CO-KE-A00M304</v>
          </cell>
          <cell r="C182" t="str">
            <v>CO-A00M304</v>
          </cell>
          <cell r="D182" t="str">
            <v>CO-KE</v>
          </cell>
          <cell r="E182" t="str">
            <v>DIV-CO-KE</v>
          </cell>
          <cell r="F182" t="str">
            <v>DIV-KE</v>
          </cell>
          <cell r="G182" t="str">
            <v>A00M304</v>
          </cell>
          <cell r="H182" t="str">
            <v>DIV</v>
          </cell>
          <cell r="I182">
            <v>2000</v>
          </cell>
          <cell r="J182" t="str">
            <v>R</v>
          </cell>
          <cell r="K182" t="str">
            <v>CO</v>
          </cell>
          <cell r="L182" t="str">
            <v>KE</v>
          </cell>
          <cell r="Y182">
            <v>0</v>
          </cell>
          <cell r="Z182">
            <v>0</v>
          </cell>
          <cell r="AA182">
            <v>0</v>
          </cell>
          <cell r="AB182">
            <v>0</v>
          </cell>
          <cell r="AC182">
            <v>0</v>
          </cell>
          <cell r="AD182">
            <v>0</v>
          </cell>
          <cell r="AE182">
            <v>0</v>
          </cell>
          <cell r="AF182">
            <v>0</v>
          </cell>
        </row>
        <row r="183">
          <cell r="B183" t="str">
            <v>CO-KN-A00M304</v>
          </cell>
          <cell r="C183" t="str">
            <v>CO-A00M304</v>
          </cell>
          <cell r="D183" t="str">
            <v>CO-KN</v>
          </cell>
          <cell r="E183" t="str">
            <v>DIV-CO-KN</v>
          </cell>
          <cell r="F183" t="str">
            <v>DIV-KN</v>
          </cell>
          <cell r="G183" t="str">
            <v>A00M304</v>
          </cell>
          <cell r="H183" t="str">
            <v>DIV</v>
          </cell>
          <cell r="I183">
            <v>2000</v>
          </cell>
          <cell r="J183" t="str">
            <v>R</v>
          </cell>
          <cell r="K183" t="str">
            <v>CO</v>
          </cell>
          <cell r="L183" t="str">
            <v>KN</v>
          </cell>
          <cell r="Y183">
            <v>0</v>
          </cell>
          <cell r="Z183">
            <v>0</v>
          </cell>
          <cell r="AA183">
            <v>0</v>
          </cell>
          <cell r="AB183">
            <v>0</v>
          </cell>
          <cell r="AC183">
            <v>0</v>
          </cell>
          <cell r="AD183">
            <v>0</v>
          </cell>
          <cell r="AE183">
            <v>0</v>
          </cell>
          <cell r="AF183">
            <v>0</v>
          </cell>
        </row>
        <row r="184">
          <cell r="B184" t="str">
            <v>IN-KE-A00M304</v>
          </cell>
          <cell r="C184" t="str">
            <v>IN-A00M304</v>
          </cell>
          <cell r="D184" t="str">
            <v>IN-KE</v>
          </cell>
          <cell r="E184" t="str">
            <v>DIV-IN-KE</v>
          </cell>
          <cell r="F184" t="str">
            <v>DIV-KE</v>
          </cell>
          <cell r="G184" t="str">
            <v>A00M304</v>
          </cell>
          <cell r="H184" t="str">
            <v>DIV</v>
          </cell>
          <cell r="I184">
            <v>2000</v>
          </cell>
          <cell r="J184" t="str">
            <v>R</v>
          </cell>
          <cell r="K184" t="str">
            <v>IN</v>
          </cell>
          <cell r="L184" t="str">
            <v>KE</v>
          </cell>
          <cell r="Y184">
            <v>0</v>
          </cell>
          <cell r="Z184">
            <v>0</v>
          </cell>
          <cell r="AA184">
            <v>0</v>
          </cell>
          <cell r="AB184">
            <v>0</v>
          </cell>
          <cell r="AC184">
            <v>0</v>
          </cell>
          <cell r="AD184">
            <v>0</v>
          </cell>
          <cell r="AE184">
            <v>0</v>
          </cell>
          <cell r="AF184">
            <v>0</v>
          </cell>
        </row>
        <row r="185">
          <cell r="B185" t="str">
            <v>IN-KN-A00M304</v>
          </cell>
          <cell r="C185" t="str">
            <v>IN-A00M304</v>
          </cell>
          <cell r="D185" t="str">
            <v>IN-KN</v>
          </cell>
          <cell r="E185" t="str">
            <v>DIV-IN-KN</v>
          </cell>
          <cell r="F185" t="str">
            <v>DIV-KN</v>
          </cell>
          <cell r="G185" t="str">
            <v>A00M304</v>
          </cell>
          <cell r="H185" t="str">
            <v>DIV</v>
          </cell>
          <cell r="I185">
            <v>2000</v>
          </cell>
          <cell r="J185" t="str">
            <v>R</v>
          </cell>
          <cell r="K185" t="str">
            <v>IN</v>
          </cell>
          <cell r="L185" t="str">
            <v>KN</v>
          </cell>
          <cell r="Y185">
            <v>0</v>
          </cell>
          <cell r="Z185">
            <v>0</v>
          </cell>
          <cell r="AA185">
            <v>0</v>
          </cell>
          <cell r="AB185">
            <v>0</v>
          </cell>
          <cell r="AC185">
            <v>0</v>
          </cell>
          <cell r="AD185">
            <v>0</v>
          </cell>
          <cell r="AE185">
            <v>0</v>
          </cell>
          <cell r="AF185">
            <v>0</v>
          </cell>
        </row>
        <row r="186">
          <cell r="B186" t="str">
            <v>AD-KE-A00M305</v>
          </cell>
          <cell r="C186" t="str">
            <v>AD-A00M305</v>
          </cell>
          <cell r="D186" t="str">
            <v>AD-KE</v>
          </cell>
          <cell r="E186" t="str">
            <v>DIV-AD-KE</v>
          </cell>
          <cell r="F186" t="str">
            <v>DIV-KE</v>
          </cell>
          <cell r="G186" t="str">
            <v>A00M305</v>
          </cell>
          <cell r="H186" t="str">
            <v>DIV</v>
          </cell>
          <cell r="I186">
            <v>2001</v>
          </cell>
          <cell r="J186" t="str">
            <v>R</v>
          </cell>
          <cell r="K186" t="str">
            <v>AD</v>
          </cell>
          <cell r="L186" t="str">
            <v>KE</v>
          </cell>
          <cell r="Y186">
            <v>0</v>
          </cell>
          <cell r="Z186">
            <v>0</v>
          </cell>
          <cell r="AA186">
            <v>0</v>
          </cell>
          <cell r="AB186">
            <v>0</v>
          </cell>
          <cell r="AC186">
            <v>0</v>
          </cell>
          <cell r="AD186">
            <v>0</v>
          </cell>
          <cell r="AE186">
            <v>0</v>
          </cell>
          <cell r="AF186">
            <v>0</v>
          </cell>
        </row>
        <row r="187">
          <cell r="B187" t="str">
            <v>AD-KN-A00M305</v>
          </cell>
          <cell r="C187" t="str">
            <v>AD-A00M305</v>
          </cell>
          <cell r="D187" t="str">
            <v>AD-KN</v>
          </cell>
          <cell r="E187" t="str">
            <v>DIV-AD-KN</v>
          </cell>
          <cell r="F187" t="str">
            <v>DIV-KN</v>
          </cell>
          <cell r="G187" t="str">
            <v>A00M305</v>
          </cell>
          <cell r="H187" t="str">
            <v>DIV</v>
          </cell>
          <cell r="I187">
            <v>2001</v>
          </cell>
          <cell r="J187" t="str">
            <v>R</v>
          </cell>
          <cell r="K187" t="str">
            <v>AD</v>
          </cell>
          <cell r="L187" t="str">
            <v>KN</v>
          </cell>
          <cell r="M187">
            <v>-0.2</v>
          </cell>
          <cell r="Y187">
            <v>0</v>
          </cell>
          <cell r="Z187">
            <v>-0.2</v>
          </cell>
          <cell r="AA187">
            <v>0</v>
          </cell>
          <cell r="AB187">
            <v>-0.2</v>
          </cell>
          <cell r="AC187">
            <v>-0.2</v>
          </cell>
          <cell r="AD187">
            <v>-0.2</v>
          </cell>
          <cell r="AE187">
            <v>0</v>
          </cell>
          <cell r="AF187">
            <v>9.2157605599999994E-3</v>
          </cell>
        </row>
        <row r="188">
          <cell r="B188" t="str">
            <v>CO-KE-A00M305</v>
          </cell>
          <cell r="C188" t="str">
            <v>CO-A00M305</v>
          </cell>
          <cell r="D188" t="str">
            <v>CO-KE</v>
          </cell>
          <cell r="E188" t="str">
            <v>DIV-CO-KE</v>
          </cell>
          <cell r="F188" t="str">
            <v>DIV-KE</v>
          </cell>
          <cell r="G188" t="str">
            <v>A00M305</v>
          </cell>
          <cell r="H188" t="str">
            <v>DIV</v>
          </cell>
          <cell r="I188">
            <v>2001</v>
          </cell>
          <cell r="J188" t="str">
            <v>R</v>
          </cell>
          <cell r="K188" t="str">
            <v>CO</v>
          </cell>
          <cell r="L188" t="str">
            <v>KE</v>
          </cell>
          <cell r="Y188">
            <v>0</v>
          </cell>
          <cell r="Z188">
            <v>0</v>
          </cell>
          <cell r="AA188">
            <v>0</v>
          </cell>
          <cell r="AB188">
            <v>0</v>
          </cell>
          <cell r="AC188">
            <v>0</v>
          </cell>
          <cell r="AD188">
            <v>0</v>
          </cell>
          <cell r="AE188">
            <v>0</v>
          </cell>
          <cell r="AF188">
            <v>0</v>
          </cell>
        </row>
        <row r="189">
          <cell r="B189" t="str">
            <v>CO-KN-A00M305</v>
          </cell>
          <cell r="C189" t="str">
            <v>CO-A00M305</v>
          </cell>
          <cell r="D189" t="str">
            <v>CO-KN</v>
          </cell>
          <cell r="E189" t="str">
            <v>DIV-CO-KN</v>
          </cell>
          <cell r="F189" t="str">
            <v>DIV-KN</v>
          </cell>
          <cell r="G189" t="str">
            <v>A00M305</v>
          </cell>
          <cell r="H189" t="str">
            <v>DIV</v>
          </cell>
          <cell r="I189">
            <v>2001</v>
          </cell>
          <cell r="J189" t="str">
            <v>R</v>
          </cell>
          <cell r="K189" t="str">
            <v>CO</v>
          </cell>
          <cell r="L189" t="str">
            <v>KN</v>
          </cell>
          <cell r="N189">
            <v>42.8</v>
          </cell>
          <cell r="O189">
            <v>0.4</v>
          </cell>
          <cell r="P189">
            <v>4.4000000000000004</v>
          </cell>
          <cell r="Y189">
            <v>59.89</v>
          </cell>
          <cell r="Z189">
            <v>47.599999999999994</v>
          </cell>
          <cell r="AA189">
            <v>0</v>
          </cell>
          <cell r="AB189">
            <v>107.49</v>
          </cell>
          <cell r="AC189">
            <v>47.599999999999994</v>
          </cell>
          <cell r="AD189">
            <v>107.49</v>
          </cell>
          <cell r="AE189">
            <v>0</v>
          </cell>
          <cell r="AF189">
            <v>-1.90636373212</v>
          </cell>
        </row>
        <row r="190">
          <cell r="B190" t="str">
            <v>IN-KE-A00M305</v>
          </cell>
          <cell r="C190" t="str">
            <v>IN-A00M305</v>
          </cell>
          <cell r="D190" t="str">
            <v>IN-KE</v>
          </cell>
          <cell r="E190" t="str">
            <v>DIV-IN-KE</v>
          </cell>
          <cell r="F190" t="str">
            <v>DIV-KE</v>
          </cell>
          <cell r="G190" t="str">
            <v>A00M305</v>
          </cell>
          <cell r="H190" t="str">
            <v>DIV</v>
          </cell>
          <cell r="I190">
            <v>2001</v>
          </cell>
          <cell r="J190" t="str">
            <v>R</v>
          </cell>
          <cell r="K190" t="str">
            <v>IN</v>
          </cell>
          <cell r="L190" t="str">
            <v>KE</v>
          </cell>
          <cell r="Y190">
            <v>0</v>
          </cell>
          <cell r="Z190">
            <v>0</v>
          </cell>
          <cell r="AA190">
            <v>0</v>
          </cell>
          <cell r="AB190">
            <v>0</v>
          </cell>
          <cell r="AC190">
            <v>0</v>
          </cell>
          <cell r="AD190">
            <v>0</v>
          </cell>
          <cell r="AE190">
            <v>0</v>
          </cell>
          <cell r="AF190">
            <v>0</v>
          </cell>
        </row>
        <row r="191">
          <cell r="B191" t="str">
            <v>IN-KN-A00M305</v>
          </cell>
          <cell r="C191" t="str">
            <v>IN-A00M305</v>
          </cell>
          <cell r="D191" t="str">
            <v>IN-KN</v>
          </cell>
          <cell r="E191" t="str">
            <v>DIV-IN-KN</v>
          </cell>
          <cell r="F191" t="str">
            <v>DIV-KN</v>
          </cell>
          <cell r="G191" t="str">
            <v>A00M305</v>
          </cell>
          <cell r="H191" t="str">
            <v>DIV</v>
          </cell>
          <cell r="I191">
            <v>2001</v>
          </cell>
          <cell r="J191" t="str">
            <v>R</v>
          </cell>
          <cell r="K191" t="str">
            <v>IN</v>
          </cell>
          <cell r="L191" t="str">
            <v>KN</v>
          </cell>
          <cell r="N191">
            <v>3.1</v>
          </cell>
          <cell r="O191">
            <v>0.7</v>
          </cell>
          <cell r="P191">
            <v>4.5</v>
          </cell>
          <cell r="Y191">
            <v>23.04</v>
          </cell>
          <cell r="Z191">
            <v>8.3000000000000007</v>
          </cell>
          <cell r="AA191">
            <v>0</v>
          </cell>
          <cell r="AB191">
            <v>31.34</v>
          </cell>
          <cell r="AC191">
            <v>8.3000000000000007</v>
          </cell>
          <cell r="AD191">
            <v>31.34</v>
          </cell>
          <cell r="AE191">
            <v>0</v>
          </cell>
          <cell r="AF191">
            <v>-0.56306264733</v>
          </cell>
        </row>
        <row r="192">
          <cell r="B192" t="str">
            <v>AD-KE-A00M306</v>
          </cell>
          <cell r="C192" t="str">
            <v>AD-A00M306</v>
          </cell>
          <cell r="D192" t="str">
            <v>AD-KE</v>
          </cell>
          <cell r="E192" t="str">
            <v>DIV-AD-KE</v>
          </cell>
          <cell r="F192" t="str">
            <v>DIV-KE</v>
          </cell>
          <cell r="G192" t="str">
            <v>A00M306</v>
          </cell>
          <cell r="H192" t="str">
            <v>DIV</v>
          </cell>
          <cell r="I192">
            <v>2000</v>
          </cell>
          <cell r="J192" t="str">
            <v>R</v>
          </cell>
          <cell r="K192" t="str">
            <v>AD</v>
          </cell>
          <cell r="L192" t="str">
            <v>KE</v>
          </cell>
          <cell r="Y192">
            <v>0</v>
          </cell>
          <cell r="Z192">
            <v>0</v>
          </cell>
          <cell r="AA192">
            <v>0</v>
          </cell>
          <cell r="AB192">
            <v>0</v>
          </cell>
          <cell r="AC192">
            <v>0</v>
          </cell>
          <cell r="AD192">
            <v>0</v>
          </cell>
          <cell r="AE192">
            <v>0</v>
          </cell>
          <cell r="AF192">
            <v>0</v>
          </cell>
        </row>
        <row r="193">
          <cell r="B193" t="str">
            <v>AD-KN-A00M306</v>
          </cell>
          <cell r="C193" t="str">
            <v>AD-A00M306</v>
          </cell>
          <cell r="D193" t="str">
            <v>AD-KN</v>
          </cell>
          <cell r="E193" t="str">
            <v>DIV-AD-KN</v>
          </cell>
          <cell r="F193" t="str">
            <v>DIV-KN</v>
          </cell>
          <cell r="G193" t="str">
            <v>A00M306</v>
          </cell>
          <cell r="H193" t="str">
            <v>DIV</v>
          </cell>
          <cell r="I193">
            <v>2000</v>
          </cell>
          <cell r="J193" t="str">
            <v>R</v>
          </cell>
          <cell r="K193" t="str">
            <v>AD</v>
          </cell>
          <cell r="L193" t="str">
            <v>KN</v>
          </cell>
          <cell r="Y193">
            <v>0</v>
          </cell>
          <cell r="Z193">
            <v>0</v>
          </cell>
          <cell r="AA193">
            <v>0</v>
          </cell>
          <cell r="AB193">
            <v>0</v>
          </cell>
          <cell r="AC193">
            <v>0</v>
          </cell>
          <cell r="AD193">
            <v>0</v>
          </cell>
          <cell r="AE193">
            <v>0</v>
          </cell>
          <cell r="AF193">
            <v>0</v>
          </cell>
        </row>
        <row r="194">
          <cell r="B194" t="str">
            <v>CO-KE-A00M306</v>
          </cell>
          <cell r="C194" t="str">
            <v>CO-A00M306</v>
          </cell>
          <cell r="D194" t="str">
            <v>CO-KE</v>
          </cell>
          <cell r="E194" t="str">
            <v>DIV-CO-KE</v>
          </cell>
          <cell r="F194" t="str">
            <v>DIV-KE</v>
          </cell>
          <cell r="G194" t="str">
            <v>A00M306</v>
          </cell>
          <cell r="H194" t="str">
            <v>DIV</v>
          </cell>
          <cell r="I194">
            <v>2000</v>
          </cell>
          <cell r="J194" t="str">
            <v>R</v>
          </cell>
          <cell r="K194" t="str">
            <v>CO</v>
          </cell>
          <cell r="L194" t="str">
            <v>KE</v>
          </cell>
          <cell r="Y194">
            <v>0</v>
          </cell>
          <cell r="Z194">
            <v>0</v>
          </cell>
          <cell r="AA194">
            <v>0</v>
          </cell>
          <cell r="AB194">
            <v>0</v>
          </cell>
          <cell r="AC194">
            <v>0</v>
          </cell>
          <cell r="AD194">
            <v>0</v>
          </cell>
          <cell r="AE194">
            <v>0</v>
          </cell>
          <cell r="AF194">
            <v>0</v>
          </cell>
        </row>
        <row r="195">
          <cell r="B195" t="str">
            <v>CO-KN-A00M306</v>
          </cell>
          <cell r="C195" t="str">
            <v>CO-A00M306</v>
          </cell>
          <cell r="D195" t="str">
            <v>CO-KN</v>
          </cell>
          <cell r="E195" t="str">
            <v>DIV-CO-KN</v>
          </cell>
          <cell r="F195" t="str">
            <v>DIV-KN</v>
          </cell>
          <cell r="G195" t="str">
            <v>A00M306</v>
          </cell>
          <cell r="H195" t="str">
            <v>DIV</v>
          </cell>
          <cell r="I195">
            <v>2000</v>
          </cell>
          <cell r="J195" t="str">
            <v>R</v>
          </cell>
          <cell r="K195" t="str">
            <v>CO</v>
          </cell>
          <cell r="L195" t="str">
            <v>KN</v>
          </cell>
          <cell r="Y195">
            <v>0</v>
          </cell>
          <cell r="Z195">
            <v>0</v>
          </cell>
          <cell r="AA195">
            <v>0</v>
          </cell>
          <cell r="AB195">
            <v>0</v>
          </cell>
          <cell r="AC195">
            <v>0</v>
          </cell>
          <cell r="AD195">
            <v>0</v>
          </cell>
          <cell r="AE195">
            <v>0</v>
          </cell>
          <cell r="AF195">
            <v>0</v>
          </cell>
        </row>
        <row r="196">
          <cell r="B196" t="str">
            <v>IN-KE-A00M306</v>
          </cell>
          <cell r="C196" t="str">
            <v>IN-A00M306</v>
          </cell>
          <cell r="D196" t="str">
            <v>IN-KE</v>
          </cell>
          <cell r="E196" t="str">
            <v>DIV-IN-KE</v>
          </cell>
          <cell r="F196" t="str">
            <v>DIV-KE</v>
          </cell>
          <cell r="G196" t="str">
            <v>A00M306</v>
          </cell>
          <cell r="H196" t="str">
            <v>DIV</v>
          </cell>
          <cell r="I196">
            <v>2000</v>
          </cell>
          <cell r="J196" t="str">
            <v>R</v>
          </cell>
          <cell r="K196" t="str">
            <v>IN</v>
          </cell>
          <cell r="L196" t="str">
            <v>KE</v>
          </cell>
          <cell r="Y196">
            <v>0</v>
          </cell>
          <cell r="Z196">
            <v>0</v>
          </cell>
          <cell r="AA196">
            <v>0</v>
          </cell>
          <cell r="AB196">
            <v>0</v>
          </cell>
          <cell r="AC196">
            <v>0</v>
          </cell>
          <cell r="AD196">
            <v>0</v>
          </cell>
          <cell r="AE196">
            <v>0</v>
          </cell>
          <cell r="AF196">
            <v>0</v>
          </cell>
        </row>
        <row r="197">
          <cell r="B197" t="str">
            <v>IN-KN-A00M306</v>
          </cell>
          <cell r="C197" t="str">
            <v>IN-A00M306</v>
          </cell>
          <cell r="D197" t="str">
            <v>IN-KN</v>
          </cell>
          <cell r="E197" t="str">
            <v>DIV-IN-KN</v>
          </cell>
          <cell r="F197" t="str">
            <v>DIV-KN</v>
          </cell>
          <cell r="G197" t="str">
            <v>A00M306</v>
          </cell>
          <cell r="H197" t="str">
            <v>DIV</v>
          </cell>
          <cell r="I197">
            <v>2000</v>
          </cell>
          <cell r="J197" t="str">
            <v>R</v>
          </cell>
          <cell r="K197" t="str">
            <v>IN</v>
          </cell>
          <cell r="L197" t="str">
            <v>KN</v>
          </cell>
          <cell r="N197">
            <v>0.4</v>
          </cell>
          <cell r="O197">
            <v>0.2</v>
          </cell>
          <cell r="Y197">
            <v>0</v>
          </cell>
          <cell r="Z197">
            <v>0.60000000000000009</v>
          </cell>
          <cell r="AA197">
            <v>0</v>
          </cell>
          <cell r="AB197">
            <v>0.60000000000000009</v>
          </cell>
          <cell r="AC197">
            <v>0.60000000000000009</v>
          </cell>
          <cell r="AD197">
            <v>0.60000000000000009</v>
          </cell>
          <cell r="AE197">
            <v>0</v>
          </cell>
          <cell r="AF197">
            <v>-2.8775895360000005E-2</v>
          </cell>
        </row>
        <row r="198">
          <cell r="B198" t="str">
            <v>AD-KE-A00M310</v>
          </cell>
          <cell r="C198" t="str">
            <v>AD-A00M310</v>
          </cell>
          <cell r="D198" t="str">
            <v>AD-KE</v>
          </cell>
          <cell r="E198" t="str">
            <v>DIV-AD-KE</v>
          </cell>
          <cell r="F198" t="str">
            <v>DIV-KE</v>
          </cell>
          <cell r="G198" t="str">
            <v>A00M310</v>
          </cell>
          <cell r="H198" t="str">
            <v>DIV</v>
          </cell>
          <cell r="I198">
            <v>2001</v>
          </cell>
          <cell r="J198" t="str">
            <v>R</v>
          </cell>
          <cell r="K198" t="str">
            <v>AD</v>
          </cell>
          <cell r="L198" t="str">
            <v>KE</v>
          </cell>
          <cell r="Y198">
            <v>0</v>
          </cell>
          <cell r="Z198">
            <v>0</v>
          </cell>
          <cell r="AA198">
            <v>0</v>
          </cell>
          <cell r="AB198">
            <v>0</v>
          </cell>
          <cell r="AC198">
            <v>0</v>
          </cell>
          <cell r="AD198">
            <v>0</v>
          </cell>
          <cell r="AE198">
            <v>0</v>
          </cell>
          <cell r="AF198">
            <v>0</v>
          </cell>
        </row>
        <row r="199">
          <cell r="B199" t="str">
            <v>AD-KN-A00M310</v>
          </cell>
          <cell r="C199" t="str">
            <v>AD-A00M310</v>
          </cell>
          <cell r="D199" t="str">
            <v>AD-KN</v>
          </cell>
          <cell r="E199" t="str">
            <v>DIV-AD-KN</v>
          </cell>
          <cell r="F199" t="str">
            <v>DIV-KN</v>
          </cell>
          <cell r="G199" t="str">
            <v>A00M310</v>
          </cell>
          <cell r="H199" t="str">
            <v>DIV</v>
          </cell>
          <cell r="I199">
            <v>2001</v>
          </cell>
          <cell r="J199" t="str">
            <v>R</v>
          </cell>
          <cell r="K199" t="str">
            <v>AD</v>
          </cell>
          <cell r="L199" t="str">
            <v>KN</v>
          </cell>
          <cell r="O199">
            <v>16.100000000000001</v>
          </cell>
          <cell r="P199">
            <v>5.6</v>
          </cell>
          <cell r="Y199">
            <v>0</v>
          </cell>
          <cell r="Z199">
            <v>21.700000000000003</v>
          </cell>
          <cell r="AA199">
            <v>0</v>
          </cell>
          <cell r="AB199">
            <v>21.700000000000003</v>
          </cell>
          <cell r="AC199">
            <v>21.700000000000003</v>
          </cell>
          <cell r="AD199">
            <v>21.700000000000003</v>
          </cell>
          <cell r="AE199">
            <v>0</v>
          </cell>
          <cell r="AF199">
            <v>-1.70361141916</v>
          </cell>
        </row>
        <row r="200">
          <cell r="B200" t="str">
            <v>CO-KE-A00M310</v>
          </cell>
          <cell r="C200" t="str">
            <v>CO-A00M310</v>
          </cell>
          <cell r="D200" t="str">
            <v>CO-KE</v>
          </cell>
          <cell r="E200" t="str">
            <v>DIV-CO-KE</v>
          </cell>
          <cell r="F200" t="str">
            <v>DIV-KE</v>
          </cell>
          <cell r="G200" t="str">
            <v>A00M310</v>
          </cell>
          <cell r="H200" t="str">
            <v>DIV</v>
          </cell>
          <cell r="I200">
            <v>2001</v>
          </cell>
          <cell r="J200" t="str">
            <v>R</v>
          </cell>
          <cell r="K200" t="str">
            <v>CO</v>
          </cell>
          <cell r="L200" t="str">
            <v>KE</v>
          </cell>
          <cell r="Y200">
            <v>0</v>
          </cell>
          <cell r="Z200">
            <v>0</v>
          </cell>
          <cell r="AA200">
            <v>0</v>
          </cell>
          <cell r="AB200">
            <v>0</v>
          </cell>
          <cell r="AC200">
            <v>0</v>
          </cell>
          <cell r="AD200">
            <v>0</v>
          </cell>
          <cell r="AE200">
            <v>0</v>
          </cell>
          <cell r="AF200">
            <v>0</v>
          </cell>
        </row>
        <row r="201">
          <cell r="B201" t="str">
            <v>CO-KN-A00M310</v>
          </cell>
          <cell r="C201" t="str">
            <v>CO-A00M310</v>
          </cell>
          <cell r="D201" t="str">
            <v>CO-KN</v>
          </cell>
          <cell r="E201" t="str">
            <v>DIV-CO-KN</v>
          </cell>
          <cell r="F201" t="str">
            <v>DIV-KN</v>
          </cell>
          <cell r="G201" t="str">
            <v>A00M310</v>
          </cell>
          <cell r="H201" t="str">
            <v>DIV</v>
          </cell>
          <cell r="I201">
            <v>2001</v>
          </cell>
          <cell r="J201" t="str">
            <v>R</v>
          </cell>
          <cell r="K201" t="str">
            <v>CO</v>
          </cell>
          <cell r="L201" t="str">
            <v>KN</v>
          </cell>
          <cell r="M201">
            <v>11.5</v>
          </cell>
          <cell r="N201">
            <v>2.2999999999999998</v>
          </cell>
          <cell r="O201">
            <v>0.3</v>
          </cell>
          <cell r="P201">
            <v>0.8</v>
          </cell>
          <cell r="Q201">
            <v>0.9</v>
          </cell>
          <cell r="Y201">
            <v>50.89</v>
          </cell>
          <cell r="Z201">
            <v>15.800000000000002</v>
          </cell>
          <cell r="AA201">
            <v>0</v>
          </cell>
          <cell r="AB201">
            <v>66.69</v>
          </cell>
          <cell r="AC201">
            <v>15.800000000000002</v>
          </cell>
          <cell r="AD201">
            <v>66.69</v>
          </cell>
          <cell r="AE201">
            <v>0</v>
          </cell>
          <cell r="AF201">
            <v>-0.78965281282999999</v>
          </cell>
        </row>
        <row r="202">
          <cell r="B202" t="str">
            <v>IN-KE-A00M310</v>
          </cell>
          <cell r="C202" t="str">
            <v>IN-A00M310</v>
          </cell>
          <cell r="D202" t="str">
            <v>IN-KE</v>
          </cell>
          <cell r="E202" t="str">
            <v>DIV-IN-KE</v>
          </cell>
          <cell r="F202" t="str">
            <v>DIV-KE</v>
          </cell>
          <cell r="G202" t="str">
            <v>A00M310</v>
          </cell>
          <cell r="H202" t="str">
            <v>DIV</v>
          </cell>
          <cell r="I202">
            <v>2001</v>
          </cell>
          <cell r="J202" t="str">
            <v>R</v>
          </cell>
          <cell r="K202" t="str">
            <v>IN</v>
          </cell>
          <cell r="L202" t="str">
            <v>KE</v>
          </cell>
          <cell r="Y202">
            <v>0</v>
          </cell>
          <cell r="Z202">
            <v>0</v>
          </cell>
          <cell r="AA202">
            <v>0</v>
          </cell>
          <cell r="AB202">
            <v>0</v>
          </cell>
          <cell r="AC202">
            <v>0</v>
          </cell>
          <cell r="AD202">
            <v>0</v>
          </cell>
          <cell r="AE202">
            <v>0</v>
          </cell>
          <cell r="AF202">
            <v>0</v>
          </cell>
        </row>
        <row r="203">
          <cell r="B203" t="str">
            <v>IN-KN-A00M310</v>
          </cell>
          <cell r="C203" t="str">
            <v>IN-A00M310</v>
          </cell>
          <cell r="D203" t="str">
            <v>IN-KN</v>
          </cell>
          <cell r="E203" t="str">
            <v>DIV-IN-KN</v>
          </cell>
          <cell r="F203" t="str">
            <v>DIV-KN</v>
          </cell>
          <cell r="G203" t="str">
            <v>A00M310</v>
          </cell>
          <cell r="H203" t="str">
            <v>DIV</v>
          </cell>
          <cell r="I203">
            <v>2001</v>
          </cell>
          <cell r="J203" t="str">
            <v>R</v>
          </cell>
          <cell r="K203" t="str">
            <v>IN</v>
          </cell>
          <cell r="L203" t="str">
            <v>KN</v>
          </cell>
          <cell r="N203">
            <v>1.5</v>
          </cell>
          <cell r="O203">
            <v>1.2</v>
          </cell>
          <cell r="P203">
            <v>6</v>
          </cell>
          <cell r="Q203">
            <v>3.8</v>
          </cell>
          <cell r="Y203">
            <v>27.7</v>
          </cell>
          <cell r="Z203">
            <v>12.5</v>
          </cell>
          <cell r="AA203">
            <v>0</v>
          </cell>
          <cell r="AB203">
            <v>40.200000000000003</v>
          </cell>
          <cell r="AC203">
            <v>12.5</v>
          </cell>
          <cell r="AD203">
            <v>40.200000000000003</v>
          </cell>
          <cell r="AE203">
            <v>0</v>
          </cell>
          <cell r="AF203">
            <v>-1.0425298303599999</v>
          </cell>
        </row>
        <row r="204">
          <cell r="B204" t="str">
            <v>AD-KE-A00M312</v>
          </cell>
          <cell r="C204" t="str">
            <v>AD-A00M312</v>
          </cell>
          <cell r="D204" t="str">
            <v>AD-KE</v>
          </cell>
          <cell r="E204" t="str">
            <v>DIV-AD-KE</v>
          </cell>
          <cell r="F204" t="str">
            <v>DIV-KE</v>
          </cell>
          <cell r="G204" t="str">
            <v>A00M312</v>
          </cell>
          <cell r="H204" t="str">
            <v>DIV</v>
          </cell>
          <cell r="I204">
            <v>2001</v>
          </cell>
          <cell r="J204" t="str">
            <v>R</v>
          </cell>
          <cell r="K204" t="str">
            <v>AD</v>
          </cell>
          <cell r="L204" t="str">
            <v>KE</v>
          </cell>
          <cell r="Y204">
            <v>0</v>
          </cell>
          <cell r="Z204">
            <v>0</v>
          </cell>
          <cell r="AA204">
            <v>0</v>
          </cell>
          <cell r="AB204">
            <v>0</v>
          </cell>
          <cell r="AC204">
            <v>0</v>
          </cell>
          <cell r="AD204">
            <v>0</v>
          </cell>
          <cell r="AE204">
            <v>0</v>
          </cell>
          <cell r="AF204">
            <v>0</v>
          </cell>
        </row>
        <row r="205">
          <cell r="B205" t="str">
            <v>AD-KN-A00M312</v>
          </cell>
          <cell r="C205" t="str">
            <v>AD-A00M312</v>
          </cell>
          <cell r="D205" t="str">
            <v>AD-KN</v>
          </cell>
          <cell r="E205" t="str">
            <v>DIV-AD-KN</v>
          </cell>
          <cell r="F205" t="str">
            <v>DIV-KN</v>
          </cell>
          <cell r="G205" t="str">
            <v>A00M312</v>
          </cell>
          <cell r="H205" t="str">
            <v>DIV</v>
          </cell>
          <cell r="I205">
            <v>2001</v>
          </cell>
          <cell r="J205" t="str">
            <v>R</v>
          </cell>
          <cell r="K205" t="str">
            <v>AD</v>
          </cell>
          <cell r="L205" t="str">
            <v>KN</v>
          </cell>
          <cell r="O205">
            <v>92.2</v>
          </cell>
          <cell r="P205">
            <v>40.200000000000003</v>
          </cell>
          <cell r="Q205">
            <v>-75.7</v>
          </cell>
          <cell r="Y205">
            <v>0</v>
          </cell>
          <cell r="Z205">
            <v>56.7</v>
          </cell>
          <cell r="AA205">
            <v>0</v>
          </cell>
          <cell r="AB205">
            <v>56.7</v>
          </cell>
          <cell r="AC205">
            <v>56.7</v>
          </cell>
          <cell r="AD205">
            <v>56.7</v>
          </cell>
          <cell r="AE205">
            <v>0</v>
          </cell>
          <cell r="AF205">
            <v>-3.2525248308100005</v>
          </cell>
        </row>
        <row r="206">
          <cell r="B206" t="str">
            <v>CO-KE-A00M312</v>
          </cell>
          <cell r="C206" t="str">
            <v>CO-A00M312</v>
          </cell>
          <cell r="D206" t="str">
            <v>CO-KE</v>
          </cell>
          <cell r="E206" t="str">
            <v>DIV-CO-KE</v>
          </cell>
          <cell r="F206" t="str">
            <v>DIV-KE</v>
          </cell>
          <cell r="G206" t="str">
            <v>A00M312</v>
          </cell>
          <cell r="H206" t="str">
            <v>DIV</v>
          </cell>
          <cell r="I206">
            <v>2001</v>
          </cell>
          <cell r="J206" t="str">
            <v>R</v>
          </cell>
          <cell r="K206" t="str">
            <v>CO</v>
          </cell>
          <cell r="L206" t="str">
            <v>KE</v>
          </cell>
          <cell r="Y206">
            <v>0</v>
          </cell>
          <cell r="Z206">
            <v>0</v>
          </cell>
          <cell r="AA206">
            <v>0</v>
          </cell>
          <cell r="AB206">
            <v>0</v>
          </cell>
          <cell r="AC206">
            <v>0</v>
          </cell>
          <cell r="AD206">
            <v>0</v>
          </cell>
          <cell r="AE206">
            <v>0</v>
          </cell>
          <cell r="AF206">
            <v>0</v>
          </cell>
        </row>
        <row r="207">
          <cell r="B207" t="str">
            <v>CO-KN-A00M312</v>
          </cell>
          <cell r="C207" t="str">
            <v>CO-A00M312</v>
          </cell>
          <cell r="D207" t="str">
            <v>CO-KN</v>
          </cell>
          <cell r="E207" t="str">
            <v>DIV-CO-KN</v>
          </cell>
          <cell r="F207" t="str">
            <v>DIV-KN</v>
          </cell>
          <cell r="G207" t="str">
            <v>A00M312</v>
          </cell>
          <cell r="H207" t="str">
            <v>DIV</v>
          </cell>
          <cell r="I207">
            <v>2001</v>
          </cell>
          <cell r="J207" t="str">
            <v>R</v>
          </cell>
          <cell r="K207" t="str">
            <v>CO</v>
          </cell>
          <cell r="L207" t="str">
            <v>KN</v>
          </cell>
          <cell r="Y207">
            <v>0</v>
          </cell>
          <cell r="Z207">
            <v>0</v>
          </cell>
          <cell r="AA207">
            <v>0</v>
          </cell>
          <cell r="AB207">
            <v>0</v>
          </cell>
          <cell r="AC207">
            <v>0</v>
          </cell>
          <cell r="AD207">
            <v>0</v>
          </cell>
          <cell r="AE207">
            <v>0</v>
          </cell>
          <cell r="AF207">
            <v>0</v>
          </cell>
        </row>
        <row r="208">
          <cell r="B208" t="str">
            <v>IN-KE-A00M312</v>
          </cell>
          <cell r="C208" t="str">
            <v>IN-A00M312</v>
          </cell>
          <cell r="D208" t="str">
            <v>IN-KE</v>
          </cell>
          <cell r="E208" t="str">
            <v>DIV-IN-KE</v>
          </cell>
          <cell r="F208" t="str">
            <v>DIV-KE</v>
          </cell>
          <cell r="G208" t="str">
            <v>A00M312</v>
          </cell>
          <cell r="H208" t="str">
            <v>DIV</v>
          </cell>
          <cell r="I208">
            <v>2001</v>
          </cell>
          <cell r="J208" t="str">
            <v>R</v>
          </cell>
          <cell r="K208" t="str">
            <v>IN</v>
          </cell>
          <cell r="L208" t="str">
            <v>KE</v>
          </cell>
          <cell r="Y208">
            <v>0</v>
          </cell>
          <cell r="Z208">
            <v>0</v>
          </cell>
          <cell r="AA208">
            <v>0</v>
          </cell>
          <cell r="AB208">
            <v>0</v>
          </cell>
          <cell r="AC208">
            <v>0</v>
          </cell>
          <cell r="AD208">
            <v>0</v>
          </cell>
          <cell r="AE208">
            <v>0</v>
          </cell>
          <cell r="AF208">
            <v>0</v>
          </cell>
        </row>
        <row r="209">
          <cell r="B209" t="str">
            <v>IN-KN-A00M312</v>
          </cell>
          <cell r="C209" t="str">
            <v>IN-A00M312</v>
          </cell>
          <cell r="D209" t="str">
            <v>IN-KN</v>
          </cell>
          <cell r="E209" t="str">
            <v>DIV-IN-KN</v>
          </cell>
          <cell r="F209" t="str">
            <v>DIV-KN</v>
          </cell>
          <cell r="G209" t="str">
            <v>A00M312</v>
          </cell>
          <cell r="H209" t="str">
            <v>DIV</v>
          </cell>
          <cell r="I209">
            <v>2001</v>
          </cell>
          <cell r="J209" t="str">
            <v>R</v>
          </cell>
          <cell r="K209" t="str">
            <v>IN</v>
          </cell>
          <cell r="L209" t="str">
            <v>KN</v>
          </cell>
          <cell r="O209">
            <v>1.5</v>
          </cell>
          <cell r="P209">
            <v>2</v>
          </cell>
          <cell r="Q209">
            <v>3</v>
          </cell>
          <cell r="Y209">
            <v>1.69</v>
          </cell>
          <cell r="Z209">
            <v>6.5</v>
          </cell>
          <cell r="AA209">
            <v>0</v>
          </cell>
          <cell r="AB209">
            <v>8.19</v>
          </cell>
          <cell r="AC209">
            <v>6.5</v>
          </cell>
          <cell r="AD209">
            <v>8.19</v>
          </cell>
          <cell r="AE209">
            <v>0</v>
          </cell>
          <cell r="AF209">
            <v>-0.57789373030000002</v>
          </cell>
        </row>
        <row r="210">
          <cell r="B210" t="str">
            <v>AD-KE-A00M313</v>
          </cell>
          <cell r="C210" t="str">
            <v>AD-A00M313</v>
          </cell>
          <cell r="D210" t="str">
            <v>AD-KE</v>
          </cell>
          <cell r="E210" t="str">
            <v>DIV-AD-KE</v>
          </cell>
          <cell r="F210" t="str">
            <v>DIV-KE</v>
          </cell>
          <cell r="G210" t="str">
            <v>A00M313</v>
          </cell>
          <cell r="H210" t="str">
            <v>DIV</v>
          </cell>
          <cell r="I210">
            <v>2001</v>
          </cell>
          <cell r="J210" t="str">
            <v>R</v>
          </cell>
          <cell r="K210" t="str">
            <v>AD</v>
          </cell>
          <cell r="L210" t="str">
            <v>KE</v>
          </cell>
          <cell r="Y210">
            <v>0</v>
          </cell>
          <cell r="Z210">
            <v>0</v>
          </cell>
          <cell r="AA210">
            <v>0</v>
          </cell>
          <cell r="AB210">
            <v>0</v>
          </cell>
          <cell r="AC210">
            <v>0</v>
          </cell>
          <cell r="AD210">
            <v>0</v>
          </cell>
          <cell r="AE210">
            <v>0</v>
          </cell>
          <cell r="AF210">
            <v>0</v>
          </cell>
        </row>
        <row r="211">
          <cell r="B211" t="str">
            <v>AD-KN-A00M313</v>
          </cell>
          <cell r="C211" t="str">
            <v>AD-A00M313</v>
          </cell>
          <cell r="D211" t="str">
            <v>AD-KN</v>
          </cell>
          <cell r="E211" t="str">
            <v>DIV-AD-KN</v>
          </cell>
          <cell r="F211" t="str">
            <v>DIV-KN</v>
          </cell>
          <cell r="G211" t="str">
            <v>A00M313</v>
          </cell>
          <cell r="H211" t="str">
            <v>DIV</v>
          </cell>
          <cell r="I211">
            <v>2001</v>
          </cell>
          <cell r="J211" t="str">
            <v>R</v>
          </cell>
          <cell r="K211" t="str">
            <v>AD</v>
          </cell>
          <cell r="L211" t="str">
            <v>KN</v>
          </cell>
          <cell r="M211">
            <v>3.8</v>
          </cell>
          <cell r="N211">
            <v>1.5</v>
          </cell>
          <cell r="O211">
            <v>4.0999999999999996</v>
          </cell>
          <cell r="P211">
            <v>9</v>
          </cell>
          <cell r="Q211">
            <v>-6.5</v>
          </cell>
          <cell r="Y211">
            <v>50.36</v>
          </cell>
          <cell r="Z211">
            <v>11.899999999999999</v>
          </cell>
          <cell r="AA211">
            <v>0</v>
          </cell>
          <cell r="AB211">
            <v>62.26</v>
          </cell>
          <cell r="AC211">
            <v>11.899999999999999</v>
          </cell>
          <cell r="AD211">
            <v>62.26</v>
          </cell>
          <cell r="AE211">
            <v>0</v>
          </cell>
          <cell r="AF211">
            <v>-0.71895041275000005</v>
          </cell>
        </row>
        <row r="212">
          <cell r="B212" t="str">
            <v>CO-KE-A00M313</v>
          </cell>
          <cell r="C212" t="str">
            <v>CO-A00M313</v>
          </cell>
          <cell r="D212" t="str">
            <v>CO-KE</v>
          </cell>
          <cell r="E212" t="str">
            <v>DIV-CO-KE</v>
          </cell>
          <cell r="F212" t="str">
            <v>DIV-KE</v>
          </cell>
          <cell r="G212" t="str">
            <v>A00M313</v>
          </cell>
          <cell r="H212" t="str">
            <v>DIV</v>
          </cell>
          <cell r="I212">
            <v>2001</v>
          </cell>
          <cell r="J212" t="str">
            <v>R</v>
          </cell>
          <cell r="K212" t="str">
            <v>CO</v>
          </cell>
          <cell r="L212" t="str">
            <v>KE</v>
          </cell>
          <cell r="Y212">
            <v>0</v>
          </cell>
          <cell r="Z212">
            <v>0</v>
          </cell>
          <cell r="AA212">
            <v>0</v>
          </cell>
          <cell r="AB212">
            <v>0</v>
          </cell>
          <cell r="AC212">
            <v>0</v>
          </cell>
          <cell r="AD212">
            <v>0</v>
          </cell>
          <cell r="AE212">
            <v>0</v>
          </cell>
          <cell r="AF212">
            <v>0</v>
          </cell>
        </row>
        <row r="213">
          <cell r="B213" t="str">
            <v>CO-KN-A00M313</v>
          </cell>
          <cell r="C213" t="str">
            <v>CO-A00M313</v>
          </cell>
          <cell r="D213" t="str">
            <v>CO-KN</v>
          </cell>
          <cell r="E213" t="str">
            <v>DIV-CO-KN</v>
          </cell>
          <cell r="F213" t="str">
            <v>DIV-KN</v>
          </cell>
          <cell r="G213" t="str">
            <v>A00M313</v>
          </cell>
          <cell r="H213" t="str">
            <v>DIV</v>
          </cell>
          <cell r="I213">
            <v>2001</v>
          </cell>
          <cell r="J213" t="str">
            <v>R</v>
          </cell>
          <cell r="K213" t="str">
            <v>CO</v>
          </cell>
          <cell r="L213" t="str">
            <v>KN</v>
          </cell>
          <cell r="M213">
            <v>0.1</v>
          </cell>
          <cell r="N213">
            <v>0.6</v>
          </cell>
          <cell r="O213">
            <v>0.7</v>
          </cell>
          <cell r="P213">
            <v>0.6</v>
          </cell>
          <cell r="Q213">
            <v>0.2</v>
          </cell>
          <cell r="Y213">
            <v>0.79</v>
          </cell>
          <cell r="Z213">
            <v>2.2000000000000002</v>
          </cell>
          <cell r="AA213">
            <v>0</v>
          </cell>
          <cell r="AB213">
            <v>2.99</v>
          </cell>
          <cell r="AC213">
            <v>2.2000000000000002</v>
          </cell>
          <cell r="AD213">
            <v>2.99</v>
          </cell>
          <cell r="AE213">
            <v>0</v>
          </cell>
          <cell r="AF213">
            <v>-0.15052881152</v>
          </cell>
        </row>
        <row r="214">
          <cell r="B214" t="str">
            <v>IN-KE-A00M313</v>
          </cell>
          <cell r="C214" t="str">
            <v>IN-A00M313</v>
          </cell>
          <cell r="D214" t="str">
            <v>IN-KE</v>
          </cell>
          <cell r="E214" t="str">
            <v>DIV-IN-KE</v>
          </cell>
          <cell r="F214" t="str">
            <v>DIV-KE</v>
          </cell>
          <cell r="G214" t="str">
            <v>A00M313</v>
          </cell>
          <cell r="H214" t="str">
            <v>DIV</v>
          </cell>
          <cell r="I214">
            <v>2001</v>
          </cell>
          <cell r="J214" t="str">
            <v>R</v>
          </cell>
          <cell r="K214" t="str">
            <v>IN</v>
          </cell>
          <cell r="L214" t="str">
            <v>KE</v>
          </cell>
          <cell r="Y214">
            <v>0</v>
          </cell>
          <cell r="Z214">
            <v>0</v>
          </cell>
          <cell r="AA214">
            <v>0</v>
          </cell>
          <cell r="AB214">
            <v>0</v>
          </cell>
          <cell r="AC214">
            <v>0</v>
          </cell>
          <cell r="AD214">
            <v>0</v>
          </cell>
          <cell r="AE214">
            <v>0</v>
          </cell>
          <cell r="AF214">
            <v>0</v>
          </cell>
        </row>
        <row r="215">
          <cell r="B215" t="str">
            <v>IN-KN-A00M313</v>
          </cell>
          <cell r="C215" t="str">
            <v>IN-A00M313</v>
          </cell>
          <cell r="D215" t="str">
            <v>IN-KN</v>
          </cell>
          <cell r="E215" t="str">
            <v>DIV-IN-KN</v>
          </cell>
          <cell r="F215" t="str">
            <v>DIV-KN</v>
          </cell>
          <cell r="G215" t="str">
            <v>A00M313</v>
          </cell>
          <cell r="H215" t="str">
            <v>DIV</v>
          </cell>
          <cell r="I215">
            <v>2001</v>
          </cell>
          <cell r="J215" t="str">
            <v>R</v>
          </cell>
          <cell r="K215" t="str">
            <v>IN</v>
          </cell>
          <cell r="L215" t="str">
            <v>KN</v>
          </cell>
          <cell r="N215">
            <v>1.8</v>
          </cell>
          <cell r="O215">
            <v>1.6</v>
          </cell>
          <cell r="P215">
            <v>5.3</v>
          </cell>
          <cell r="Q215">
            <v>3.9</v>
          </cell>
          <cell r="Y215">
            <v>18.739999999999998</v>
          </cell>
          <cell r="Z215">
            <v>12.6</v>
          </cell>
          <cell r="AA215">
            <v>0</v>
          </cell>
          <cell r="AB215">
            <v>31.339999999999996</v>
          </cell>
          <cell r="AC215">
            <v>12.6</v>
          </cell>
          <cell r="AD215">
            <v>31.339999999999996</v>
          </cell>
          <cell r="AE215">
            <v>0</v>
          </cell>
          <cell r="AF215">
            <v>-1.02955884586</v>
          </cell>
        </row>
        <row r="216">
          <cell r="B216" t="str">
            <v>AD-KE-A00M315</v>
          </cell>
          <cell r="C216" t="str">
            <v>AD-A00M315</v>
          </cell>
          <cell r="D216" t="str">
            <v>AD-KE</v>
          </cell>
          <cell r="E216" t="str">
            <v>DIV-AD-KE</v>
          </cell>
          <cell r="F216" t="str">
            <v>DIV-KE</v>
          </cell>
          <cell r="G216" t="str">
            <v>A00M315</v>
          </cell>
          <cell r="H216" t="str">
            <v>DIV</v>
          </cell>
          <cell r="I216">
            <v>2000</v>
          </cell>
          <cell r="J216" t="str">
            <v>R</v>
          </cell>
          <cell r="K216" t="str">
            <v>AD</v>
          </cell>
          <cell r="L216" t="str">
            <v>KE</v>
          </cell>
          <cell r="Y216">
            <v>0</v>
          </cell>
          <cell r="Z216">
            <v>0</v>
          </cell>
          <cell r="AA216">
            <v>0</v>
          </cell>
          <cell r="AB216">
            <v>0</v>
          </cell>
          <cell r="AC216">
            <v>0</v>
          </cell>
          <cell r="AD216">
            <v>0</v>
          </cell>
          <cell r="AE216">
            <v>0</v>
          </cell>
          <cell r="AF216">
            <v>0</v>
          </cell>
        </row>
        <row r="217">
          <cell r="B217" t="str">
            <v>AD-KN-A00M315</v>
          </cell>
          <cell r="C217" t="str">
            <v>AD-A00M315</v>
          </cell>
          <cell r="D217" t="str">
            <v>AD-KN</v>
          </cell>
          <cell r="E217" t="str">
            <v>DIV-AD-KN</v>
          </cell>
          <cell r="F217" t="str">
            <v>DIV-KN</v>
          </cell>
          <cell r="G217" t="str">
            <v>A00M315</v>
          </cell>
          <cell r="H217" t="str">
            <v>DIV</v>
          </cell>
          <cell r="I217">
            <v>2000</v>
          </cell>
          <cell r="J217" t="str">
            <v>R</v>
          </cell>
          <cell r="K217" t="str">
            <v>AD</v>
          </cell>
          <cell r="L217" t="str">
            <v>KN</v>
          </cell>
          <cell r="Y217">
            <v>0</v>
          </cell>
          <cell r="Z217">
            <v>0</v>
          </cell>
          <cell r="AA217">
            <v>0</v>
          </cell>
          <cell r="AB217">
            <v>0</v>
          </cell>
          <cell r="AC217">
            <v>0</v>
          </cell>
          <cell r="AD217">
            <v>0</v>
          </cell>
          <cell r="AE217">
            <v>0</v>
          </cell>
          <cell r="AF217">
            <v>0</v>
          </cell>
        </row>
        <row r="218">
          <cell r="B218" t="str">
            <v>CO-KE-A00M315</v>
          </cell>
          <cell r="C218" t="str">
            <v>CO-A00M315</v>
          </cell>
          <cell r="D218" t="str">
            <v>CO-KE</v>
          </cell>
          <cell r="E218" t="str">
            <v>DIV-CO-KE</v>
          </cell>
          <cell r="F218" t="str">
            <v>DIV-KE</v>
          </cell>
          <cell r="G218" t="str">
            <v>A00M315</v>
          </cell>
          <cell r="H218" t="str">
            <v>DIV</v>
          </cell>
          <cell r="I218">
            <v>2000</v>
          </cell>
          <cell r="J218" t="str">
            <v>R</v>
          </cell>
          <cell r="K218" t="str">
            <v>CO</v>
          </cell>
          <cell r="L218" t="str">
            <v>KE</v>
          </cell>
          <cell r="Y218">
            <v>0</v>
          </cell>
          <cell r="Z218">
            <v>0</v>
          </cell>
          <cell r="AA218">
            <v>0</v>
          </cell>
          <cell r="AB218">
            <v>0</v>
          </cell>
          <cell r="AC218">
            <v>0</v>
          </cell>
          <cell r="AD218">
            <v>0</v>
          </cell>
          <cell r="AE218">
            <v>0</v>
          </cell>
          <cell r="AF218">
            <v>0</v>
          </cell>
        </row>
        <row r="219">
          <cell r="B219" t="str">
            <v>CO-KN-A00M315</v>
          </cell>
          <cell r="C219" t="str">
            <v>CO-A00M315</v>
          </cell>
          <cell r="D219" t="str">
            <v>CO-KN</v>
          </cell>
          <cell r="E219" t="str">
            <v>DIV-CO-KN</v>
          </cell>
          <cell r="F219" t="str">
            <v>DIV-KN</v>
          </cell>
          <cell r="G219" t="str">
            <v>A00M315</v>
          </cell>
          <cell r="H219" t="str">
            <v>DIV</v>
          </cell>
          <cell r="I219">
            <v>2000</v>
          </cell>
          <cell r="J219" t="str">
            <v>R</v>
          </cell>
          <cell r="K219" t="str">
            <v>CO</v>
          </cell>
          <cell r="L219" t="str">
            <v>KN</v>
          </cell>
          <cell r="Y219">
            <v>0</v>
          </cell>
          <cell r="Z219">
            <v>0</v>
          </cell>
          <cell r="AA219">
            <v>0</v>
          </cell>
          <cell r="AB219">
            <v>0</v>
          </cell>
          <cell r="AC219">
            <v>0</v>
          </cell>
          <cell r="AD219">
            <v>0</v>
          </cell>
          <cell r="AE219">
            <v>0</v>
          </cell>
          <cell r="AF219">
            <v>0</v>
          </cell>
        </row>
        <row r="220">
          <cell r="B220" t="str">
            <v>IN-KE-A00M315</v>
          </cell>
          <cell r="C220" t="str">
            <v>IN-A00M315</v>
          </cell>
          <cell r="D220" t="str">
            <v>IN-KE</v>
          </cell>
          <cell r="E220" t="str">
            <v>DIV-IN-KE</v>
          </cell>
          <cell r="F220" t="str">
            <v>DIV-KE</v>
          </cell>
          <cell r="G220" t="str">
            <v>A00M315</v>
          </cell>
          <cell r="H220" t="str">
            <v>DIV</v>
          </cell>
          <cell r="I220">
            <v>2000</v>
          </cell>
          <cell r="J220" t="str">
            <v>R</v>
          </cell>
          <cell r="K220" t="str">
            <v>IN</v>
          </cell>
          <cell r="L220" t="str">
            <v>KE</v>
          </cell>
          <cell r="Y220">
            <v>0</v>
          </cell>
          <cell r="Z220">
            <v>0</v>
          </cell>
          <cell r="AA220">
            <v>0</v>
          </cell>
          <cell r="AB220">
            <v>0</v>
          </cell>
          <cell r="AC220">
            <v>0</v>
          </cell>
          <cell r="AD220">
            <v>0</v>
          </cell>
          <cell r="AE220">
            <v>0</v>
          </cell>
          <cell r="AF220">
            <v>0</v>
          </cell>
        </row>
        <row r="221">
          <cell r="B221" t="str">
            <v>IN-KN-A00M315</v>
          </cell>
          <cell r="C221" t="str">
            <v>IN-A00M315</v>
          </cell>
          <cell r="D221" t="str">
            <v>IN-KN</v>
          </cell>
          <cell r="E221" t="str">
            <v>DIV-IN-KN</v>
          </cell>
          <cell r="F221" t="str">
            <v>DIV-KN</v>
          </cell>
          <cell r="G221" t="str">
            <v>A00M315</v>
          </cell>
          <cell r="H221" t="str">
            <v>DIV</v>
          </cell>
          <cell r="I221">
            <v>2000</v>
          </cell>
          <cell r="J221" t="str">
            <v>R</v>
          </cell>
          <cell r="K221" t="str">
            <v>IN</v>
          </cell>
          <cell r="L221" t="str">
            <v>KN</v>
          </cell>
          <cell r="Y221">
            <v>0</v>
          </cell>
          <cell r="Z221">
            <v>0</v>
          </cell>
          <cell r="AA221">
            <v>0</v>
          </cell>
          <cell r="AB221">
            <v>0</v>
          </cell>
          <cell r="AC221">
            <v>0</v>
          </cell>
          <cell r="AD221">
            <v>0</v>
          </cell>
          <cell r="AE221">
            <v>0</v>
          </cell>
          <cell r="AF221">
            <v>0</v>
          </cell>
        </row>
        <row r="222">
          <cell r="B222" t="str">
            <v>AD-KE-A00M318</v>
          </cell>
          <cell r="C222" t="str">
            <v>AD-A00M318</v>
          </cell>
          <cell r="D222" t="str">
            <v>AD-KE</v>
          </cell>
          <cell r="E222" t="str">
            <v>DIV-AD-KE</v>
          </cell>
          <cell r="F222" t="str">
            <v>DIV-KE</v>
          </cell>
          <cell r="G222" t="str">
            <v>A00M318</v>
          </cell>
          <cell r="H222" t="str">
            <v>DIV</v>
          </cell>
          <cell r="I222">
            <v>2001</v>
          </cell>
          <cell r="J222" t="str">
            <v>R</v>
          </cell>
          <cell r="K222" t="str">
            <v>AD</v>
          </cell>
          <cell r="L222" t="str">
            <v>KE</v>
          </cell>
          <cell r="Y222">
            <v>0</v>
          </cell>
          <cell r="Z222">
            <v>0</v>
          </cell>
          <cell r="AA222">
            <v>0</v>
          </cell>
          <cell r="AB222">
            <v>0</v>
          </cell>
          <cell r="AC222">
            <v>0</v>
          </cell>
          <cell r="AD222">
            <v>0</v>
          </cell>
          <cell r="AE222">
            <v>0</v>
          </cell>
          <cell r="AF222">
            <v>0</v>
          </cell>
        </row>
        <row r="223">
          <cell r="B223" t="str">
            <v>AD-KN-A00M318</v>
          </cell>
          <cell r="C223" t="str">
            <v>AD-A00M318</v>
          </cell>
          <cell r="D223" t="str">
            <v>AD-KN</v>
          </cell>
          <cell r="E223" t="str">
            <v>DIV-AD-KN</v>
          </cell>
          <cell r="F223" t="str">
            <v>DIV-KN</v>
          </cell>
          <cell r="G223" t="str">
            <v>A00M318</v>
          </cell>
          <cell r="H223" t="str">
            <v>DIV</v>
          </cell>
          <cell r="I223">
            <v>2001</v>
          </cell>
          <cell r="J223" t="str">
            <v>R</v>
          </cell>
          <cell r="K223" t="str">
            <v>AD</v>
          </cell>
          <cell r="L223" t="str">
            <v>KN</v>
          </cell>
          <cell r="N223">
            <v>3.3</v>
          </cell>
          <cell r="O223">
            <v>12.5</v>
          </cell>
          <cell r="P223">
            <v>2.1</v>
          </cell>
          <cell r="Q223">
            <v>0.6</v>
          </cell>
          <cell r="Y223">
            <v>32.840000000000003</v>
          </cell>
          <cell r="Z223">
            <v>18.500000000000004</v>
          </cell>
          <cell r="AA223">
            <v>0</v>
          </cell>
          <cell r="AB223">
            <v>51.34</v>
          </cell>
          <cell r="AC223">
            <v>18.500000000000004</v>
          </cell>
          <cell r="AD223">
            <v>51.34</v>
          </cell>
          <cell r="AE223">
            <v>0</v>
          </cell>
          <cell r="AF223">
            <v>-1.2927247643099999</v>
          </cell>
        </row>
        <row r="224">
          <cell r="B224" t="str">
            <v>CO-KE-A00M318</v>
          </cell>
          <cell r="C224" t="str">
            <v>CO-A00M318</v>
          </cell>
          <cell r="D224" t="str">
            <v>CO-KE</v>
          </cell>
          <cell r="E224" t="str">
            <v>DIV-CO-KE</v>
          </cell>
          <cell r="F224" t="str">
            <v>DIV-KE</v>
          </cell>
          <cell r="G224" t="str">
            <v>A00M318</v>
          </cell>
          <cell r="H224" t="str">
            <v>DIV</v>
          </cell>
          <cell r="I224">
            <v>2001</v>
          </cell>
          <cell r="J224" t="str">
            <v>R</v>
          </cell>
          <cell r="K224" t="str">
            <v>CO</v>
          </cell>
          <cell r="L224" t="str">
            <v>KE</v>
          </cell>
          <cell r="Y224">
            <v>0</v>
          </cell>
          <cell r="Z224">
            <v>0</v>
          </cell>
          <cell r="AA224">
            <v>0</v>
          </cell>
          <cell r="AB224">
            <v>0</v>
          </cell>
          <cell r="AC224">
            <v>0</v>
          </cell>
          <cell r="AD224">
            <v>0</v>
          </cell>
          <cell r="AE224">
            <v>0</v>
          </cell>
          <cell r="AF224">
            <v>0</v>
          </cell>
        </row>
        <row r="225">
          <cell r="B225" t="str">
            <v>CO-KN-A00M318</v>
          </cell>
          <cell r="C225" t="str">
            <v>CO-A00M318</v>
          </cell>
          <cell r="D225" t="str">
            <v>CO-KN</v>
          </cell>
          <cell r="E225" t="str">
            <v>DIV-CO-KN</v>
          </cell>
          <cell r="F225" t="str">
            <v>DIV-KN</v>
          </cell>
          <cell r="G225" t="str">
            <v>A00M318</v>
          </cell>
          <cell r="H225" t="str">
            <v>DIV</v>
          </cell>
          <cell r="I225">
            <v>2001</v>
          </cell>
          <cell r="J225" t="str">
            <v>R</v>
          </cell>
          <cell r="K225" t="str">
            <v>CO</v>
          </cell>
          <cell r="L225" t="str">
            <v>KN</v>
          </cell>
          <cell r="M225">
            <v>0.2</v>
          </cell>
          <cell r="N225">
            <v>3.6</v>
          </cell>
          <cell r="O225">
            <v>20.7</v>
          </cell>
          <cell r="P225">
            <v>26.7</v>
          </cell>
          <cell r="Q225">
            <v>10.7</v>
          </cell>
          <cell r="Y225">
            <v>19.43</v>
          </cell>
          <cell r="Z225">
            <v>61.900000000000006</v>
          </cell>
          <cell r="AA225">
            <v>0</v>
          </cell>
          <cell r="AB225">
            <v>81.330000000000013</v>
          </cell>
          <cell r="AC225">
            <v>61.900000000000006</v>
          </cell>
          <cell r="AD225">
            <v>81.330000000000013</v>
          </cell>
          <cell r="AE225">
            <v>0</v>
          </cell>
          <cell r="AF225">
            <v>-5.0949555648000002</v>
          </cell>
        </row>
        <row r="226">
          <cell r="B226" t="str">
            <v>IN-KE-A00M318</v>
          </cell>
          <cell r="C226" t="str">
            <v>IN-A00M318</v>
          </cell>
          <cell r="D226" t="str">
            <v>IN-KE</v>
          </cell>
          <cell r="E226" t="str">
            <v>DIV-IN-KE</v>
          </cell>
          <cell r="F226" t="str">
            <v>DIV-KE</v>
          </cell>
          <cell r="G226" t="str">
            <v>A00M318</v>
          </cell>
          <cell r="H226" t="str">
            <v>DIV</v>
          </cell>
          <cell r="I226">
            <v>2001</v>
          </cell>
          <cell r="J226" t="str">
            <v>R</v>
          </cell>
          <cell r="K226" t="str">
            <v>IN</v>
          </cell>
          <cell r="L226" t="str">
            <v>KE</v>
          </cell>
          <cell r="Y226">
            <v>0</v>
          </cell>
          <cell r="Z226">
            <v>0</v>
          </cell>
          <cell r="AA226">
            <v>0</v>
          </cell>
          <cell r="AB226">
            <v>0</v>
          </cell>
          <cell r="AC226">
            <v>0</v>
          </cell>
          <cell r="AD226">
            <v>0</v>
          </cell>
          <cell r="AE226">
            <v>0</v>
          </cell>
          <cell r="AF226">
            <v>0</v>
          </cell>
        </row>
        <row r="227">
          <cell r="B227" t="str">
            <v>IN-KN-A00M318</v>
          </cell>
          <cell r="C227" t="str">
            <v>IN-A00M318</v>
          </cell>
          <cell r="D227" t="str">
            <v>IN-KN</v>
          </cell>
          <cell r="E227" t="str">
            <v>DIV-IN-KN</v>
          </cell>
          <cell r="F227" t="str">
            <v>DIV-KN</v>
          </cell>
          <cell r="G227" t="str">
            <v>A00M318</v>
          </cell>
          <cell r="H227" t="str">
            <v>DIV</v>
          </cell>
          <cell r="I227">
            <v>2001</v>
          </cell>
          <cell r="J227" t="str">
            <v>R</v>
          </cell>
          <cell r="K227" t="str">
            <v>IN</v>
          </cell>
          <cell r="L227" t="str">
            <v>KN</v>
          </cell>
          <cell r="N227">
            <v>7.5</v>
          </cell>
          <cell r="O227">
            <v>8.9</v>
          </cell>
          <cell r="P227">
            <v>2.7</v>
          </cell>
          <cell r="Q227">
            <v>4.5999999999999996</v>
          </cell>
          <cell r="Y227">
            <v>84.5</v>
          </cell>
          <cell r="Z227">
            <v>23.699999999999996</v>
          </cell>
          <cell r="AA227">
            <v>0</v>
          </cell>
          <cell r="AB227">
            <v>108.19999999999999</v>
          </cell>
          <cell r="AC227">
            <v>23.699999999999996</v>
          </cell>
          <cell r="AD227">
            <v>108.19999999999999</v>
          </cell>
          <cell r="AE227">
            <v>0</v>
          </cell>
          <cell r="AF227">
            <v>-1.6054632187699998</v>
          </cell>
        </row>
        <row r="228">
          <cell r="B228" t="str">
            <v>AD-KE-A00M319</v>
          </cell>
          <cell r="C228" t="str">
            <v>AD-A00M319</v>
          </cell>
          <cell r="D228" t="str">
            <v>AD-KE</v>
          </cell>
          <cell r="E228" t="str">
            <v>DIV-AD-KE</v>
          </cell>
          <cell r="F228" t="str">
            <v>DIV-KE</v>
          </cell>
          <cell r="G228" t="str">
            <v>A00M319</v>
          </cell>
          <cell r="H228" t="str">
            <v>DIV</v>
          </cell>
          <cell r="I228">
            <v>2001</v>
          </cell>
          <cell r="J228" t="str">
            <v>R</v>
          </cell>
          <cell r="K228" t="str">
            <v>AD</v>
          </cell>
          <cell r="L228" t="str">
            <v>KE</v>
          </cell>
          <cell r="Y228">
            <v>0</v>
          </cell>
          <cell r="Z228">
            <v>0</v>
          </cell>
          <cell r="AA228">
            <v>0</v>
          </cell>
          <cell r="AB228">
            <v>0</v>
          </cell>
          <cell r="AC228">
            <v>0</v>
          </cell>
          <cell r="AD228">
            <v>0</v>
          </cell>
          <cell r="AE228">
            <v>0</v>
          </cell>
          <cell r="AF228">
            <v>0</v>
          </cell>
        </row>
        <row r="229">
          <cell r="B229" t="str">
            <v>AD-KN-A00M319</v>
          </cell>
          <cell r="C229" t="str">
            <v>AD-A00M319</v>
          </cell>
          <cell r="D229" t="str">
            <v>AD-KN</v>
          </cell>
          <cell r="E229" t="str">
            <v>DIV-AD-KN</v>
          </cell>
          <cell r="F229" t="str">
            <v>DIV-KN</v>
          </cell>
          <cell r="G229" t="str">
            <v>A00M319</v>
          </cell>
          <cell r="H229" t="str">
            <v>DIV</v>
          </cell>
          <cell r="I229">
            <v>2001</v>
          </cell>
          <cell r="J229" t="str">
            <v>R</v>
          </cell>
          <cell r="K229" t="str">
            <v>AD</v>
          </cell>
          <cell r="L229" t="str">
            <v>KN</v>
          </cell>
          <cell r="Y229">
            <v>26.21</v>
          </cell>
          <cell r="Z229">
            <v>0</v>
          </cell>
          <cell r="AA229">
            <v>0</v>
          </cell>
          <cell r="AB229">
            <v>26.21</v>
          </cell>
          <cell r="AC229">
            <v>0</v>
          </cell>
          <cell r="AD229">
            <v>26.21</v>
          </cell>
          <cell r="AE229">
            <v>0</v>
          </cell>
          <cell r="AF229">
            <v>0</v>
          </cell>
        </row>
        <row r="230">
          <cell r="B230" t="str">
            <v>CO-KE-A00M319</v>
          </cell>
          <cell r="C230" t="str">
            <v>CO-A00M319</v>
          </cell>
          <cell r="D230" t="str">
            <v>CO-KE</v>
          </cell>
          <cell r="E230" t="str">
            <v>DIV-CO-KE</v>
          </cell>
          <cell r="F230" t="str">
            <v>DIV-KE</v>
          </cell>
          <cell r="G230" t="str">
            <v>A00M319</v>
          </cell>
          <cell r="H230" t="str">
            <v>DIV</v>
          </cell>
          <cell r="I230">
            <v>2001</v>
          </cell>
          <cell r="J230" t="str">
            <v>R</v>
          </cell>
          <cell r="K230" t="str">
            <v>CO</v>
          </cell>
          <cell r="L230" t="str">
            <v>KE</v>
          </cell>
          <cell r="Y230">
            <v>0</v>
          </cell>
          <cell r="Z230">
            <v>0</v>
          </cell>
          <cell r="AA230">
            <v>0</v>
          </cell>
          <cell r="AB230">
            <v>0</v>
          </cell>
          <cell r="AC230">
            <v>0</v>
          </cell>
          <cell r="AD230">
            <v>0</v>
          </cell>
          <cell r="AE230">
            <v>0</v>
          </cell>
          <cell r="AF230">
            <v>0</v>
          </cell>
        </row>
        <row r="231">
          <cell r="B231" t="str">
            <v>CO-KN-A00M319</v>
          </cell>
          <cell r="C231" t="str">
            <v>CO-A00M319</v>
          </cell>
          <cell r="D231" t="str">
            <v>CO-KN</v>
          </cell>
          <cell r="E231" t="str">
            <v>DIV-CO-KN</v>
          </cell>
          <cell r="F231" t="str">
            <v>DIV-KN</v>
          </cell>
          <cell r="G231" t="str">
            <v>A00M319</v>
          </cell>
          <cell r="H231" t="str">
            <v>DIV</v>
          </cell>
          <cell r="I231">
            <v>2001</v>
          </cell>
          <cell r="J231" t="str">
            <v>R</v>
          </cell>
          <cell r="K231" t="str">
            <v>CO</v>
          </cell>
          <cell r="L231" t="str">
            <v>KN</v>
          </cell>
          <cell r="Y231">
            <v>0</v>
          </cell>
          <cell r="Z231">
            <v>0</v>
          </cell>
          <cell r="AA231">
            <v>0</v>
          </cell>
          <cell r="AB231">
            <v>0</v>
          </cell>
          <cell r="AC231">
            <v>0</v>
          </cell>
          <cell r="AD231">
            <v>0</v>
          </cell>
          <cell r="AE231">
            <v>0</v>
          </cell>
          <cell r="AF231">
            <v>0</v>
          </cell>
        </row>
        <row r="232">
          <cell r="B232" t="str">
            <v>IN-KE-A00M319</v>
          </cell>
          <cell r="C232" t="str">
            <v>IN-A00M319</v>
          </cell>
          <cell r="D232" t="str">
            <v>IN-KE</v>
          </cell>
          <cell r="E232" t="str">
            <v>DIV-IN-KE</v>
          </cell>
          <cell r="F232" t="str">
            <v>DIV-KE</v>
          </cell>
          <cell r="G232" t="str">
            <v>A00M319</v>
          </cell>
          <cell r="H232" t="str">
            <v>DIV</v>
          </cell>
          <cell r="I232">
            <v>2001</v>
          </cell>
          <cell r="J232" t="str">
            <v>R</v>
          </cell>
          <cell r="K232" t="str">
            <v>IN</v>
          </cell>
          <cell r="L232" t="str">
            <v>KE</v>
          </cell>
          <cell r="Y232">
            <v>0</v>
          </cell>
          <cell r="Z232">
            <v>0</v>
          </cell>
          <cell r="AA232">
            <v>0</v>
          </cell>
          <cell r="AB232">
            <v>0</v>
          </cell>
          <cell r="AC232">
            <v>0</v>
          </cell>
          <cell r="AD232">
            <v>0</v>
          </cell>
          <cell r="AE232">
            <v>0</v>
          </cell>
          <cell r="AF232">
            <v>0</v>
          </cell>
        </row>
        <row r="233">
          <cell r="B233" t="str">
            <v>IN-KN-A00M319</v>
          </cell>
          <cell r="C233" t="str">
            <v>IN-A00M319</v>
          </cell>
          <cell r="D233" t="str">
            <v>IN-KN</v>
          </cell>
          <cell r="E233" t="str">
            <v>DIV-IN-KN</v>
          </cell>
          <cell r="F233" t="str">
            <v>DIV-KN</v>
          </cell>
          <cell r="G233" t="str">
            <v>A00M319</v>
          </cell>
          <cell r="H233" t="str">
            <v>DIV</v>
          </cell>
          <cell r="I233">
            <v>2001</v>
          </cell>
          <cell r="J233" t="str">
            <v>R</v>
          </cell>
          <cell r="K233" t="str">
            <v>IN</v>
          </cell>
          <cell r="L233" t="str">
            <v>KN</v>
          </cell>
          <cell r="M233">
            <v>0.4</v>
          </cell>
          <cell r="N233">
            <v>1.3</v>
          </cell>
          <cell r="O233">
            <v>1.5</v>
          </cell>
          <cell r="Y233">
            <v>5.56</v>
          </cell>
          <cell r="Z233">
            <v>3.2</v>
          </cell>
          <cell r="AA233">
            <v>0</v>
          </cell>
          <cell r="AB233">
            <v>8.76</v>
          </cell>
          <cell r="AC233">
            <v>3.2</v>
          </cell>
          <cell r="AD233">
            <v>8.76</v>
          </cell>
          <cell r="AE233">
            <v>0</v>
          </cell>
          <cell r="AF233">
            <v>-0.17538639249999999</v>
          </cell>
        </row>
        <row r="234">
          <cell r="B234" t="str">
            <v>AD-KE-A00M321</v>
          </cell>
          <cell r="C234" t="str">
            <v>AD-A00M321</v>
          </cell>
          <cell r="D234" t="str">
            <v>AD-KE</v>
          </cell>
          <cell r="E234" t="str">
            <v>DIV-AD-KE</v>
          </cell>
          <cell r="F234" t="str">
            <v>DIV-KE</v>
          </cell>
          <cell r="G234" t="str">
            <v>A00M321</v>
          </cell>
          <cell r="H234" t="str">
            <v>DIV</v>
          </cell>
          <cell r="I234">
            <v>2000</v>
          </cell>
          <cell r="J234" t="str">
            <v>R</v>
          </cell>
          <cell r="K234" t="str">
            <v>AD</v>
          </cell>
          <cell r="L234" t="str">
            <v>KE</v>
          </cell>
          <cell r="Y234">
            <v>0</v>
          </cell>
          <cell r="Z234">
            <v>0</v>
          </cell>
          <cell r="AA234">
            <v>0</v>
          </cell>
          <cell r="AB234">
            <v>0</v>
          </cell>
          <cell r="AC234">
            <v>0</v>
          </cell>
          <cell r="AD234">
            <v>0</v>
          </cell>
          <cell r="AE234">
            <v>0</v>
          </cell>
          <cell r="AF234">
            <v>0</v>
          </cell>
        </row>
        <row r="235">
          <cell r="B235" t="str">
            <v>AD-KN-A00M321</v>
          </cell>
          <cell r="C235" t="str">
            <v>AD-A00M321</v>
          </cell>
          <cell r="D235" t="str">
            <v>AD-KN</v>
          </cell>
          <cell r="E235" t="str">
            <v>DIV-AD-KN</v>
          </cell>
          <cell r="F235" t="str">
            <v>DIV-KN</v>
          </cell>
          <cell r="G235" t="str">
            <v>A00M321</v>
          </cell>
          <cell r="H235" t="str">
            <v>DIV</v>
          </cell>
          <cell r="I235">
            <v>2000</v>
          </cell>
          <cell r="J235" t="str">
            <v>R</v>
          </cell>
          <cell r="K235" t="str">
            <v>AD</v>
          </cell>
          <cell r="L235" t="str">
            <v>KN</v>
          </cell>
          <cell r="Y235">
            <v>0</v>
          </cell>
          <cell r="Z235">
            <v>0</v>
          </cell>
          <cell r="AA235">
            <v>0</v>
          </cell>
          <cell r="AB235">
            <v>0</v>
          </cell>
          <cell r="AC235">
            <v>0</v>
          </cell>
          <cell r="AD235">
            <v>0</v>
          </cell>
          <cell r="AE235">
            <v>0</v>
          </cell>
          <cell r="AF235">
            <v>0</v>
          </cell>
        </row>
        <row r="236">
          <cell r="B236" t="str">
            <v>CO-KE-A00M321</v>
          </cell>
          <cell r="C236" t="str">
            <v>CO-A00M321</v>
          </cell>
          <cell r="D236" t="str">
            <v>CO-KE</v>
          </cell>
          <cell r="E236" t="str">
            <v>DIV-CO-KE</v>
          </cell>
          <cell r="F236" t="str">
            <v>DIV-KE</v>
          </cell>
          <cell r="G236" t="str">
            <v>A00M321</v>
          </cell>
          <cell r="H236" t="str">
            <v>DIV</v>
          </cell>
          <cell r="I236">
            <v>2000</v>
          </cell>
          <cell r="J236" t="str">
            <v>R</v>
          </cell>
          <cell r="K236" t="str">
            <v>CO</v>
          </cell>
          <cell r="L236" t="str">
            <v>KE</v>
          </cell>
          <cell r="Y236">
            <v>0</v>
          </cell>
          <cell r="Z236">
            <v>0</v>
          </cell>
          <cell r="AA236">
            <v>0</v>
          </cell>
          <cell r="AB236">
            <v>0</v>
          </cell>
          <cell r="AC236">
            <v>0</v>
          </cell>
          <cell r="AD236">
            <v>0</v>
          </cell>
          <cell r="AE236">
            <v>0</v>
          </cell>
          <cell r="AF236">
            <v>0</v>
          </cell>
        </row>
        <row r="237">
          <cell r="B237" t="str">
            <v>CO-KN-A00M321</v>
          </cell>
          <cell r="C237" t="str">
            <v>CO-A00M321</v>
          </cell>
          <cell r="D237" t="str">
            <v>CO-KN</v>
          </cell>
          <cell r="E237" t="str">
            <v>DIV-CO-KN</v>
          </cell>
          <cell r="F237" t="str">
            <v>DIV-KN</v>
          </cell>
          <cell r="G237" t="str">
            <v>A00M321</v>
          </cell>
          <cell r="H237" t="str">
            <v>DIV</v>
          </cell>
          <cell r="I237">
            <v>2000</v>
          </cell>
          <cell r="J237" t="str">
            <v>R</v>
          </cell>
          <cell r="K237" t="str">
            <v>CO</v>
          </cell>
          <cell r="L237" t="str">
            <v>KN</v>
          </cell>
          <cell r="Y237">
            <v>0</v>
          </cell>
          <cell r="Z237">
            <v>0</v>
          </cell>
          <cell r="AA237">
            <v>0</v>
          </cell>
          <cell r="AB237">
            <v>0</v>
          </cell>
          <cell r="AC237">
            <v>0</v>
          </cell>
          <cell r="AD237">
            <v>0</v>
          </cell>
          <cell r="AE237">
            <v>0</v>
          </cell>
          <cell r="AF237">
            <v>0</v>
          </cell>
        </row>
        <row r="238">
          <cell r="B238" t="str">
            <v>IN-KE-A00M321</v>
          </cell>
          <cell r="C238" t="str">
            <v>IN-A00M321</v>
          </cell>
          <cell r="D238" t="str">
            <v>IN-KE</v>
          </cell>
          <cell r="E238" t="str">
            <v>DIV-IN-KE</v>
          </cell>
          <cell r="F238" t="str">
            <v>DIV-KE</v>
          </cell>
          <cell r="G238" t="str">
            <v>A00M321</v>
          </cell>
          <cell r="H238" t="str">
            <v>DIV</v>
          </cell>
          <cell r="I238">
            <v>2000</v>
          </cell>
          <cell r="J238" t="str">
            <v>R</v>
          </cell>
          <cell r="K238" t="str">
            <v>IN</v>
          </cell>
          <cell r="L238" t="str">
            <v>KE</v>
          </cell>
          <cell r="Y238">
            <v>0</v>
          </cell>
          <cell r="Z238">
            <v>0</v>
          </cell>
          <cell r="AA238">
            <v>0</v>
          </cell>
          <cell r="AB238">
            <v>0</v>
          </cell>
          <cell r="AC238">
            <v>0</v>
          </cell>
          <cell r="AD238">
            <v>0</v>
          </cell>
          <cell r="AE238">
            <v>0</v>
          </cell>
          <cell r="AF238">
            <v>0</v>
          </cell>
        </row>
        <row r="239">
          <cell r="B239" t="str">
            <v>IN-KN-A00M321</v>
          </cell>
          <cell r="C239" t="str">
            <v>IN-A00M321</v>
          </cell>
          <cell r="D239" t="str">
            <v>IN-KN</v>
          </cell>
          <cell r="E239" t="str">
            <v>DIV-IN-KN</v>
          </cell>
          <cell r="F239" t="str">
            <v>DIV-KN</v>
          </cell>
          <cell r="G239" t="str">
            <v>A00M321</v>
          </cell>
          <cell r="H239" t="str">
            <v>DIV</v>
          </cell>
          <cell r="I239">
            <v>2000</v>
          </cell>
          <cell r="J239" t="str">
            <v>R</v>
          </cell>
          <cell r="K239" t="str">
            <v>IN</v>
          </cell>
          <cell r="L239" t="str">
            <v>KN</v>
          </cell>
          <cell r="Y239">
            <v>0</v>
          </cell>
          <cell r="Z239">
            <v>0</v>
          </cell>
          <cell r="AA239">
            <v>0</v>
          </cell>
          <cell r="AB239">
            <v>0</v>
          </cell>
          <cell r="AC239">
            <v>0</v>
          </cell>
          <cell r="AD239">
            <v>0</v>
          </cell>
          <cell r="AE239">
            <v>0</v>
          </cell>
          <cell r="AF239">
            <v>0</v>
          </cell>
        </row>
        <row r="240">
          <cell r="B240" t="str">
            <v>AD-KE-A00M322</v>
          </cell>
          <cell r="C240" t="str">
            <v>AD-A00M322</v>
          </cell>
          <cell r="D240" t="str">
            <v>AD-KE</v>
          </cell>
          <cell r="E240" t="str">
            <v>DIV-AD-KE</v>
          </cell>
          <cell r="F240" t="str">
            <v>DIV-KE</v>
          </cell>
          <cell r="G240" t="str">
            <v>A00M322</v>
          </cell>
          <cell r="H240" t="str">
            <v>DIV</v>
          </cell>
          <cell r="I240">
            <v>2001</v>
          </cell>
          <cell r="J240" t="str">
            <v>R</v>
          </cell>
          <cell r="K240" t="str">
            <v>AD</v>
          </cell>
          <cell r="L240" t="str">
            <v>KE</v>
          </cell>
          <cell r="O240">
            <v>3.5</v>
          </cell>
          <cell r="Q240">
            <v>126.3</v>
          </cell>
          <cell r="Y240">
            <v>0</v>
          </cell>
          <cell r="Z240">
            <v>129.80000000000001</v>
          </cell>
          <cell r="AA240">
            <v>0</v>
          </cell>
          <cell r="AB240">
            <v>129.80000000000001</v>
          </cell>
          <cell r="AC240">
            <v>129.80000000000001</v>
          </cell>
          <cell r="AD240">
            <v>129.80000000000001</v>
          </cell>
          <cell r="AE240">
            <v>0</v>
          </cell>
          <cell r="AF240">
            <v>-0.13207015239</v>
          </cell>
        </row>
        <row r="241">
          <cell r="B241" t="str">
            <v>AD-KN-A00M322</v>
          </cell>
          <cell r="C241" t="str">
            <v>AD-A00M322</v>
          </cell>
          <cell r="D241" t="str">
            <v>AD-KN</v>
          </cell>
          <cell r="E241" t="str">
            <v>DIV-AD-KN</v>
          </cell>
          <cell r="F241" t="str">
            <v>DIV-KN</v>
          </cell>
          <cell r="G241" t="str">
            <v>A00M322</v>
          </cell>
          <cell r="H241" t="str">
            <v>DIV</v>
          </cell>
          <cell r="I241">
            <v>2001</v>
          </cell>
          <cell r="J241" t="str">
            <v>R</v>
          </cell>
          <cell r="K241" t="str">
            <v>AD</v>
          </cell>
          <cell r="L241" t="str">
            <v>KN</v>
          </cell>
          <cell r="M241">
            <v>0.5</v>
          </cell>
          <cell r="P241">
            <v>-34.4</v>
          </cell>
          <cell r="Q241">
            <v>40.700000000000003</v>
          </cell>
          <cell r="Y241">
            <v>0</v>
          </cell>
          <cell r="Z241">
            <v>6.8000000000000043</v>
          </cell>
          <cell r="AA241">
            <v>0</v>
          </cell>
          <cell r="AB241">
            <v>6.8000000000000043</v>
          </cell>
          <cell r="AC241">
            <v>6.8000000000000043</v>
          </cell>
          <cell r="AD241">
            <v>6.8000000000000043</v>
          </cell>
          <cell r="AE241">
            <v>0</v>
          </cell>
          <cell r="AF241">
            <v>-0.82721338571000036</v>
          </cell>
        </row>
        <row r="242">
          <cell r="B242" t="str">
            <v>CO-KE-A00M322</v>
          </cell>
          <cell r="C242" t="str">
            <v>CO-A00M322</v>
          </cell>
          <cell r="D242" t="str">
            <v>CO-KE</v>
          </cell>
          <cell r="E242" t="str">
            <v>DIV-CO-KE</v>
          </cell>
          <cell r="F242" t="str">
            <v>DIV-KE</v>
          </cell>
          <cell r="G242" t="str">
            <v>A00M322</v>
          </cell>
          <cell r="H242" t="str">
            <v>DIV</v>
          </cell>
          <cell r="I242">
            <v>2001</v>
          </cell>
          <cell r="J242" t="str">
            <v>R</v>
          </cell>
          <cell r="K242" t="str">
            <v>CO</v>
          </cell>
          <cell r="L242" t="str">
            <v>KE</v>
          </cell>
          <cell r="Y242">
            <v>0</v>
          </cell>
          <cell r="Z242">
            <v>0</v>
          </cell>
          <cell r="AA242">
            <v>0</v>
          </cell>
          <cell r="AB242">
            <v>0</v>
          </cell>
          <cell r="AC242">
            <v>0</v>
          </cell>
          <cell r="AD242">
            <v>0</v>
          </cell>
          <cell r="AE242">
            <v>0</v>
          </cell>
          <cell r="AF242">
            <v>0</v>
          </cell>
        </row>
        <row r="243">
          <cell r="B243" t="str">
            <v>CO-KN-A00M322</v>
          </cell>
          <cell r="C243" t="str">
            <v>CO-A00M322</v>
          </cell>
          <cell r="D243" t="str">
            <v>CO-KN</v>
          </cell>
          <cell r="E243" t="str">
            <v>DIV-CO-KN</v>
          </cell>
          <cell r="F243" t="str">
            <v>DIV-KN</v>
          </cell>
          <cell r="G243" t="str">
            <v>A00M322</v>
          </cell>
          <cell r="H243" t="str">
            <v>DIV</v>
          </cell>
          <cell r="I243">
            <v>2001</v>
          </cell>
          <cell r="J243" t="str">
            <v>R</v>
          </cell>
          <cell r="K243" t="str">
            <v>CO</v>
          </cell>
          <cell r="L243" t="str">
            <v>KN</v>
          </cell>
          <cell r="Y243">
            <v>0</v>
          </cell>
          <cell r="Z243">
            <v>0</v>
          </cell>
          <cell r="AA243">
            <v>0</v>
          </cell>
          <cell r="AB243">
            <v>0</v>
          </cell>
          <cell r="AC243">
            <v>0</v>
          </cell>
          <cell r="AD243">
            <v>0</v>
          </cell>
          <cell r="AE243">
            <v>0</v>
          </cell>
          <cell r="AF243">
            <v>0</v>
          </cell>
        </row>
        <row r="244">
          <cell r="B244" t="str">
            <v>IN-KE-A00M322</v>
          </cell>
          <cell r="C244" t="str">
            <v>IN-A00M322</v>
          </cell>
          <cell r="D244" t="str">
            <v>IN-KE</v>
          </cell>
          <cell r="E244" t="str">
            <v>DIV-IN-KE</v>
          </cell>
          <cell r="F244" t="str">
            <v>DIV-KE</v>
          </cell>
          <cell r="G244" t="str">
            <v>A00M322</v>
          </cell>
          <cell r="H244" t="str">
            <v>DIV</v>
          </cell>
          <cell r="I244">
            <v>2001</v>
          </cell>
          <cell r="J244" t="str">
            <v>R</v>
          </cell>
          <cell r="K244" t="str">
            <v>IN</v>
          </cell>
          <cell r="L244" t="str">
            <v>KE</v>
          </cell>
          <cell r="Y244">
            <v>0</v>
          </cell>
          <cell r="Z244">
            <v>0</v>
          </cell>
          <cell r="AA244">
            <v>0</v>
          </cell>
          <cell r="AB244">
            <v>0</v>
          </cell>
          <cell r="AC244">
            <v>0</v>
          </cell>
          <cell r="AD244">
            <v>0</v>
          </cell>
          <cell r="AE244">
            <v>0</v>
          </cell>
          <cell r="AF244">
            <v>0</v>
          </cell>
        </row>
        <row r="245">
          <cell r="B245" t="str">
            <v>IN-KN-A00M322</v>
          </cell>
          <cell r="C245" t="str">
            <v>IN-A00M322</v>
          </cell>
          <cell r="D245" t="str">
            <v>IN-KN</v>
          </cell>
          <cell r="E245" t="str">
            <v>DIV-IN-KN</v>
          </cell>
          <cell r="F245" t="str">
            <v>DIV-KN</v>
          </cell>
          <cell r="G245" t="str">
            <v>A00M322</v>
          </cell>
          <cell r="H245" t="str">
            <v>DIV</v>
          </cell>
          <cell r="I245">
            <v>2001</v>
          </cell>
          <cell r="J245" t="str">
            <v>R</v>
          </cell>
          <cell r="K245" t="str">
            <v>IN</v>
          </cell>
          <cell r="L245" t="str">
            <v>KN</v>
          </cell>
          <cell r="N245">
            <v>0.2</v>
          </cell>
          <cell r="P245">
            <v>40</v>
          </cell>
          <cell r="Q245">
            <v>-30.1</v>
          </cell>
          <cell r="Y245">
            <v>2.11</v>
          </cell>
          <cell r="Z245">
            <v>10.100000000000001</v>
          </cell>
          <cell r="AA245">
            <v>0</v>
          </cell>
          <cell r="AB245">
            <v>12.21</v>
          </cell>
          <cell r="AC245">
            <v>10.100000000000001</v>
          </cell>
          <cell r="AD245">
            <v>12.21</v>
          </cell>
          <cell r="AE245">
            <v>0</v>
          </cell>
          <cell r="AF245">
            <v>-0.71761221999000036</v>
          </cell>
        </row>
        <row r="246">
          <cell r="B246" t="str">
            <v>AD-KE-A00M330</v>
          </cell>
          <cell r="C246" t="str">
            <v>AD-A00M330</v>
          </cell>
          <cell r="D246" t="str">
            <v>AD-KE</v>
          </cell>
          <cell r="E246" t="str">
            <v>DIV-AD-KE</v>
          </cell>
          <cell r="F246" t="str">
            <v>DIV-KE</v>
          </cell>
          <cell r="G246" t="str">
            <v>A00M330</v>
          </cell>
          <cell r="H246" t="str">
            <v>DIV</v>
          </cell>
          <cell r="I246">
            <v>2000</v>
          </cell>
          <cell r="J246" t="str">
            <v>R</v>
          </cell>
          <cell r="K246" t="str">
            <v>AD</v>
          </cell>
          <cell r="L246" t="str">
            <v>KE</v>
          </cell>
          <cell r="Y246">
            <v>0</v>
          </cell>
          <cell r="Z246">
            <v>0</v>
          </cell>
          <cell r="AA246">
            <v>0</v>
          </cell>
          <cell r="AB246">
            <v>0</v>
          </cell>
          <cell r="AC246">
            <v>0</v>
          </cell>
          <cell r="AD246">
            <v>0</v>
          </cell>
          <cell r="AE246">
            <v>0</v>
          </cell>
          <cell r="AF246">
            <v>0</v>
          </cell>
        </row>
        <row r="247">
          <cell r="B247" t="str">
            <v>AD-KN-A00M330</v>
          </cell>
          <cell r="C247" t="str">
            <v>AD-A00M330</v>
          </cell>
          <cell r="D247" t="str">
            <v>AD-KN</v>
          </cell>
          <cell r="E247" t="str">
            <v>DIV-AD-KN</v>
          </cell>
          <cell r="F247" t="str">
            <v>DIV-KN</v>
          </cell>
          <cell r="G247" t="str">
            <v>A00M330</v>
          </cell>
          <cell r="H247" t="str">
            <v>DIV</v>
          </cell>
          <cell r="I247">
            <v>2000</v>
          </cell>
          <cell r="J247" t="str">
            <v>R</v>
          </cell>
          <cell r="K247" t="str">
            <v>AD</v>
          </cell>
          <cell r="L247" t="str">
            <v>KN</v>
          </cell>
          <cell r="Y247">
            <v>0</v>
          </cell>
          <cell r="Z247">
            <v>0</v>
          </cell>
          <cell r="AA247">
            <v>0</v>
          </cell>
          <cell r="AB247">
            <v>0</v>
          </cell>
          <cell r="AC247">
            <v>0</v>
          </cell>
          <cell r="AD247">
            <v>0</v>
          </cell>
          <cell r="AE247">
            <v>0</v>
          </cell>
          <cell r="AF247">
            <v>0</v>
          </cell>
        </row>
        <row r="248">
          <cell r="B248" t="str">
            <v>CO-KE-A00M330</v>
          </cell>
          <cell r="C248" t="str">
            <v>CO-A00M330</v>
          </cell>
          <cell r="D248" t="str">
            <v>CO-KE</v>
          </cell>
          <cell r="E248" t="str">
            <v>DIV-CO-KE</v>
          </cell>
          <cell r="F248" t="str">
            <v>DIV-KE</v>
          </cell>
          <cell r="G248" t="str">
            <v>A00M330</v>
          </cell>
          <cell r="H248" t="str">
            <v>DIV</v>
          </cell>
          <cell r="I248">
            <v>2000</v>
          </cell>
          <cell r="J248" t="str">
            <v>R</v>
          </cell>
          <cell r="K248" t="str">
            <v>CO</v>
          </cell>
          <cell r="L248" t="str">
            <v>KE</v>
          </cell>
          <cell r="Y248">
            <v>0</v>
          </cell>
          <cell r="Z248">
            <v>0</v>
          </cell>
          <cell r="AA248">
            <v>0</v>
          </cell>
          <cell r="AB248">
            <v>0</v>
          </cell>
          <cell r="AC248">
            <v>0</v>
          </cell>
          <cell r="AD248">
            <v>0</v>
          </cell>
          <cell r="AE248">
            <v>0</v>
          </cell>
          <cell r="AF248">
            <v>0</v>
          </cell>
        </row>
        <row r="249">
          <cell r="B249" t="str">
            <v>CO-KN-A00M330</v>
          </cell>
          <cell r="C249" t="str">
            <v>CO-A00M330</v>
          </cell>
          <cell r="D249" t="str">
            <v>CO-KN</v>
          </cell>
          <cell r="E249" t="str">
            <v>DIV-CO-KN</v>
          </cell>
          <cell r="F249" t="str">
            <v>DIV-KN</v>
          </cell>
          <cell r="G249" t="str">
            <v>A00M330</v>
          </cell>
          <cell r="H249" t="str">
            <v>DIV</v>
          </cell>
          <cell r="I249">
            <v>2000</v>
          </cell>
          <cell r="J249" t="str">
            <v>R</v>
          </cell>
          <cell r="K249" t="str">
            <v>CO</v>
          </cell>
          <cell r="L249" t="str">
            <v>KN</v>
          </cell>
          <cell r="Y249">
            <v>0</v>
          </cell>
          <cell r="Z249">
            <v>0</v>
          </cell>
          <cell r="AA249">
            <v>0</v>
          </cell>
          <cell r="AB249">
            <v>0</v>
          </cell>
          <cell r="AC249">
            <v>0</v>
          </cell>
          <cell r="AD249">
            <v>0</v>
          </cell>
          <cell r="AE249">
            <v>0</v>
          </cell>
          <cell r="AF249">
            <v>0</v>
          </cell>
        </row>
        <row r="250">
          <cell r="B250" t="str">
            <v>IN-KE-A00M330</v>
          </cell>
          <cell r="C250" t="str">
            <v>IN-A00M330</v>
          </cell>
          <cell r="D250" t="str">
            <v>IN-KE</v>
          </cell>
          <cell r="E250" t="str">
            <v>DIV-IN-KE</v>
          </cell>
          <cell r="F250" t="str">
            <v>DIV-KE</v>
          </cell>
          <cell r="G250" t="str">
            <v>A00M330</v>
          </cell>
          <cell r="H250" t="str">
            <v>DIV</v>
          </cell>
          <cell r="I250">
            <v>2000</v>
          </cell>
          <cell r="J250" t="str">
            <v>R</v>
          </cell>
          <cell r="K250" t="str">
            <v>IN</v>
          </cell>
          <cell r="L250" t="str">
            <v>KE</v>
          </cell>
          <cell r="Y250">
            <v>0</v>
          </cell>
          <cell r="Z250">
            <v>0</v>
          </cell>
          <cell r="AA250">
            <v>0</v>
          </cell>
          <cell r="AB250">
            <v>0</v>
          </cell>
          <cell r="AC250">
            <v>0</v>
          </cell>
          <cell r="AD250">
            <v>0</v>
          </cell>
          <cell r="AE250">
            <v>0</v>
          </cell>
          <cell r="AF250">
            <v>0</v>
          </cell>
        </row>
        <row r="251">
          <cell r="B251" t="str">
            <v>IN-KN-A00M330</v>
          </cell>
          <cell r="C251" t="str">
            <v>IN-A00M330</v>
          </cell>
          <cell r="D251" t="str">
            <v>IN-KN</v>
          </cell>
          <cell r="E251" t="str">
            <v>DIV-IN-KN</v>
          </cell>
          <cell r="F251" t="str">
            <v>DIV-KN</v>
          </cell>
          <cell r="G251" t="str">
            <v>A00M330</v>
          </cell>
          <cell r="H251" t="str">
            <v>DIV</v>
          </cell>
          <cell r="I251">
            <v>2000</v>
          </cell>
          <cell r="J251" t="str">
            <v>R</v>
          </cell>
          <cell r="K251" t="str">
            <v>IN</v>
          </cell>
          <cell r="L251" t="str">
            <v>KN</v>
          </cell>
          <cell r="Y251">
            <v>0</v>
          </cell>
          <cell r="Z251">
            <v>0</v>
          </cell>
          <cell r="AA251">
            <v>0</v>
          </cell>
          <cell r="AB251">
            <v>0</v>
          </cell>
          <cell r="AC251">
            <v>0</v>
          </cell>
          <cell r="AD251">
            <v>0</v>
          </cell>
          <cell r="AE251">
            <v>0</v>
          </cell>
          <cell r="AF251">
            <v>0</v>
          </cell>
        </row>
        <row r="252">
          <cell r="B252" t="str">
            <v>AD-KE-A00M331</v>
          </cell>
          <cell r="C252" t="str">
            <v>AD-A00M331</v>
          </cell>
          <cell r="D252" t="str">
            <v>AD-KE</v>
          </cell>
          <cell r="E252" t="str">
            <v>DIV-AD-KE</v>
          </cell>
          <cell r="F252" t="str">
            <v>DIV-KE</v>
          </cell>
          <cell r="G252" t="str">
            <v>A00M331</v>
          </cell>
          <cell r="H252" t="str">
            <v>DIV</v>
          </cell>
          <cell r="I252">
            <v>2000</v>
          </cell>
          <cell r="J252" t="str">
            <v>R</v>
          </cell>
          <cell r="K252" t="str">
            <v>AD</v>
          </cell>
          <cell r="L252" t="str">
            <v>KE</v>
          </cell>
          <cell r="Y252">
            <v>0</v>
          </cell>
          <cell r="Z252">
            <v>0</v>
          </cell>
          <cell r="AA252">
            <v>0</v>
          </cell>
          <cell r="AB252">
            <v>0</v>
          </cell>
          <cell r="AC252">
            <v>0</v>
          </cell>
          <cell r="AD252">
            <v>0</v>
          </cell>
          <cell r="AE252">
            <v>0</v>
          </cell>
          <cell r="AF252">
            <v>0</v>
          </cell>
        </row>
        <row r="253">
          <cell r="B253" t="str">
            <v>AD-KN-A00M331</v>
          </cell>
          <cell r="C253" t="str">
            <v>AD-A00M331</v>
          </cell>
          <cell r="D253" t="str">
            <v>AD-KN</v>
          </cell>
          <cell r="E253" t="str">
            <v>DIV-AD-KN</v>
          </cell>
          <cell r="F253" t="str">
            <v>DIV-KN</v>
          </cell>
          <cell r="G253" t="str">
            <v>A00M331</v>
          </cell>
          <cell r="H253" t="str">
            <v>DIV</v>
          </cell>
          <cell r="I253">
            <v>2000</v>
          </cell>
          <cell r="J253" t="str">
            <v>R</v>
          </cell>
          <cell r="K253" t="str">
            <v>AD</v>
          </cell>
          <cell r="L253" t="str">
            <v>KN</v>
          </cell>
          <cell r="Y253">
            <v>0</v>
          </cell>
          <cell r="Z253">
            <v>0</v>
          </cell>
          <cell r="AA253">
            <v>0</v>
          </cell>
          <cell r="AB253">
            <v>0</v>
          </cell>
          <cell r="AC253">
            <v>0</v>
          </cell>
          <cell r="AD253">
            <v>0</v>
          </cell>
          <cell r="AE253">
            <v>0</v>
          </cell>
          <cell r="AF253">
            <v>0</v>
          </cell>
        </row>
        <row r="254">
          <cell r="B254" t="str">
            <v>CO-KE-A00M331</v>
          </cell>
          <cell r="C254" t="str">
            <v>CO-A00M331</v>
          </cell>
          <cell r="D254" t="str">
            <v>CO-KE</v>
          </cell>
          <cell r="E254" t="str">
            <v>DIV-CO-KE</v>
          </cell>
          <cell r="F254" t="str">
            <v>DIV-KE</v>
          </cell>
          <cell r="G254" t="str">
            <v>A00M331</v>
          </cell>
          <cell r="H254" t="str">
            <v>DIV</v>
          </cell>
          <cell r="I254">
            <v>2000</v>
          </cell>
          <cell r="J254" t="str">
            <v>R</v>
          </cell>
          <cell r="K254" t="str">
            <v>CO</v>
          </cell>
          <cell r="L254" t="str">
            <v>KE</v>
          </cell>
          <cell r="Y254">
            <v>0</v>
          </cell>
          <cell r="Z254">
            <v>0</v>
          </cell>
          <cell r="AA254">
            <v>0</v>
          </cell>
          <cell r="AB254">
            <v>0</v>
          </cell>
          <cell r="AC254">
            <v>0</v>
          </cell>
          <cell r="AD254">
            <v>0</v>
          </cell>
          <cell r="AE254">
            <v>0</v>
          </cell>
          <cell r="AF254">
            <v>0</v>
          </cell>
        </row>
        <row r="255">
          <cell r="B255" t="str">
            <v>CO-KN-A00M331</v>
          </cell>
          <cell r="C255" t="str">
            <v>CO-A00M331</v>
          </cell>
          <cell r="D255" t="str">
            <v>CO-KN</v>
          </cell>
          <cell r="E255" t="str">
            <v>DIV-CO-KN</v>
          </cell>
          <cell r="F255" t="str">
            <v>DIV-KN</v>
          </cell>
          <cell r="G255" t="str">
            <v>A00M331</v>
          </cell>
          <cell r="H255" t="str">
            <v>DIV</v>
          </cell>
          <cell r="I255">
            <v>2000</v>
          </cell>
          <cell r="J255" t="str">
            <v>R</v>
          </cell>
          <cell r="K255" t="str">
            <v>CO</v>
          </cell>
          <cell r="L255" t="str">
            <v>KN</v>
          </cell>
          <cell r="Y255">
            <v>0</v>
          </cell>
          <cell r="Z255">
            <v>0</v>
          </cell>
          <cell r="AA255">
            <v>0</v>
          </cell>
          <cell r="AB255">
            <v>0</v>
          </cell>
          <cell r="AC255">
            <v>0</v>
          </cell>
          <cell r="AD255">
            <v>0</v>
          </cell>
          <cell r="AE255">
            <v>0</v>
          </cell>
          <cell r="AF255">
            <v>0</v>
          </cell>
        </row>
        <row r="256">
          <cell r="B256" t="str">
            <v>IN-KE-A00M331</v>
          </cell>
          <cell r="C256" t="str">
            <v>IN-A00M331</v>
          </cell>
          <cell r="D256" t="str">
            <v>IN-KE</v>
          </cell>
          <cell r="E256" t="str">
            <v>DIV-IN-KE</v>
          </cell>
          <cell r="F256" t="str">
            <v>DIV-KE</v>
          </cell>
          <cell r="G256" t="str">
            <v>A00M331</v>
          </cell>
          <cell r="H256" t="str">
            <v>DIV</v>
          </cell>
          <cell r="I256">
            <v>2000</v>
          </cell>
          <cell r="J256" t="str">
            <v>R</v>
          </cell>
          <cell r="K256" t="str">
            <v>IN</v>
          </cell>
          <cell r="L256" t="str">
            <v>KE</v>
          </cell>
          <cell r="Y256">
            <v>0</v>
          </cell>
          <cell r="Z256">
            <v>0</v>
          </cell>
          <cell r="AA256">
            <v>0</v>
          </cell>
          <cell r="AB256">
            <v>0</v>
          </cell>
          <cell r="AC256">
            <v>0</v>
          </cell>
          <cell r="AD256">
            <v>0</v>
          </cell>
          <cell r="AE256">
            <v>0</v>
          </cell>
          <cell r="AF256">
            <v>0</v>
          </cell>
        </row>
        <row r="257">
          <cell r="B257" t="str">
            <v>IN-KN-A00M331</v>
          </cell>
          <cell r="C257" t="str">
            <v>IN-A00M331</v>
          </cell>
          <cell r="D257" t="str">
            <v>IN-KN</v>
          </cell>
          <cell r="E257" t="str">
            <v>DIV-IN-KN</v>
          </cell>
          <cell r="F257" t="str">
            <v>DIV-KN</v>
          </cell>
          <cell r="G257" t="str">
            <v>A00M331</v>
          </cell>
          <cell r="H257" t="str">
            <v>DIV</v>
          </cell>
          <cell r="I257">
            <v>2000</v>
          </cell>
          <cell r="J257" t="str">
            <v>R</v>
          </cell>
          <cell r="K257" t="str">
            <v>IN</v>
          </cell>
          <cell r="L257" t="str">
            <v>KN</v>
          </cell>
          <cell r="Y257">
            <v>0</v>
          </cell>
          <cell r="Z257">
            <v>0</v>
          </cell>
          <cell r="AA257">
            <v>0</v>
          </cell>
          <cell r="AB257">
            <v>0</v>
          </cell>
          <cell r="AC257">
            <v>0</v>
          </cell>
          <cell r="AD257">
            <v>0</v>
          </cell>
          <cell r="AE257">
            <v>0</v>
          </cell>
          <cell r="AF257">
            <v>0</v>
          </cell>
        </row>
        <row r="258">
          <cell r="B258" t="str">
            <v>AD-KE-A01M101</v>
          </cell>
          <cell r="C258" t="str">
            <v>AD-A01M101</v>
          </cell>
          <cell r="D258" t="str">
            <v>AD-KE</v>
          </cell>
          <cell r="E258" t="str">
            <v>DIV-AD-KE</v>
          </cell>
          <cell r="F258" t="str">
            <v>DIV-KE</v>
          </cell>
          <cell r="G258" t="str">
            <v>A01M101</v>
          </cell>
          <cell r="H258" t="str">
            <v>DIV</v>
          </cell>
          <cell r="I258">
            <v>2001</v>
          </cell>
          <cell r="J258" t="str">
            <v>R</v>
          </cell>
          <cell r="K258" t="str">
            <v>AD</v>
          </cell>
          <cell r="L258" t="str">
            <v>KE</v>
          </cell>
          <cell r="Y258">
            <v>0</v>
          </cell>
          <cell r="Z258">
            <v>0</v>
          </cell>
          <cell r="AA258">
            <v>0</v>
          </cell>
          <cell r="AB258">
            <v>0</v>
          </cell>
          <cell r="AC258">
            <v>0</v>
          </cell>
          <cell r="AD258">
            <v>0</v>
          </cell>
          <cell r="AE258">
            <v>0</v>
          </cell>
          <cell r="AF258">
            <v>0</v>
          </cell>
        </row>
        <row r="259">
          <cell r="B259" t="str">
            <v>AD-KN-A01M101</v>
          </cell>
          <cell r="C259" t="str">
            <v>AD-A01M101</v>
          </cell>
          <cell r="D259" t="str">
            <v>AD-KN</v>
          </cell>
          <cell r="E259" t="str">
            <v>DIV-AD-KN</v>
          </cell>
          <cell r="F259" t="str">
            <v>DIV-KN</v>
          </cell>
          <cell r="G259" t="str">
            <v>A01M101</v>
          </cell>
          <cell r="H259" t="str">
            <v>DIV</v>
          </cell>
          <cell r="I259">
            <v>2001</v>
          </cell>
          <cell r="J259" t="str">
            <v>R</v>
          </cell>
          <cell r="K259" t="str">
            <v>AD</v>
          </cell>
          <cell r="L259" t="str">
            <v>KN</v>
          </cell>
          <cell r="Y259">
            <v>0</v>
          </cell>
          <cell r="Z259">
            <v>0</v>
          </cell>
          <cell r="AA259">
            <v>0</v>
          </cell>
          <cell r="AB259">
            <v>0</v>
          </cell>
          <cell r="AC259">
            <v>0</v>
          </cell>
          <cell r="AD259">
            <v>0</v>
          </cell>
          <cell r="AE259">
            <v>0</v>
          </cell>
          <cell r="AF259">
            <v>0</v>
          </cell>
        </row>
        <row r="260">
          <cell r="B260" t="str">
            <v>CO-KE-A01M101</v>
          </cell>
          <cell r="C260" t="str">
            <v>CO-A01M101</v>
          </cell>
          <cell r="D260" t="str">
            <v>CO-KE</v>
          </cell>
          <cell r="E260" t="str">
            <v>DIV-CO-KE</v>
          </cell>
          <cell r="F260" t="str">
            <v>DIV-KE</v>
          </cell>
          <cell r="G260" t="str">
            <v>A01M101</v>
          </cell>
          <cell r="H260" t="str">
            <v>DIV</v>
          </cell>
          <cell r="I260">
            <v>2001</v>
          </cell>
          <cell r="J260" t="str">
            <v>R</v>
          </cell>
          <cell r="K260" t="str">
            <v>CO</v>
          </cell>
          <cell r="L260" t="str">
            <v>KE</v>
          </cell>
          <cell r="Y260">
            <v>0</v>
          </cell>
          <cell r="Z260">
            <v>0</v>
          </cell>
          <cell r="AA260">
            <v>0</v>
          </cell>
          <cell r="AB260">
            <v>0</v>
          </cell>
          <cell r="AC260">
            <v>0</v>
          </cell>
          <cell r="AD260">
            <v>0</v>
          </cell>
          <cell r="AE260">
            <v>0</v>
          </cell>
          <cell r="AF260">
            <v>0</v>
          </cell>
        </row>
        <row r="261">
          <cell r="B261" t="str">
            <v>CO-KN-A01M101</v>
          </cell>
          <cell r="C261" t="str">
            <v>CO-A01M101</v>
          </cell>
          <cell r="D261" t="str">
            <v>CO-KN</v>
          </cell>
          <cell r="E261" t="str">
            <v>DIV-CO-KN</v>
          </cell>
          <cell r="F261" t="str">
            <v>DIV-KN</v>
          </cell>
          <cell r="G261" t="str">
            <v>A01M101</v>
          </cell>
          <cell r="H261" t="str">
            <v>DIV</v>
          </cell>
          <cell r="I261">
            <v>2001</v>
          </cell>
          <cell r="J261" t="str">
            <v>R</v>
          </cell>
          <cell r="K261" t="str">
            <v>CO</v>
          </cell>
          <cell r="L261" t="str">
            <v>KN</v>
          </cell>
          <cell r="Y261">
            <v>0</v>
          </cell>
          <cell r="Z261">
            <v>0</v>
          </cell>
          <cell r="AA261">
            <v>0</v>
          </cell>
          <cell r="AB261">
            <v>0</v>
          </cell>
          <cell r="AC261">
            <v>0</v>
          </cell>
          <cell r="AD261">
            <v>0</v>
          </cell>
          <cell r="AE261">
            <v>0</v>
          </cell>
          <cell r="AF261">
            <v>0</v>
          </cell>
        </row>
        <row r="262">
          <cell r="B262" t="str">
            <v>IN-KE-A01M101</v>
          </cell>
          <cell r="C262" t="str">
            <v>IN-A01M101</v>
          </cell>
          <cell r="D262" t="str">
            <v>IN-KE</v>
          </cell>
          <cell r="E262" t="str">
            <v>DIV-IN-KE</v>
          </cell>
          <cell r="F262" t="str">
            <v>DIV-KE</v>
          </cell>
          <cell r="G262" t="str">
            <v>A01M101</v>
          </cell>
          <cell r="H262" t="str">
            <v>DIV</v>
          </cell>
          <cell r="I262">
            <v>2001</v>
          </cell>
          <cell r="J262" t="str">
            <v>R</v>
          </cell>
          <cell r="K262" t="str">
            <v>IN</v>
          </cell>
          <cell r="L262" t="str">
            <v>KE</v>
          </cell>
          <cell r="Y262">
            <v>0</v>
          </cell>
          <cell r="Z262">
            <v>0</v>
          </cell>
          <cell r="AA262">
            <v>0</v>
          </cell>
          <cell r="AB262">
            <v>0</v>
          </cell>
          <cell r="AC262">
            <v>0</v>
          </cell>
          <cell r="AD262">
            <v>0</v>
          </cell>
          <cell r="AE262">
            <v>0</v>
          </cell>
          <cell r="AF262">
            <v>0</v>
          </cell>
        </row>
        <row r="263">
          <cell r="B263" t="str">
            <v>IN-KN-A01M101</v>
          </cell>
          <cell r="C263" t="str">
            <v>IN-A01M101</v>
          </cell>
          <cell r="D263" t="str">
            <v>IN-KN</v>
          </cell>
          <cell r="E263" t="str">
            <v>DIV-IN-KN</v>
          </cell>
          <cell r="F263" t="str">
            <v>DIV-KN</v>
          </cell>
          <cell r="G263" t="str">
            <v>A01M101</v>
          </cell>
          <cell r="H263" t="str">
            <v>DIV</v>
          </cell>
          <cell r="I263">
            <v>2001</v>
          </cell>
          <cell r="J263" t="str">
            <v>R</v>
          </cell>
          <cell r="K263" t="str">
            <v>IN</v>
          </cell>
          <cell r="L263" t="str">
            <v>KN</v>
          </cell>
          <cell r="Q263">
            <v>2.7</v>
          </cell>
          <cell r="Y263">
            <v>0</v>
          </cell>
          <cell r="Z263">
            <v>2.7</v>
          </cell>
          <cell r="AA263">
            <v>0</v>
          </cell>
          <cell r="AB263">
            <v>2.7</v>
          </cell>
          <cell r="AC263">
            <v>2.7</v>
          </cell>
          <cell r="AD263">
            <v>2.7</v>
          </cell>
          <cell r="AE263">
            <v>0</v>
          </cell>
          <cell r="AF263">
            <v>-0.25796442410999998</v>
          </cell>
        </row>
        <row r="264">
          <cell r="B264" t="str">
            <v>AD-KE-A01M103</v>
          </cell>
          <cell r="C264" t="str">
            <v>AD-A01M103</v>
          </cell>
          <cell r="D264" t="str">
            <v>AD-KE</v>
          </cell>
          <cell r="E264" t="str">
            <v>DIV-AD-KE</v>
          </cell>
          <cell r="F264" t="str">
            <v>DIV-KE</v>
          </cell>
          <cell r="G264" t="str">
            <v>A01M103</v>
          </cell>
          <cell r="H264" t="str">
            <v>DIV</v>
          </cell>
          <cell r="I264">
            <v>2001</v>
          </cell>
          <cell r="J264" t="str">
            <v>R</v>
          </cell>
          <cell r="K264" t="str">
            <v>AD</v>
          </cell>
          <cell r="L264" t="str">
            <v>KE</v>
          </cell>
          <cell r="Y264">
            <v>0</v>
          </cell>
          <cell r="Z264">
            <v>0</v>
          </cell>
          <cell r="AA264">
            <v>0</v>
          </cell>
          <cell r="AB264">
            <v>0</v>
          </cell>
          <cell r="AC264">
            <v>0</v>
          </cell>
          <cell r="AD264">
            <v>0</v>
          </cell>
          <cell r="AE264">
            <v>0</v>
          </cell>
          <cell r="AF264">
            <v>0</v>
          </cell>
        </row>
        <row r="265">
          <cell r="B265" t="str">
            <v>AD-KN-A01M103</v>
          </cell>
          <cell r="C265" t="str">
            <v>AD-A01M103</v>
          </cell>
          <cell r="D265" t="str">
            <v>AD-KN</v>
          </cell>
          <cell r="E265" t="str">
            <v>DIV-AD-KN</v>
          </cell>
          <cell r="F265" t="str">
            <v>DIV-KN</v>
          </cell>
          <cell r="G265" t="str">
            <v>A01M103</v>
          </cell>
          <cell r="H265" t="str">
            <v>DIV</v>
          </cell>
          <cell r="I265">
            <v>2001</v>
          </cell>
          <cell r="J265" t="str">
            <v>R</v>
          </cell>
          <cell r="K265" t="str">
            <v>AD</v>
          </cell>
          <cell r="L265" t="str">
            <v>KN</v>
          </cell>
          <cell r="Y265">
            <v>0</v>
          </cell>
          <cell r="Z265">
            <v>0</v>
          </cell>
          <cell r="AA265">
            <v>0</v>
          </cell>
          <cell r="AB265">
            <v>0</v>
          </cell>
          <cell r="AC265">
            <v>0</v>
          </cell>
          <cell r="AD265">
            <v>0</v>
          </cell>
          <cell r="AE265">
            <v>0</v>
          </cell>
          <cell r="AF265">
            <v>0</v>
          </cell>
        </row>
        <row r="266">
          <cell r="B266" t="str">
            <v>CO-KE-A01M103</v>
          </cell>
          <cell r="C266" t="str">
            <v>CO-A01M103</v>
          </cell>
          <cell r="D266" t="str">
            <v>CO-KE</v>
          </cell>
          <cell r="E266" t="str">
            <v>DIV-CO-KE</v>
          </cell>
          <cell r="F266" t="str">
            <v>DIV-KE</v>
          </cell>
          <cell r="G266" t="str">
            <v>A01M103</v>
          </cell>
          <cell r="H266" t="str">
            <v>DIV</v>
          </cell>
          <cell r="I266">
            <v>2001</v>
          </cell>
          <cell r="J266" t="str">
            <v>R</v>
          </cell>
          <cell r="K266" t="str">
            <v>CO</v>
          </cell>
          <cell r="L266" t="str">
            <v>KE</v>
          </cell>
          <cell r="Y266">
            <v>0</v>
          </cell>
          <cell r="Z266">
            <v>0</v>
          </cell>
          <cell r="AA266">
            <v>0</v>
          </cell>
          <cell r="AB266">
            <v>0</v>
          </cell>
          <cell r="AC266">
            <v>0</v>
          </cell>
          <cell r="AD266">
            <v>0</v>
          </cell>
          <cell r="AE266">
            <v>0</v>
          </cell>
          <cell r="AF266">
            <v>0</v>
          </cell>
        </row>
        <row r="267">
          <cell r="B267" t="str">
            <v>CO-KN-A01M103</v>
          </cell>
          <cell r="C267" t="str">
            <v>CO-A01M103</v>
          </cell>
          <cell r="D267" t="str">
            <v>CO-KN</v>
          </cell>
          <cell r="E267" t="str">
            <v>DIV-CO-KN</v>
          </cell>
          <cell r="F267" t="str">
            <v>DIV-KN</v>
          </cell>
          <cell r="G267" t="str">
            <v>A01M103</v>
          </cell>
          <cell r="H267" t="str">
            <v>DIV</v>
          </cell>
          <cell r="I267">
            <v>2001</v>
          </cell>
          <cell r="J267" t="str">
            <v>R</v>
          </cell>
          <cell r="K267" t="str">
            <v>CO</v>
          </cell>
          <cell r="L267" t="str">
            <v>KN</v>
          </cell>
          <cell r="Y267">
            <v>0</v>
          </cell>
          <cell r="Z267">
            <v>0</v>
          </cell>
          <cell r="AA267">
            <v>0</v>
          </cell>
          <cell r="AB267">
            <v>0</v>
          </cell>
          <cell r="AC267">
            <v>0</v>
          </cell>
          <cell r="AD267">
            <v>0</v>
          </cell>
          <cell r="AE267">
            <v>0</v>
          </cell>
          <cell r="AF267">
            <v>0</v>
          </cell>
        </row>
        <row r="268">
          <cell r="B268" t="str">
            <v>IN-KE-A01M103</v>
          </cell>
          <cell r="C268" t="str">
            <v>IN-A01M103</v>
          </cell>
          <cell r="D268" t="str">
            <v>IN-KE</v>
          </cell>
          <cell r="E268" t="str">
            <v>DIV-IN-KE</v>
          </cell>
          <cell r="F268" t="str">
            <v>DIV-KE</v>
          </cell>
          <cell r="G268" t="str">
            <v>A01M103</v>
          </cell>
          <cell r="H268" t="str">
            <v>DIV</v>
          </cell>
          <cell r="I268">
            <v>2001</v>
          </cell>
          <cell r="J268" t="str">
            <v>R</v>
          </cell>
          <cell r="K268" t="str">
            <v>IN</v>
          </cell>
          <cell r="L268" t="str">
            <v>KE</v>
          </cell>
          <cell r="Y268">
            <v>0</v>
          </cell>
          <cell r="Z268">
            <v>0</v>
          </cell>
          <cell r="AA268">
            <v>0</v>
          </cell>
          <cell r="AB268">
            <v>0</v>
          </cell>
          <cell r="AC268">
            <v>0</v>
          </cell>
          <cell r="AD268">
            <v>0</v>
          </cell>
          <cell r="AE268">
            <v>0</v>
          </cell>
          <cell r="AF268">
            <v>0</v>
          </cell>
        </row>
        <row r="269">
          <cell r="B269" t="str">
            <v>IN-KN-A01M103</v>
          </cell>
          <cell r="C269" t="str">
            <v>IN-A01M103</v>
          </cell>
          <cell r="D269" t="str">
            <v>IN-KN</v>
          </cell>
          <cell r="E269" t="str">
            <v>DIV-IN-KN</v>
          </cell>
          <cell r="F269" t="str">
            <v>DIV-KN</v>
          </cell>
          <cell r="G269" t="str">
            <v>A01M103</v>
          </cell>
          <cell r="H269" t="str">
            <v>DIV</v>
          </cell>
          <cell r="I269">
            <v>2001</v>
          </cell>
          <cell r="J269" t="str">
            <v>R</v>
          </cell>
          <cell r="K269" t="str">
            <v>IN</v>
          </cell>
          <cell r="L269" t="str">
            <v>KN</v>
          </cell>
          <cell r="Y269">
            <v>0</v>
          </cell>
          <cell r="Z269">
            <v>0</v>
          </cell>
          <cell r="AA269">
            <v>0</v>
          </cell>
          <cell r="AB269">
            <v>0</v>
          </cell>
          <cell r="AC269">
            <v>0</v>
          </cell>
          <cell r="AD269">
            <v>0</v>
          </cell>
          <cell r="AE269">
            <v>0</v>
          </cell>
          <cell r="AF269">
            <v>0</v>
          </cell>
        </row>
        <row r="270">
          <cell r="B270" t="str">
            <v>AD-KE-A01M104</v>
          </cell>
          <cell r="C270" t="str">
            <v>AD-A01M104</v>
          </cell>
          <cell r="D270" t="str">
            <v>AD-KE</v>
          </cell>
          <cell r="E270" t="str">
            <v>DIV-AD-KE</v>
          </cell>
          <cell r="F270" t="str">
            <v>DIV-KE</v>
          </cell>
          <cell r="G270" t="str">
            <v>A01M104</v>
          </cell>
          <cell r="H270" t="str">
            <v>DIV</v>
          </cell>
          <cell r="I270">
            <v>2001</v>
          </cell>
          <cell r="J270" t="str">
            <v>R</v>
          </cell>
          <cell r="K270" t="str">
            <v>AD</v>
          </cell>
          <cell r="L270" t="str">
            <v>KE</v>
          </cell>
          <cell r="Y270">
            <v>0</v>
          </cell>
          <cell r="Z270">
            <v>0</v>
          </cell>
          <cell r="AA270">
            <v>0</v>
          </cell>
          <cell r="AB270">
            <v>0</v>
          </cell>
          <cell r="AC270">
            <v>0</v>
          </cell>
          <cell r="AD270">
            <v>0</v>
          </cell>
          <cell r="AE270">
            <v>0</v>
          </cell>
          <cell r="AF270">
            <v>0</v>
          </cell>
        </row>
        <row r="271">
          <cell r="B271" t="str">
            <v>AD-KN-A01M104</v>
          </cell>
          <cell r="C271" t="str">
            <v>AD-A01M104</v>
          </cell>
          <cell r="D271" t="str">
            <v>AD-KN</v>
          </cell>
          <cell r="E271" t="str">
            <v>DIV-AD-KN</v>
          </cell>
          <cell r="F271" t="str">
            <v>DIV-KN</v>
          </cell>
          <cell r="G271" t="str">
            <v>A01M104</v>
          </cell>
          <cell r="H271" t="str">
            <v>DIV</v>
          </cell>
          <cell r="I271">
            <v>2001</v>
          </cell>
          <cell r="J271" t="str">
            <v>R</v>
          </cell>
          <cell r="K271" t="str">
            <v>AD</v>
          </cell>
          <cell r="L271" t="str">
            <v>KN</v>
          </cell>
          <cell r="Y271">
            <v>0</v>
          </cell>
          <cell r="Z271">
            <v>0</v>
          </cell>
          <cell r="AA271">
            <v>0</v>
          </cell>
          <cell r="AB271">
            <v>0</v>
          </cell>
          <cell r="AC271">
            <v>0</v>
          </cell>
          <cell r="AD271">
            <v>0</v>
          </cell>
          <cell r="AE271">
            <v>0</v>
          </cell>
          <cell r="AF271">
            <v>0</v>
          </cell>
        </row>
        <row r="272">
          <cell r="B272" t="str">
            <v>CO-KE-A01M104</v>
          </cell>
          <cell r="C272" t="str">
            <v>CO-A01M104</v>
          </cell>
          <cell r="D272" t="str">
            <v>CO-KE</v>
          </cell>
          <cell r="E272" t="str">
            <v>DIV-CO-KE</v>
          </cell>
          <cell r="F272" t="str">
            <v>DIV-KE</v>
          </cell>
          <cell r="G272" t="str">
            <v>A01M104</v>
          </cell>
          <cell r="H272" t="str">
            <v>DIV</v>
          </cell>
          <cell r="I272">
            <v>2001</v>
          </cell>
          <cell r="J272" t="str">
            <v>R</v>
          </cell>
          <cell r="K272" t="str">
            <v>CO</v>
          </cell>
          <cell r="L272" t="str">
            <v>KE</v>
          </cell>
          <cell r="Y272">
            <v>0</v>
          </cell>
          <cell r="Z272">
            <v>0</v>
          </cell>
          <cell r="AA272">
            <v>0</v>
          </cell>
          <cell r="AB272">
            <v>0</v>
          </cell>
          <cell r="AC272">
            <v>0</v>
          </cell>
          <cell r="AD272">
            <v>0</v>
          </cell>
          <cell r="AE272">
            <v>0</v>
          </cell>
          <cell r="AF272">
            <v>0</v>
          </cell>
        </row>
        <row r="273">
          <cell r="B273" t="str">
            <v>CO-KN-A01M104</v>
          </cell>
          <cell r="C273" t="str">
            <v>CO-A01M104</v>
          </cell>
          <cell r="D273" t="str">
            <v>CO-KN</v>
          </cell>
          <cell r="E273" t="str">
            <v>DIV-CO-KN</v>
          </cell>
          <cell r="F273" t="str">
            <v>DIV-KN</v>
          </cell>
          <cell r="G273" t="str">
            <v>A01M104</v>
          </cell>
          <cell r="H273" t="str">
            <v>DIV</v>
          </cell>
          <cell r="I273">
            <v>2001</v>
          </cell>
          <cell r="J273" t="str">
            <v>R</v>
          </cell>
          <cell r="K273" t="str">
            <v>CO</v>
          </cell>
          <cell r="L273" t="str">
            <v>KN</v>
          </cell>
          <cell r="Y273">
            <v>0</v>
          </cell>
          <cell r="Z273">
            <v>0</v>
          </cell>
          <cell r="AA273">
            <v>0</v>
          </cell>
          <cell r="AB273">
            <v>0</v>
          </cell>
          <cell r="AC273">
            <v>0</v>
          </cell>
          <cell r="AD273">
            <v>0</v>
          </cell>
          <cell r="AE273">
            <v>0</v>
          </cell>
          <cell r="AF273">
            <v>0</v>
          </cell>
        </row>
        <row r="274">
          <cell r="B274" t="str">
            <v>IN-KE-A01M104</v>
          </cell>
          <cell r="C274" t="str">
            <v>IN-A01M104</v>
          </cell>
          <cell r="D274" t="str">
            <v>IN-KE</v>
          </cell>
          <cell r="E274" t="str">
            <v>DIV-IN-KE</v>
          </cell>
          <cell r="F274" t="str">
            <v>DIV-KE</v>
          </cell>
          <cell r="G274" t="str">
            <v>A01M104</v>
          </cell>
          <cell r="H274" t="str">
            <v>DIV</v>
          </cell>
          <cell r="I274">
            <v>2001</v>
          </cell>
          <cell r="J274" t="str">
            <v>R</v>
          </cell>
          <cell r="K274" t="str">
            <v>IN</v>
          </cell>
          <cell r="L274" t="str">
            <v>KE</v>
          </cell>
          <cell r="Y274">
            <v>0</v>
          </cell>
          <cell r="Z274">
            <v>0</v>
          </cell>
          <cell r="AA274">
            <v>0</v>
          </cell>
          <cell r="AB274">
            <v>0</v>
          </cell>
          <cell r="AC274">
            <v>0</v>
          </cell>
          <cell r="AD274">
            <v>0</v>
          </cell>
          <cell r="AE274">
            <v>0</v>
          </cell>
          <cell r="AF274">
            <v>0</v>
          </cell>
        </row>
        <row r="275">
          <cell r="B275" t="str">
            <v>IN-KN-A01M104</v>
          </cell>
          <cell r="C275" t="str">
            <v>IN-A01M104</v>
          </cell>
          <cell r="D275" t="str">
            <v>IN-KN</v>
          </cell>
          <cell r="E275" t="str">
            <v>DIV-IN-KN</v>
          </cell>
          <cell r="F275" t="str">
            <v>DIV-KN</v>
          </cell>
          <cell r="G275" t="str">
            <v>A01M104</v>
          </cell>
          <cell r="H275" t="str">
            <v>DIV</v>
          </cell>
          <cell r="I275">
            <v>2001</v>
          </cell>
          <cell r="J275" t="str">
            <v>R</v>
          </cell>
          <cell r="K275" t="str">
            <v>IN</v>
          </cell>
          <cell r="L275" t="str">
            <v>KN</v>
          </cell>
          <cell r="Q275">
            <v>2.4</v>
          </cell>
          <cell r="Y275">
            <v>0</v>
          </cell>
          <cell r="Z275">
            <v>2.4</v>
          </cell>
          <cell r="AA275">
            <v>0</v>
          </cell>
          <cell r="AB275">
            <v>2.4</v>
          </cell>
          <cell r="AC275">
            <v>2.4</v>
          </cell>
          <cell r="AD275">
            <v>2.4</v>
          </cell>
          <cell r="AE275">
            <v>0</v>
          </cell>
          <cell r="AF275">
            <v>-0.22930171031999996</v>
          </cell>
        </row>
        <row r="276">
          <cell r="B276" t="str">
            <v>AD-KE-A01M201</v>
          </cell>
          <cell r="C276" t="str">
            <v>AD-A01M201</v>
          </cell>
          <cell r="D276" t="str">
            <v>AD-KE</v>
          </cell>
          <cell r="E276" t="str">
            <v>EXT-AD-KE</v>
          </cell>
          <cell r="F276" t="str">
            <v>EXT-KE</v>
          </cell>
          <cell r="G276" t="str">
            <v>A01M201</v>
          </cell>
          <cell r="H276" t="str">
            <v>EXT</v>
          </cell>
          <cell r="I276">
            <v>2002</v>
          </cell>
          <cell r="J276" t="str">
            <v>R</v>
          </cell>
          <cell r="K276" t="str">
            <v>AD</v>
          </cell>
          <cell r="L276" t="str">
            <v>KE</v>
          </cell>
          <cell r="Y276">
            <v>0</v>
          </cell>
          <cell r="Z276">
            <v>0</v>
          </cell>
          <cell r="AA276">
            <v>0</v>
          </cell>
          <cell r="AB276">
            <v>0</v>
          </cell>
          <cell r="AC276">
            <v>0</v>
          </cell>
          <cell r="AD276">
            <v>0</v>
          </cell>
          <cell r="AE276">
            <v>0</v>
          </cell>
          <cell r="AF276">
            <v>0</v>
          </cell>
        </row>
        <row r="277">
          <cell r="B277" t="str">
            <v>AD-KN-A01M201</v>
          </cell>
          <cell r="C277" t="str">
            <v>AD-A01M201</v>
          </cell>
          <cell r="D277" t="str">
            <v>AD-KN</v>
          </cell>
          <cell r="E277" t="str">
            <v>EXT-AD-KN</v>
          </cell>
          <cell r="F277" t="str">
            <v>EXT-KN</v>
          </cell>
          <cell r="G277" t="str">
            <v>A01M201</v>
          </cell>
          <cell r="H277" t="str">
            <v>EXT</v>
          </cell>
          <cell r="I277">
            <v>2002</v>
          </cell>
          <cell r="J277" t="str">
            <v>R</v>
          </cell>
          <cell r="K277" t="str">
            <v>AD</v>
          </cell>
          <cell r="L277" t="str">
            <v>KN</v>
          </cell>
          <cell r="Y277">
            <v>0</v>
          </cell>
          <cell r="Z277">
            <v>0</v>
          </cell>
          <cell r="AA277">
            <v>0</v>
          </cell>
          <cell r="AB277">
            <v>0</v>
          </cell>
          <cell r="AC277">
            <v>0</v>
          </cell>
          <cell r="AD277">
            <v>0</v>
          </cell>
          <cell r="AE277">
            <v>0</v>
          </cell>
          <cell r="AF277">
            <v>0</v>
          </cell>
        </row>
        <row r="278">
          <cell r="B278" t="str">
            <v>CO-KE-A01M201</v>
          </cell>
          <cell r="C278" t="str">
            <v>CO-A01M201</v>
          </cell>
          <cell r="D278" t="str">
            <v>CO-KE</v>
          </cell>
          <cell r="E278" t="str">
            <v>EXT-CO-KE</v>
          </cell>
          <cell r="F278" t="str">
            <v>EXT-KE</v>
          </cell>
          <cell r="G278" t="str">
            <v>A01M201</v>
          </cell>
          <cell r="H278" t="str">
            <v>EXT</v>
          </cell>
          <cell r="I278">
            <v>2002</v>
          </cell>
          <cell r="J278" t="str">
            <v>R</v>
          </cell>
          <cell r="K278" t="str">
            <v>CO</v>
          </cell>
          <cell r="L278" t="str">
            <v>KE</v>
          </cell>
          <cell r="Y278">
            <v>0</v>
          </cell>
          <cell r="Z278">
            <v>0</v>
          </cell>
          <cell r="AA278">
            <v>0</v>
          </cell>
          <cell r="AB278">
            <v>0</v>
          </cell>
          <cell r="AC278">
            <v>0</v>
          </cell>
          <cell r="AD278">
            <v>0</v>
          </cell>
          <cell r="AE278">
            <v>0</v>
          </cell>
          <cell r="AF278">
            <v>0</v>
          </cell>
        </row>
        <row r="279">
          <cell r="B279" t="str">
            <v>CO-KN-A01M201</v>
          </cell>
          <cell r="C279" t="str">
            <v>CO-A01M201</v>
          </cell>
          <cell r="D279" t="str">
            <v>CO-KN</v>
          </cell>
          <cell r="E279" t="str">
            <v>EXT-CO-KN</v>
          </cell>
          <cell r="F279" t="str">
            <v>EXT-KN</v>
          </cell>
          <cell r="G279" t="str">
            <v>A01M201</v>
          </cell>
          <cell r="H279" t="str">
            <v>EXT</v>
          </cell>
          <cell r="I279">
            <v>2002</v>
          </cell>
          <cell r="J279" t="str">
            <v>R</v>
          </cell>
          <cell r="K279" t="str">
            <v>CO</v>
          </cell>
          <cell r="L279" t="str">
            <v>KN</v>
          </cell>
          <cell r="Y279">
            <v>0</v>
          </cell>
          <cell r="Z279">
            <v>0</v>
          </cell>
          <cell r="AA279">
            <v>0</v>
          </cell>
          <cell r="AB279">
            <v>0</v>
          </cell>
          <cell r="AC279">
            <v>0</v>
          </cell>
          <cell r="AD279">
            <v>0</v>
          </cell>
          <cell r="AE279">
            <v>0</v>
          </cell>
          <cell r="AF279">
            <v>0</v>
          </cell>
        </row>
        <row r="280">
          <cell r="B280" t="str">
            <v>IN-KE-A01M201</v>
          </cell>
          <cell r="C280" t="str">
            <v>IN-A01M201</v>
          </cell>
          <cell r="D280" t="str">
            <v>IN-KE</v>
          </cell>
          <cell r="E280" t="str">
            <v>EXT-IN-KE</v>
          </cell>
          <cell r="F280" t="str">
            <v>EXT-KE</v>
          </cell>
          <cell r="G280" t="str">
            <v>A01M201</v>
          </cell>
          <cell r="H280" t="str">
            <v>EXT</v>
          </cell>
          <cell r="I280">
            <v>2002</v>
          </cell>
          <cell r="J280" t="str">
            <v>R</v>
          </cell>
          <cell r="K280" t="str">
            <v>IN</v>
          </cell>
          <cell r="L280" t="str">
            <v>KE</v>
          </cell>
          <cell r="Y280">
            <v>0</v>
          </cell>
          <cell r="Z280">
            <v>0</v>
          </cell>
          <cell r="AA280">
            <v>0</v>
          </cell>
          <cell r="AB280">
            <v>0</v>
          </cell>
          <cell r="AC280">
            <v>0</v>
          </cell>
          <cell r="AD280">
            <v>0</v>
          </cell>
          <cell r="AE280">
            <v>0</v>
          </cell>
          <cell r="AF280">
            <v>0</v>
          </cell>
        </row>
        <row r="281">
          <cell r="B281" t="str">
            <v>IN-KN-A01M201</v>
          </cell>
          <cell r="C281" t="str">
            <v>IN-A01M201</v>
          </cell>
          <cell r="D281" t="str">
            <v>IN-KN</v>
          </cell>
          <cell r="E281" t="str">
            <v>EXT-IN-KN</v>
          </cell>
          <cell r="F281" t="str">
            <v>EXT-KN</v>
          </cell>
          <cell r="G281" t="str">
            <v>A01M201</v>
          </cell>
          <cell r="H281" t="str">
            <v>EXT</v>
          </cell>
          <cell r="I281">
            <v>2002</v>
          </cell>
          <cell r="J281" t="str">
            <v>R</v>
          </cell>
          <cell r="K281" t="str">
            <v>IN</v>
          </cell>
          <cell r="L281" t="str">
            <v>KN</v>
          </cell>
          <cell r="Y281">
            <v>0</v>
          </cell>
          <cell r="Z281">
            <v>0</v>
          </cell>
          <cell r="AA281">
            <v>0</v>
          </cell>
          <cell r="AB281">
            <v>0</v>
          </cell>
          <cell r="AC281">
            <v>0</v>
          </cell>
          <cell r="AD281">
            <v>0</v>
          </cell>
          <cell r="AE281">
            <v>0</v>
          </cell>
          <cell r="AF281">
            <v>0</v>
          </cell>
        </row>
        <row r="282">
          <cell r="B282" t="str">
            <v>AD-KE-A01M301</v>
          </cell>
          <cell r="C282" t="str">
            <v>AD-A01M301</v>
          </cell>
          <cell r="D282" t="str">
            <v>AD-KE</v>
          </cell>
          <cell r="E282" t="str">
            <v>DIV-AD-KE</v>
          </cell>
          <cell r="F282" t="str">
            <v>DIV-KE</v>
          </cell>
          <cell r="G282" t="str">
            <v>A01M301</v>
          </cell>
          <cell r="H282" t="str">
            <v>DIV</v>
          </cell>
          <cell r="I282">
            <v>2001</v>
          </cell>
          <cell r="J282" t="str">
            <v>R</v>
          </cell>
          <cell r="K282" t="str">
            <v>AD</v>
          </cell>
          <cell r="L282" t="str">
            <v>KE</v>
          </cell>
          <cell r="Y282">
            <v>0</v>
          </cell>
          <cell r="Z282">
            <v>0</v>
          </cell>
          <cell r="AA282">
            <v>0</v>
          </cell>
          <cell r="AB282">
            <v>0</v>
          </cell>
          <cell r="AC282">
            <v>0</v>
          </cell>
          <cell r="AD282">
            <v>0</v>
          </cell>
          <cell r="AE282">
            <v>0</v>
          </cell>
          <cell r="AF282">
            <v>0</v>
          </cell>
        </row>
        <row r="283">
          <cell r="B283" t="str">
            <v>AD-KN-A01M301</v>
          </cell>
          <cell r="C283" t="str">
            <v>AD-A01M301</v>
          </cell>
          <cell r="D283" t="str">
            <v>AD-KN</v>
          </cell>
          <cell r="E283" t="str">
            <v>DIV-AD-KN</v>
          </cell>
          <cell r="F283" t="str">
            <v>DIV-KN</v>
          </cell>
          <cell r="G283" t="str">
            <v>A01M301</v>
          </cell>
          <cell r="H283" t="str">
            <v>DIV</v>
          </cell>
          <cell r="I283">
            <v>2001</v>
          </cell>
          <cell r="J283" t="str">
            <v>R</v>
          </cell>
          <cell r="K283" t="str">
            <v>AD</v>
          </cell>
          <cell r="L283" t="str">
            <v>KN</v>
          </cell>
          <cell r="Y283">
            <v>0</v>
          </cell>
          <cell r="Z283">
            <v>0</v>
          </cell>
          <cell r="AA283">
            <v>0</v>
          </cell>
          <cell r="AB283">
            <v>0</v>
          </cell>
          <cell r="AC283">
            <v>0</v>
          </cell>
          <cell r="AD283">
            <v>0</v>
          </cell>
          <cell r="AE283">
            <v>0</v>
          </cell>
          <cell r="AF283">
            <v>0</v>
          </cell>
        </row>
        <row r="284">
          <cell r="B284" t="str">
            <v>CO-KE-A01M301</v>
          </cell>
          <cell r="C284" t="str">
            <v>CO-A01M301</v>
          </cell>
          <cell r="D284" t="str">
            <v>CO-KE</v>
          </cell>
          <cell r="E284" t="str">
            <v>DIV-CO-KE</v>
          </cell>
          <cell r="F284" t="str">
            <v>DIV-KE</v>
          </cell>
          <cell r="G284" t="str">
            <v>A01M301</v>
          </cell>
          <cell r="H284" t="str">
            <v>DIV</v>
          </cell>
          <cell r="I284">
            <v>2001</v>
          </cell>
          <cell r="J284" t="str">
            <v>R</v>
          </cell>
          <cell r="K284" t="str">
            <v>CO</v>
          </cell>
          <cell r="L284" t="str">
            <v>KE</v>
          </cell>
          <cell r="Y284">
            <v>0</v>
          </cell>
          <cell r="Z284">
            <v>0</v>
          </cell>
          <cell r="AA284">
            <v>0</v>
          </cell>
          <cell r="AB284">
            <v>0</v>
          </cell>
          <cell r="AC284">
            <v>0</v>
          </cell>
          <cell r="AD284">
            <v>0</v>
          </cell>
          <cell r="AE284">
            <v>0</v>
          </cell>
          <cell r="AF284">
            <v>0</v>
          </cell>
        </row>
        <row r="285">
          <cell r="B285" t="str">
            <v>CO-KN-A01M301</v>
          </cell>
          <cell r="C285" t="str">
            <v>CO-A01M301</v>
          </cell>
          <cell r="D285" t="str">
            <v>CO-KN</v>
          </cell>
          <cell r="E285" t="str">
            <v>DIV-CO-KN</v>
          </cell>
          <cell r="F285" t="str">
            <v>DIV-KN</v>
          </cell>
          <cell r="G285" t="str">
            <v>A01M301</v>
          </cell>
          <cell r="H285" t="str">
            <v>DIV</v>
          </cell>
          <cell r="I285">
            <v>2001</v>
          </cell>
          <cell r="J285" t="str">
            <v>R</v>
          </cell>
          <cell r="K285" t="str">
            <v>CO</v>
          </cell>
          <cell r="L285" t="str">
            <v>KN</v>
          </cell>
          <cell r="Y285">
            <v>0</v>
          </cell>
          <cell r="Z285">
            <v>0</v>
          </cell>
          <cell r="AA285">
            <v>0</v>
          </cell>
          <cell r="AB285">
            <v>0</v>
          </cell>
          <cell r="AC285">
            <v>0</v>
          </cell>
          <cell r="AD285">
            <v>0</v>
          </cell>
          <cell r="AE285">
            <v>0</v>
          </cell>
          <cell r="AF285">
            <v>0</v>
          </cell>
        </row>
        <row r="286">
          <cell r="B286" t="str">
            <v>IN-KE-A01M301</v>
          </cell>
          <cell r="C286" t="str">
            <v>IN-A01M301</v>
          </cell>
          <cell r="D286" t="str">
            <v>IN-KE</v>
          </cell>
          <cell r="E286" t="str">
            <v>DIV-IN-KE</v>
          </cell>
          <cell r="F286" t="str">
            <v>DIV-KE</v>
          </cell>
          <cell r="G286" t="str">
            <v>A01M301</v>
          </cell>
          <cell r="H286" t="str">
            <v>DIV</v>
          </cell>
          <cell r="I286">
            <v>2001</v>
          </cell>
          <cell r="J286" t="str">
            <v>R</v>
          </cell>
          <cell r="K286" t="str">
            <v>IN</v>
          </cell>
          <cell r="L286" t="str">
            <v>KE</v>
          </cell>
          <cell r="Y286">
            <v>0</v>
          </cell>
          <cell r="Z286">
            <v>0</v>
          </cell>
          <cell r="AA286">
            <v>0</v>
          </cell>
          <cell r="AB286">
            <v>0</v>
          </cell>
          <cell r="AC286">
            <v>0</v>
          </cell>
          <cell r="AD286">
            <v>0</v>
          </cell>
          <cell r="AE286">
            <v>0</v>
          </cell>
          <cell r="AF286">
            <v>0</v>
          </cell>
        </row>
        <row r="287">
          <cell r="B287" t="str">
            <v>IN-KN-A01M301</v>
          </cell>
          <cell r="C287" t="str">
            <v>IN-A01M301</v>
          </cell>
          <cell r="D287" t="str">
            <v>IN-KN</v>
          </cell>
          <cell r="E287" t="str">
            <v>DIV-IN-KN</v>
          </cell>
          <cell r="F287" t="str">
            <v>DIV-KN</v>
          </cell>
          <cell r="G287" t="str">
            <v>A01M301</v>
          </cell>
          <cell r="H287" t="str">
            <v>DIV</v>
          </cell>
          <cell r="I287">
            <v>2001</v>
          </cell>
          <cell r="J287" t="str">
            <v>R</v>
          </cell>
          <cell r="K287" t="str">
            <v>IN</v>
          </cell>
          <cell r="L287" t="str">
            <v>KN</v>
          </cell>
          <cell r="Q287">
            <v>2.4</v>
          </cell>
          <cell r="Y287">
            <v>0</v>
          </cell>
          <cell r="Z287">
            <v>2.4</v>
          </cell>
          <cell r="AA287">
            <v>0</v>
          </cell>
          <cell r="AB287">
            <v>2.4</v>
          </cell>
          <cell r="AC287">
            <v>2.4</v>
          </cell>
          <cell r="AD287">
            <v>2.4</v>
          </cell>
          <cell r="AE287">
            <v>0</v>
          </cell>
          <cell r="AF287">
            <v>-0.22930171031999996</v>
          </cell>
        </row>
        <row r="288">
          <cell r="B288" t="str">
            <v>AD-KE-A01M303</v>
          </cell>
          <cell r="C288" t="str">
            <v>AD-A01M303</v>
          </cell>
          <cell r="D288" t="str">
            <v>AD-KE</v>
          </cell>
          <cell r="E288" t="str">
            <v>DIV-AD-KE</v>
          </cell>
          <cell r="F288" t="str">
            <v>DIV-KE</v>
          </cell>
          <cell r="G288" t="str">
            <v>A01M303</v>
          </cell>
          <cell r="H288" t="str">
            <v>DIV</v>
          </cell>
          <cell r="I288">
            <v>2002</v>
          </cell>
          <cell r="J288" t="str">
            <v>R</v>
          </cell>
          <cell r="K288" t="str">
            <v>AD</v>
          </cell>
          <cell r="L288" t="str">
            <v>KE</v>
          </cell>
          <cell r="Y288">
            <v>0</v>
          </cell>
          <cell r="Z288">
            <v>0</v>
          </cell>
          <cell r="AA288">
            <v>0</v>
          </cell>
          <cell r="AB288">
            <v>0</v>
          </cell>
          <cell r="AC288">
            <v>0</v>
          </cell>
          <cell r="AD288">
            <v>0</v>
          </cell>
          <cell r="AE288">
            <v>0</v>
          </cell>
          <cell r="AF288">
            <v>0</v>
          </cell>
        </row>
        <row r="289">
          <cell r="B289" t="str">
            <v>AD-KN-A01M303</v>
          </cell>
          <cell r="C289" t="str">
            <v>AD-A01M303</v>
          </cell>
          <cell r="D289" t="str">
            <v>AD-KN</v>
          </cell>
          <cell r="E289" t="str">
            <v>DIV-AD-KN</v>
          </cell>
          <cell r="F289" t="str">
            <v>DIV-KN</v>
          </cell>
          <cell r="G289" t="str">
            <v>A01M303</v>
          </cell>
          <cell r="H289" t="str">
            <v>DIV</v>
          </cell>
          <cell r="I289">
            <v>2002</v>
          </cell>
          <cell r="J289" t="str">
            <v>R</v>
          </cell>
          <cell r="K289" t="str">
            <v>AD</v>
          </cell>
          <cell r="L289" t="str">
            <v>KN</v>
          </cell>
          <cell r="Y289">
            <v>0</v>
          </cell>
          <cell r="Z289">
            <v>0</v>
          </cell>
          <cell r="AA289">
            <v>0</v>
          </cell>
          <cell r="AB289">
            <v>0</v>
          </cell>
          <cell r="AC289">
            <v>0</v>
          </cell>
          <cell r="AD289">
            <v>0</v>
          </cell>
          <cell r="AE289">
            <v>0</v>
          </cell>
          <cell r="AF289">
            <v>0</v>
          </cell>
        </row>
        <row r="290">
          <cell r="B290" t="str">
            <v>CO-KE-A01M303</v>
          </cell>
          <cell r="C290" t="str">
            <v>CO-A01M303</v>
          </cell>
          <cell r="D290" t="str">
            <v>CO-KE</v>
          </cell>
          <cell r="E290" t="str">
            <v>DIV-CO-KE</v>
          </cell>
          <cell r="F290" t="str">
            <v>DIV-KE</v>
          </cell>
          <cell r="G290" t="str">
            <v>A01M303</v>
          </cell>
          <cell r="H290" t="str">
            <v>DIV</v>
          </cell>
          <cell r="I290">
            <v>2002</v>
          </cell>
          <cell r="J290" t="str">
            <v>R</v>
          </cell>
          <cell r="K290" t="str">
            <v>CO</v>
          </cell>
          <cell r="L290" t="str">
            <v>KE</v>
          </cell>
          <cell r="Y290">
            <v>0</v>
          </cell>
          <cell r="Z290">
            <v>0</v>
          </cell>
          <cell r="AA290">
            <v>0</v>
          </cell>
          <cell r="AB290">
            <v>0</v>
          </cell>
          <cell r="AC290">
            <v>0</v>
          </cell>
          <cell r="AD290">
            <v>0</v>
          </cell>
          <cell r="AE290">
            <v>0</v>
          </cell>
          <cell r="AF290">
            <v>0</v>
          </cell>
        </row>
        <row r="291">
          <cell r="B291" t="str">
            <v>CO-KN-A01M303</v>
          </cell>
          <cell r="C291" t="str">
            <v>CO-A01M303</v>
          </cell>
          <cell r="D291" t="str">
            <v>CO-KN</v>
          </cell>
          <cell r="E291" t="str">
            <v>DIV-CO-KN</v>
          </cell>
          <cell r="F291" t="str">
            <v>DIV-KN</v>
          </cell>
          <cell r="G291" t="str">
            <v>A01M303</v>
          </cell>
          <cell r="H291" t="str">
            <v>DIV</v>
          </cell>
          <cell r="I291">
            <v>2002</v>
          </cell>
          <cell r="J291" t="str">
            <v>R</v>
          </cell>
          <cell r="K291" t="str">
            <v>CO</v>
          </cell>
          <cell r="L291" t="str">
            <v>KN</v>
          </cell>
          <cell r="Y291">
            <v>0</v>
          </cell>
          <cell r="Z291">
            <v>0</v>
          </cell>
          <cell r="AA291">
            <v>0</v>
          </cell>
          <cell r="AB291">
            <v>0</v>
          </cell>
          <cell r="AC291">
            <v>0</v>
          </cell>
          <cell r="AD291">
            <v>0</v>
          </cell>
          <cell r="AE291">
            <v>0</v>
          </cell>
          <cell r="AF291">
            <v>0</v>
          </cell>
        </row>
        <row r="292">
          <cell r="B292" t="str">
            <v>IN-KE-A01M303</v>
          </cell>
          <cell r="C292" t="str">
            <v>IN-A01M303</v>
          </cell>
          <cell r="D292" t="str">
            <v>IN-KE</v>
          </cell>
          <cell r="E292" t="str">
            <v>DIV-IN-KE</v>
          </cell>
          <cell r="F292" t="str">
            <v>DIV-KE</v>
          </cell>
          <cell r="G292" t="str">
            <v>A01M303</v>
          </cell>
          <cell r="H292" t="str">
            <v>DIV</v>
          </cell>
          <cell r="I292">
            <v>2002</v>
          </cell>
          <cell r="J292" t="str">
            <v>R</v>
          </cell>
          <cell r="K292" t="str">
            <v>IN</v>
          </cell>
          <cell r="L292" t="str">
            <v>KE</v>
          </cell>
          <cell r="Y292">
            <v>0</v>
          </cell>
          <cell r="Z292">
            <v>0</v>
          </cell>
          <cell r="AA292">
            <v>0</v>
          </cell>
          <cell r="AB292">
            <v>0</v>
          </cell>
          <cell r="AC292">
            <v>0</v>
          </cell>
          <cell r="AD292">
            <v>0</v>
          </cell>
          <cell r="AE292">
            <v>0</v>
          </cell>
          <cell r="AF292">
            <v>0</v>
          </cell>
        </row>
        <row r="293">
          <cell r="B293" t="str">
            <v>IN-KN-A01M303</v>
          </cell>
          <cell r="C293" t="str">
            <v>IN-A01M303</v>
          </cell>
          <cell r="D293" t="str">
            <v>IN-KN</v>
          </cell>
          <cell r="E293" t="str">
            <v>DIV-IN-KN</v>
          </cell>
          <cell r="F293" t="str">
            <v>DIV-KN</v>
          </cell>
          <cell r="G293" t="str">
            <v>A01M303</v>
          </cell>
          <cell r="H293" t="str">
            <v>DIV</v>
          </cell>
          <cell r="I293">
            <v>2002</v>
          </cell>
          <cell r="J293" t="str">
            <v>R</v>
          </cell>
          <cell r="K293" t="str">
            <v>IN</v>
          </cell>
          <cell r="L293" t="str">
            <v>KN</v>
          </cell>
          <cell r="Y293">
            <v>0</v>
          </cell>
          <cell r="Z293">
            <v>0</v>
          </cell>
          <cell r="AA293">
            <v>0</v>
          </cell>
          <cell r="AB293">
            <v>0</v>
          </cell>
          <cell r="AC293">
            <v>0</v>
          </cell>
          <cell r="AD293">
            <v>0</v>
          </cell>
          <cell r="AE293">
            <v>0</v>
          </cell>
          <cell r="AF293">
            <v>0</v>
          </cell>
        </row>
        <row r="294">
          <cell r="B294" t="str">
            <v>AD-KE-A01M304</v>
          </cell>
          <cell r="C294" t="str">
            <v>AD-A01M304</v>
          </cell>
          <cell r="D294" t="str">
            <v>AD-KE</v>
          </cell>
          <cell r="E294" t="str">
            <v>DIV-AD-KE</v>
          </cell>
          <cell r="F294" t="str">
            <v>DIV-KE</v>
          </cell>
          <cell r="G294" t="str">
            <v>A01M304</v>
          </cell>
          <cell r="H294" t="str">
            <v>DIV</v>
          </cell>
          <cell r="I294">
            <v>2001</v>
          </cell>
          <cell r="J294" t="str">
            <v>R</v>
          </cell>
          <cell r="K294" t="str">
            <v>AD</v>
          </cell>
          <cell r="L294" t="str">
            <v>KE</v>
          </cell>
          <cell r="Y294">
            <v>0</v>
          </cell>
          <cell r="Z294">
            <v>0</v>
          </cell>
          <cell r="AA294">
            <v>0</v>
          </cell>
          <cell r="AB294">
            <v>0</v>
          </cell>
          <cell r="AC294">
            <v>0</v>
          </cell>
          <cell r="AD294">
            <v>0</v>
          </cell>
          <cell r="AE294">
            <v>0</v>
          </cell>
          <cell r="AF294">
            <v>0</v>
          </cell>
        </row>
        <row r="295">
          <cell r="B295" t="str">
            <v>AD-KN-A01M304</v>
          </cell>
          <cell r="C295" t="str">
            <v>AD-A01M304</v>
          </cell>
          <cell r="D295" t="str">
            <v>AD-KN</v>
          </cell>
          <cell r="E295" t="str">
            <v>DIV-AD-KN</v>
          </cell>
          <cell r="F295" t="str">
            <v>DIV-KN</v>
          </cell>
          <cell r="G295" t="str">
            <v>A01M304</v>
          </cell>
          <cell r="H295" t="str">
            <v>DIV</v>
          </cell>
          <cell r="I295">
            <v>2001</v>
          </cell>
          <cell r="J295" t="str">
            <v>R</v>
          </cell>
          <cell r="K295" t="str">
            <v>AD</v>
          </cell>
          <cell r="L295" t="str">
            <v>KN</v>
          </cell>
          <cell r="Y295">
            <v>0</v>
          </cell>
          <cell r="Z295">
            <v>0</v>
          </cell>
          <cell r="AA295">
            <v>0</v>
          </cell>
          <cell r="AB295">
            <v>0</v>
          </cell>
          <cell r="AC295">
            <v>0</v>
          </cell>
          <cell r="AD295">
            <v>0</v>
          </cell>
          <cell r="AE295">
            <v>0</v>
          </cell>
          <cell r="AF295">
            <v>0</v>
          </cell>
        </row>
        <row r="296">
          <cell r="B296" t="str">
            <v>CO-KE-A01M304</v>
          </cell>
          <cell r="C296" t="str">
            <v>CO-A01M304</v>
          </cell>
          <cell r="D296" t="str">
            <v>CO-KE</v>
          </cell>
          <cell r="E296" t="str">
            <v>DIV-CO-KE</v>
          </cell>
          <cell r="F296" t="str">
            <v>DIV-KE</v>
          </cell>
          <cell r="G296" t="str">
            <v>A01M304</v>
          </cell>
          <cell r="H296" t="str">
            <v>DIV</v>
          </cell>
          <cell r="I296">
            <v>2001</v>
          </cell>
          <cell r="J296" t="str">
            <v>R</v>
          </cell>
          <cell r="K296" t="str">
            <v>CO</v>
          </cell>
          <cell r="L296" t="str">
            <v>KE</v>
          </cell>
          <cell r="Y296">
            <v>0</v>
          </cell>
          <cell r="Z296">
            <v>0</v>
          </cell>
          <cell r="AA296">
            <v>0</v>
          </cell>
          <cell r="AB296">
            <v>0</v>
          </cell>
          <cell r="AC296">
            <v>0</v>
          </cell>
          <cell r="AD296">
            <v>0</v>
          </cell>
          <cell r="AE296">
            <v>0</v>
          </cell>
          <cell r="AF296">
            <v>0</v>
          </cell>
        </row>
        <row r="297">
          <cell r="B297" t="str">
            <v>CO-KN-A01M304</v>
          </cell>
          <cell r="C297" t="str">
            <v>CO-A01M304</v>
          </cell>
          <cell r="D297" t="str">
            <v>CO-KN</v>
          </cell>
          <cell r="E297" t="str">
            <v>DIV-CO-KN</v>
          </cell>
          <cell r="F297" t="str">
            <v>DIV-KN</v>
          </cell>
          <cell r="G297" t="str">
            <v>A01M304</v>
          </cell>
          <cell r="H297" t="str">
            <v>DIV</v>
          </cell>
          <cell r="I297">
            <v>2001</v>
          </cell>
          <cell r="J297" t="str">
            <v>R</v>
          </cell>
          <cell r="K297" t="str">
            <v>CO</v>
          </cell>
          <cell r="L297" t="str">
            <v>KN</v>
          </cell>
          <cell r="Y297">
            <v>0</v>
          </cell>
          <cell r="Z297">
            <v>0</v>
          </cell>
          <cell r="AA297">
            <v>0</v>
          </cell>
          <cell r="AB297">
            <v>0</v>
          </cell>
          <cell r="AC297">
            <v>0</v>
          </cell>
          <cell r="AD297">
            <v>0</v>
          </cell>
          <cell r="AE297">
            <v>0</v>
          </cell>
          <cell r="AF297">
            <v>0</v>
          </cell>
        </row>
        <row r="298">
          <cell r="B298" t="str">
            <v>IN-KE-A01M304</v>
          </cell>
          <cell r="C298" t="str">
            <v>IN-A01M304</v>
          </cell>
          <cell r="D298" t="str">
            <v>IN-KE</v>
          </cell>
          <cell r="E298" t="str">
            <v>DIV-IN-KE</v>
          </cell>
          <cell r="F298" t="str">
            <v>DIV-KE</v>
          </cell>
          <cell r="G298" t="str">
            <v>A01M304</v>
          </cell>
          <cell r="H298" t="str">
            <v>DIV</v>
          </cell>
          <cell r="I298">
            <v>2001</v>
          </cell>
          <cell r="J298" t="str">
            <v>R</v>
          </cell>
          <cell r="K298" t="str">
            <v>IN</v>
          </cell>
          <cell r="L298" t="str">
            <v>KE</v>
          </cell>
          <cell r="Y298">
            <v>0</v>
          </cell>
          <cell r="Z298">
            <v>0</v>
          </cell>
          <cell r="AA298">
            <v>0</v>
          </cell>
          <cell r="AB298">
            <v>0</v>
          </cell>
          <cell r="AC298">
            <v>0</v>
          </cell>
          <cell r="AD298">
            <v>0</v>
          </cell>
          <cell r="AE298">
            <v>0</v>
          </cell>
          <cell r="AF298">
            <v>0</v>
          </cell>
        </row>
        <row r="299">
          <cell r="B299" t="str">
            <v>IN-KN-A01M304</v>
          </cell>
          <cell r="C299" t="str">
            <v>IN-A01M304</v>
          </cell>
          <cell r="D299" t="str">
            <v>IN-KN</v>
          </cell>
          <cell r="E299" t="str">
            <v>DIV-IN-KN</v>
          </cell>
          <cell r="F299" t="str">
            <v>DIV-KN</v>
          </cell>
          <cell r="G299" t="str">
            <v>A01M304</v>
          </cell>
          <cell r="H299" t="str">
            <v>DIV</v>
          </cell>
          <cell r="I299">
            <v>2001</v>
          </cell>
          <cell r="J299" t="str">
            <v>R</v>
          </cell>
          <cell r="K299" t="str">
            <v>IN</v>
          </cell>
          <cell r="L299" t="str">
            <v>KN</v>
          </cell>
          <cell r="Y299">
            <v>0</v>
          </cell>
          <cell r="Z299">
            <v>0</v>
          </cell>
          <cell r="AA299">
            <v>0</v>
          </cell>
          <cell r="AB299">
            <v>0</v>
          </cell>
          <cell r="AC299">
            <v>0</v>
          </cell>
          <cell r="AD299">
            <v>0</v>
          </cell>
          <cell r="AE299">
            <v>0</v>
          </cell>
          <cell r="AF299">
            <v>0</v>
          </cell>
        </row>
        <row r="300">
          <cell r="B300" t="str">
            <v>AD-KE-A01M305</v>
          </cell>
          <cell r="C300" t="str">
            <v>AD-A01M305</v>
          </cell>
          <cell r="D300" t="str">
            <v>AD-KE</v>
          </cell>
          <cell r="E300" t="str">
            <v>DIV-AD-KE</v>
          </cell>
          <cell r="F300" t="str">
            <v>DIV-KE</v>
          </cell>
          <cell r="G300" t="str">
            <v>A01M305</v>
          </cell>
          <cell r="H300" t="str">
            <v>DIV</v>
          </cell>
          <cell r="I300">
            <v>2001</v>
          </cell>
          <cell r="J300" t="str">
            <v>R</v>
          </cell>
          <cell r="K300" t="str">
            <v>AD</v>
          </cell>
          <cell r="L300" t="str">
            <v>KE</v>
          </cell>
          <cell r="Y300">
            <v>0</v>
          </cell>
          <cell r="Z300">
            <v>0</v>
          </cell>
          <cell r="AA300">
            <v>0</v>
          </cell>
          <cell r="AB300">
            <v>0</v>
          </cell>
          <cell r="AC300">
            <v>0</v>
          </cell>
          <cell r="AD300">
            <v>0</v>
          </cell>
          <cell r="AE300">
            <v>0</v>
          </cell>
          <cell r="AF300">
            <v>0</v>
          </cell>
        </row>
        <row r="301">
          <cell r="B301" t="str">
            <v>AD-KN-A01M305</v>
          </cell>
          <cell r="C301" t="str">
            <v>AD-A01M305</v>
          </cell>
          <cell r="D301" t="str">
            <v>AD-KN</v>
          </cell>
          <cell r="E301" t="str">
            <v>DIV-AD-KN</v>
          </cell>
          <cell r="F301" t="str">
            <v>DIV-KN</v>
          </cell>
          <cell r="G301" t="str">
            <v>A01M305</v>
          </cell>
          <cell r="H301" t="str">
            <v>DIV</v>
          </cell>
          <cell r="I301">
            <v>2001</v>
          </cell>
          <cell r="J301" t="str">
            <v>R</v>
          </cell>
          <cell r="K301" t="str">
            <v>AD</v>
          </cell>
          <cell r="L301" t="str">
            <v>KN</v>
          </cell>
          <cell r="Y301">
            <v>0</v>
          </cell>
          <cell r="Z301">
            <v>0</v>
          </cell>
          <cell r="AA301">
            <v>0</v>
          </cell>
          <cell r="AB301">
            <v>0</v>
          </cell>
          <cell r="AC301">
            <v>0</v>
          </cell>
          <cell r="AD301">
            <v>0</v>
          </cell>
          <cell r="AE301">
            <v>0</v>
          </cell>
          <cell r="AF301">
            <v>0</v>
          </cell>
        </row>
        <row r="302">
          <cell r="B302" t="str">
            <v>CO-KE-A01M305</v>
          </cell>
          <cell r="C302" t="str">
            <v>CO-A01M305</v>
          </cell>
          <cell r="D302" t="str">
            <v>CO-KE</v>
          </cell>
          <cell r="E302" t="str">
            <v>DIV-CO-KE</v>
          </cell>
          <cell r="F302" t="str">
            <v>DIV-KE</v>
          </cell>
          <cell r="G302" t="str">
            <v>A01M305</v>
          </cell>
          <cell r="H302" t="str">
            <v>DIV</v>
          </cell>
          <cell r="I302">
            <v>2001</v>
          </cell>
          <cell r="J302" t="str">
            <v>R</v>
          </cell>
          <cell r="K302" t="str">
            <v>CO</v>
          </cell>
          <cell r="L302" t="str">
            <v>KE</v>
          </cell>
          <cell r="Y302">
            <v>0</v>
          </cell>
          <cell r="Z302">
            <v>0</v>
          </cell>
          <cell r="AA302">
            <v>0</v>
          </cell>
          <cell r="AB302">
            <v>0</v>
          </cell>
          <cell r="AC302">
            <v>0</v>
          </cell>
          <cell r="AD302">
            <v>0</v>
          </cell>
          <cell r="AE302">
            <v>0</v>
          </cell>
          <cell r="AF302">
            <v>0</v>
          </cell>
        </row>
        <row r="303">
          <cell r="B303" t="str">
            <v>CO-KN-A01M305</v>
          </cell>
          <cell r="C303" t="str">
            <v>CO-A01M305</v>
          </cell>
          <cell r="D303" t="str">
            <v>CO-KN</v>
          </cell>
          <cell r="E303" t="str">
            <v>DIV-CO-KN</v>
          </cell>
          <cell r="F303" t="str">
            <v>DIV-KN</v>
          </cell>
          <cell r="G303" t="str">
            <v>A01M305</v>
          </cell>
          <cell r="H303" t="str">
            <v>DIV</v>
          </cell>
          <cell r="I303">
            <v>2001</v>
          </cell>
          <cell r="J303" t="str">
            <v>R</v>
          </cell>
          <cell r="K303" t="str">
            <v>CO</v>
          </cell>
          <cell r="L303" t="str">
            <v>KN</v>
          </cell>
          <cell r="Y303">
            <v>0</v>
          </cell>
          <cell r="Z303">
            <v>0</v>
          </cell>
          <cell r="AA303">
            <v>0</v>
          </cell>
          <cell r="AB303">
            <v>0</v>
          </cell>
          <cell r="AC303">
            <v>0</v>
          </cell>
          <cell r="AD303">
            <v>0</v>
          </cell>
          <cell r="AE303">
            <v>0</v>
          </cell>
          <cell r="AF303">
            <v>0</v>
          </cell>
        </row>
        <row r="304">
          <cell r="B304" t="str">
            <v>IN-KE-A01M305</v>
          </cell>
          <cell r="C304" t="str">
            <v>IN-A01M305</v>
          </cell>
          <cell r="D304" t="str">
            <v>IN-KE</v>
          </cell>
          <cell r="E304" t="str">
            <v>DIV-IN-KE</v>
          </cell>
          <cell r="F304" t="str">
            <v>DIV-KE</v>
          </cell>
          <cell r="G304" t="str">
            <v>A01M305</v>
          </cell>
          <cell r="H304" t="str">
            <v>DIV</v>
          </cell>
          <cell r="I304">
            <v>2001</v>
          </cell>
          <cell r="J304" t="str">
            <v>R</v>
          </cell>
          <cell r="K304" t="str">
            <v>IN</v>
          </cell>
          <cell r="L304" t="str">
            <v>KE</v>
          </cell>
          <cell r="Y304">
            <v>0</v>
          </cell>
          <cell r="Z304">
            <v>0</v>
          </cell>
          <cell r="AA304">
            <v>0</v>
          </cell>
          <cell r="AB304">
            <v>0</v>
          </cell>
          <cell r="AC304">
            <v>0</v>
          </cell>
          <cell r="AD304">
            <v>0</v>
          </cell>
          <cell r="AE304">
            <v>0</v>
          </cell>
          <cell r="AF304">
            <v>0</v>
          </cell>
        </row>
        <row r="305">
          <cell r="B305" t="str">
            <v>IN-KN-A01M305</v>
          </cell>
          <cell r="C305" t="str">
            <v>IN-A01M305</v>
          </cell>
          <cell r="D305" t="str">
            <v>IN-KN</v>
          </cell>
          <cell r="E305" t="str">
            <v>DIV-IN-KN</v>
          </cell>
          <cell r="F305" t="str">
            <v>DIV-KN</v>
          </cell>
          <cell r="G305" t="str">
            <v>A01M305</v>
          </cell>
          <cell r="H305" t="str">
            <v>DIV</v>
          </cell>
          <cell r="I305">
            <v>2001</v>
          </cell>
          <cell r="J305" t="str">
            <v>R</v>
          </cell>
          <cell r="K305" t="str">
            <v>IN</v>
          </cell>
          <cell r="L305" t="str">
            <v>KN</v>
          </cell>
          <cell r="Y305">
            <v>0</v>
          </cell>
          <cell r="Z305">
            <v>0</v>
          </cell>
          <cell r="AA305">
            <v>0</v>
          </cell>
          <cell r="AB305">
            <v>0</v>
          </cell>
          <cell r="AC305">
            <v>0</v>
          </cell>
          <cell r="AD305">
            <v>0</v>
          </cell>
          <cell r="AE305">
            <v>0</v>
          </cell>
          <cell r="AF305">
            <v>0</v>
          </cell>
        </row>
        <row r="306">
          <cell r="B306" t="str">
            <v>AD-KE-A01M307</v>
          </cell>
          <cell r="C306" t="str">
            <v>AD-A01M307</v>
          </cell>
          <cell r="D306" t="str">
            <v>AD-KE</v>
          </cell>
          <cell r="E306" t="str">
            <v>DIV-AD-KE</v>
          </cell>
          <cell r="F306" t="str">
            <v>DIV-KE</v>
          </cell>
          <cell r="G306" t="str">
            <v>A01M307</v>
          </cell>
          <cell r="H306" t="str">
            <v>DIV</v>
          </cell>
          <cell r="I306">
            <v>2002</v>
          </cell>
          <cell r="J306" t="str">
            <v>R</v>
          </cell>
          <cell r="K306" t="str">
            <v>AD</v>
          </cell>
          <cell r="L306" t="str">
            <v>KE</v>
          </cell>
          <cell r="Y306">
            <v>0</v>
          </cell>
          <cell r="Z306">
            <v>0</v>
          </cell>
          <cell r="AA306">
            <v>0</v>
          </cell>
          <cell r="AB306">
            <v>0</v>
          </cell>
          <cell r="AC306">
            <v>0</v>
          </cell>
          <cell r="AD306">
            <v>0</v>
          </cell>
          <cell r="AE306">
            <v>0</v>
          </cell>
          <cell r="AF306">
            <v>0</v>
          </cell>
        </row>
        <row r="307">
          <cell r="B307" t="str">
            <v>AD-KN-A01M307</v>
          </cell>
          <cell r="C307" t="str">
            <v>AD-A01M307</v>
          </cell>
          <cell r="D307" t="str">
            <v>AD-KN</v>
          </cell>
          <cell r="E307" t="str">
            <v>DIV-AD-KN</v>
          </cell>
          <cell r="F307" t="str">
            <v>DIV-KN</v>
          </cell>
          <cell r="G307" t="str">
            <v>A01M307</v>
          </cell>
          <cell r="H307" t="str">
            <v>DIV</v>
          </cell>
          <cell r="I307">
            <v>2002</v>
          </cell>
          <cell r="J307" t="str">
            <v>R</v>
          </cell>
          <cell r="K307" t="str">
            <v>AD</v>
          </cell>
          <cell r="L307" t="str">
            <v>KN</v>
          </cell>
          <cell r="Y307">
            <v>0</v>
          </cell>
          <cell r="Z307">
            <v>0</v>
          </cell>
          <cell r="AA307">
            <v>0</v>
          </cell>
          <cell r="AB307">
            <v>0</v>
          </cell>
          <cell r="AC307">
            <v>0</v>
          </cell>
          <cell r="AD307">
            <v>0</v>
          </cell>
          <cell r="AE307">
            <v>0</v>
          </cell>
          <cell r="AF307">
            <v>0</v>
          </cell>
        </row>
        <row r="308">
          <cell r="B308" t="str">
            <v>CO-KE-A01M307</v>
          </cell>
          <cell r="C308" t="str">
            <v>CO-A01M307</v>
          </cell>
          <cell r="D308" t="str">
            <v>CO-KE</v>
          </cell>
          <cell r="E308" t="str">
            <v>DIV-CO-KE</v>
          </cell>
          <cell r="F308" t="str">
            <v>DIV-KE</v>
          </cell>
          <cell r="G308" t="str">
            <v>A01M307</v>
          </cell>
          <cell r="H308" t="str">
            <v>DIV</v>
          </cell>
          <cell r="I308">
            <v>2002</v>
          </cell>
          <cell r="J308" t="str">
            <v>R</v>
          </cell>
          <cell r="K308" t="str">
            <v>CO</v>
          </cell>
          <cell r="L308" t="str">
            <v>KE</v>
          </cell>
          <cell r="Y308">
            <v>0</v>
          </cell>
          <cell r="Z308">
            <v>0</v>
          </cell>
          <cell r="AA308">
            <v>0</v>
          </cell>
          <cell r="AB308">
            <v>0</v>
          </cell>
          <cell r="AC308">
            <v>0</v>
          </cell>
          <cell r="AD308">
            <v>0</v>
          </cell>
          <cell r="AE308">
            <v>0</v>
          </cell>
          <cell r="AF308">
            <v>0</v>
          </cell>
        </row>
        <row r="309">
          <cell r="B309" t="str">
            <v>CO-KN-A01M307</v>
          </cell>
          <cell r="C309" t="str">
            <v>CO-A01M307</v>
          </cell>
          <cell r="D309" t="str">
            <v>CO-KN</v>
          </cell>
          <cell r="E309" t="str">
            <v>DIV-CO-KN</v>
          </cell>
          <cell r="F309" t="str">
            <v>DIV-KN</v>
          </cell>
          <cell r="G309" t="str">
            <v>A01M307</v>
          </cell>
          <cell r="H309" t="str">
            <v>DIV</v>
          </cell>
          <cell r="I309">
            <v>2002</v>
          </cell>
          <cell r="J309" t="str">
            <v>R</v>
          </cell>
          <cell r="K309" t="str">
            <v>CO</v>
          </cell>
          <cell r="L309" t="str">
            <v>KN</v>
          </cell>
          <cell r="Y309">
            <v>0</v>
          </cell>
          <cell r="Z309">
            <v>0</v>
          </cell>
          <cell r="AA309">
            <v>0</v>
          </cell>
          <cell r="AB309">
            <v>0</v>
          </cell>
          <cell r="AC309">
            <v>0</v>
          </cell>
          <cell r="AD309">
            <v>0</v>
          </cell>
          <cell r="AE309">
            <v>0</v>
          </cell>
          <cell r="AF309">
            <v>0</v>
          </cell>
        </row>
        <row r="310">
          <cell r="B310" t="str">
            <v>IN-KE-A01M307</v>
          </cell>
          <cell r="C310" t="str">
            <v>IN-A01M307</v>
          </cell>
          <cell r="D310" t="str">
            <v>IN-KE</v>
          </cell>
          <cell r="E310" t="str">
            <v>DIV-IN-KE</v>
          </cell>
          <cell r="F310" t="str">
            <v>DIV-KE</v>
          </cell>
          <cell r="G310" t="str">
            <v>A01M307</v>
          </cell>
          <cell r="H310" t="str">
            <v>DIV</v>
          </cell>
          <cell r="I310">
            <v>2002</v>
          </cell>
          <cell r="J310" t="str">
            <v>R</v>
          </cell>
          <cell r="K310" t="str">
            <v>IN</v>
          </cell>
          <cell r="L310" t="str">
            <v>KE</v>
          </cell>
          <cell r="Y310">
            <v>0</v>
          </cell>
          <cell r="Z310">
            <v>0</v>
          </cell>
          <cell r="AA310">
            <v>0</v>
          </cell>
          <cell r="AB310">
            <v>0</v>
          </cell>
          <cell r="AC310">
            <v>0</v>
          </cell>
          <cell r="AD310">
            <v>0</v>
          </cell>
          <cell r="AE310">
            <v>0</v>
          </cell>
          <cell r="AF310">
            <v>0</v>
          </cell>
        </row>
        <row r="311">
          <cell r="B311" t="str">
            <v>IN-KN-A01M307</v>
          </cell>
          <cell r="C311" t="str">
            <v>IN-A01M307</v>
          </cell>
          <cell r="D311" t="str">
            <v>IN-KN</v>
          </cell>
          <cell r="E311" t="str">
            <v>DIV-IN-KN</v>
          </cell>
          <cell r="F311" t="str">
            <v>DIV-KN</v>
          </cell>
          <cell r="G311" t="str">
            <v>A01M307</v>
          </cell>
          <cell r="H311" t="str">
            <v>DIV</v>
          </cell>
          <cell r="I311">
            <v>2002</v>
          </cell>
          <cell r="J311" t="str">
            <v>R</v>
          </cell>
          <cell r="K311" t="str">
            <v>IN</v>
          </cell>
          <cell r="L311" t="str">
            <v>KN</v>
          </cell>
          <cell r="Y311">
            <v>0</v>
          </cell>
          <cell r="Z311">
            <v>0</v>
          </cell>
          <cell r="AA311">
            <v>0</v>
          </cell>
          <cell r="AB311">
            <v>0</v>
          </cell>
          <cell r="AC311">
            <v>0</v>
          </cell>
          <cell r="AD311">
            <v>0</v>
          </cell>
          <cell r="AE311">
            <v>0</v>
          </cell>
          <cell r="AF311">
            <v>0</v>
          </cell>
        </row>
        <row r="312">
          <cell r="B312" t="str">
            <v>AD-KE-A01M308</v>
          </cell>
          <cell r="C312" t="str">
            <v>AD-A01M308</v>
          </cell>
          <cell r="D312" t="str">
            <v>AD-KE</v>
          </cell>
          <cell r="E312" t="str">
            <v>DIV-AD-KE</v>
          </cell>
          <cell r="F312" t="str">
            <v>DIV-KE</v>
          </cell>
          <cell r="G312" t="str">
            <v>A01M308</v>
          </cell>
          <cell r="H312" t="str">
            <v>DIV</v>
          </cell>
          <cell r="I312">
            <v>2001</v>
          </cell>
          <cell r="J312" t="str">
            <v>R</v>
          </cell>
          <cell r="K312" t="str">
            <v>AD</v>
          </cell>
          <cell r="L312" t="str">
            <v>KE</v>
          </cell>
          <cell r="Y312">
            <v>0</v>
          </cell>
          <cell r="Z312">
            <v>0</v>
          </cell>
          <cell r="AA312">
            <v>0</v>
          </cell>
          <cell r="AB312">
            <v>0</v>
          </cell>
          <cell r="AC312">
            <v>0</v>
          </cell>
          <cell r="AD312">
            <v>0</v>
          </cell>
          <cell r="AE312">
            <v>0</v>
          </cell>
          <cell r="AF312">
            <v>0</v>
          </cell>
        </row>
        <row r="313">
          <cell r="B313" t="str">
            <v>AD-KN-A01M308</v>
          </cell>
          <cell r="C313" t="str">
            <v>AD-A01M308</v>
          </cell>
          <cell r="D313" t="str">
            <v>AD-KN</v>
          </cell>
          <cell r="E313" t="str">
            <v>DIV-AD-KN</v>
          </cell>
          <cell r="F313" t="str">
            <v>DIV-KN</v>
          </cell>
          <cell r="G313" t="str">
            <v>A01M308</v>
          </cell>
          <cell r="H313" t="str">
            <v>DIV</v>
          </cell>
          <cell r="I313">
            <v>2001</v>
          </cell>
          <cell r="J313" t="str">
            <v>R</v>
          </cell>
          <cell r="K313" t="str">
            <v>AD</v>
          </cell>
          <cell r="L313" t="str">
            <v>KN</v>
          </cell>
          <cell r="Y313">
            <v>0</v>
          </cell>
          <cell r="Z313">
            <v>0</v>
          </cell>
          <cell r="AA313">
            <v>0</v>
          </cell>
          <cell r="AB313">
            <v>0</v>
          </cell>
          <cell r="AC313">
            <v>0</v>
          </cell>
          <cell r="AD313">
            <v>0</v>
          </cell>
          <cell r="AE313">
            <v>0</v>
          </cell>
          <cell r="AF313">
            <v>0</v>
          </cell>
        </row>
        <row r="314">
          <cell r="B314" t="str">
            <v>CO-KE-A01M308</v>
          </cell>
          <cell r="C314" t="str">
            <v>CO-A01M308</v>
          </cell>
          <cell r="D314" t="str">
            <v>CO-KE</v>
          </cell>
          <cell r="E314" t="str">
            <v>DIV-CO-KE</v>
          </cell>
          <cell r="F314" t="str">
            <v>DIV-KE</v>
          </cell>
          <cell r="G314" t="str">
            <v>A01M308</v>
          </cell>
          <cell r="H314" t="str">
            <v>DIV</v>
          </cell>
          <cell r="I314">
            <v>2001</v>
          </cell>
          <cell r="J314" t="str">
            <v>R</v>
          </cell>
          <cell r="K314" t="str">
            <v>CO</v>
          </cell>
          <cell r="L314" t="str">
            <v>KE</v>
          </cell>
          <cell r="Y314">
            <v>0</v>
          </cell>
          <cell r="Z314">
            <v>0</v>
          </cell>
          <cell r="AA314">
            <v>0</v>
          </cell>
          <cell r="AB314">
            <v>0</v>
          </cell>
          <cell r="AC314">
            <v>0</v>
          </cell>
          <cell r="AD314">
            <v>0</v>
          </cell>
          <cell r="AE314">
            <v>0</v>
          </cell>
          <cell r="AF314">
            <v>0</v>
          </cell>
        </row>
        <row r="315">
          <cell r="B315" t="str">
            <v>CO-KN-A01M308</v>
          </cell>
          <cell r="C315" t="str">
            <v>CO-A01M308</v>
          </cell>
          <cell r="D315" t="str">
            <v>CO-KN</v>
          </cell>
          <cell r="E315" t="str">
            <v>DIV-CO-KN</v>
          </cell>
          <cell r="F315" t="str">
            <v>DIV-KN</v>
          </cell>
          <cell r="G315" t="str">
            <v>A01M308</v>
          </cell>
          <cell r="H315" t="str">
            <v>DIV</v>
          </cell>
          <cell r="I315">
            <v>2001</v>
          </cell>
          <cell r="J315" t="str">
            <v>R</v>
          </cell>
          <cell r="K315" t="str">
            <v>CO</v>
          </cell>
          <cell r="L315" t="str">
            <v>KN</v>
          </cell>
          <cell r="Y315">
            <v>0</v>
          </cell>
          <cell r="Z315">
            <v>0</v>
          </cell>
          <cell r="AA315">
            <v>0</v>
          </cell>
          <cell r="AB315">
            <v>0</v>
          </cell>
          <cell r="AC315">
            <v>0</v>
          </cell>
          <cell r="AD315">
            <v>0</v>
          </cell>
          <cell r="AE315">
            <v>0</v>
          </cell>
          <cell r="AF315">
            <v>0</v>
          </cell>
        </row>
        <row r="316">
          <cell r="B316" t="str">
            <v>IN-KE-A01M308</v>
          </cell>
          <cell r="C316" t="str">
            <v>IN-A01M308</v>
          </cell>
          <cell r="D316" t="str">
            <v>IN-KE</v>
          </cell>
          <cell r="E316" t="str">
            <v>DIV-IN-KE</v>
          </cell>
          <cell r="F316" t="str">
            <v>DIV-KE</v>
          </cell>
          <cell r="G316" t="str">
            <v>A01M308</v>
          </cell>
          <cell r="H316" t="str">
            <v>DIV</v>
          </cell>
          <cell r="I316">
            <v>2001</v>
          </cell>
          <cell r="J316" t="str">
            <v>R</v>
          </cell>
          <cell r="K316" t="str">
            <v>IN</v>
          </cell>
          <cell r="L316" t="str">
            <v>KE</v>
          </cell>
          <cell r="Y316">
            <v>0</v>
          </cell>
          <cell r="Z316">
            <v>0</v>
          </cell>
          <cell r="AA316">
            <v>0</v>
          </cell>
          <cell r="AB316">
            <v>0</v>
          </cell>
          <cell r="AC316">
            <v>0</v>
          </cell>
          <cell r="AD316">
            <v>0</v>
          </cell>
          <cell r="AE316">
            <v>0</v>
          </cell>
          <cell r="AF316">
            <v>0</v>
          </cell>
        </row>
        <row r="317">
          <cell r="B317" t="str">
            <v>IN-KN-A01M308</v>
          </cell>
          <cell r="C317" t="str">
            <v>IN-A01M308</v>
          </cell>
          <cell r="D317" t="str">
            <v>IN-KN</v>
          </cell>
          <cell r="E317" t="str">
            <v>DIV-IN-KN</v>
          </cell>
          <cell r="F317" t="str">
            <v>DIV-KN</v>
          </cell>
          <cell r="G317" t="str">
            <v>A01M308</v>
          </cell>
          <cell r="H317" t="str">
            <v>DIV</v>
          </cell>
          <cell r="I317">
            <v>2001</v>
          </cell>
          <cell r="J317" t="str">
            <v>R</v>
          </cell>
          <cell r="K317" t="str">
            <v>IN</v>
          </cell>
          <cell r="L317" t="str">
            <v>KN</v>
          </cell>
          <cell r="Y317">
            <v>0</v>
          </cell>
          <cell r="Z317">
            <v>0</v>
          </cell>
          <cell r="AA317">
            <v>0</v>
          </cell>
          <cell r="AB317">
            <v>0</v>
          </cell>
          <cell r="AC317">
            <v>0</v>
          </cell>
          <cell r="AD317">
            <v>0</v>
          </cell>
          <cell r="AE317">
            <v>0</v>
          </cell>
          <cell r="AF317">
            <v>0</v>
          </cell>
        </row>
        <row r="318">
          <cell r="B318" t="str">
            <v>AD-KE-A01M310</v>
          </cell>
          <cell r="C318" t="str">
            <v>AD-A01M310</v>
          </cell>
          <cell r="D318" t="str">
            <v>AD-KE</v>
          </cell>
          <cell r="E318" t="str">
            <v>DIV-AD-KE</v>
          </cell>
          <cell r="F318" t="str">
            <v>DIV-KE</v>
          </cell>
          <cell r="G318" t="str">
            <v>A01M310</v>
          </cell>
          <cell r="H318" t="str">
            <v>DIV</v>
          </cell>
          <cell r="I318">
            <v>2001</v>
          </cell>
          <cell r="J318" t="str">
            <v>R</v>
          </cell>
          <cell r="K318" t="str">
            <v>AD</v>
          </cell>
          <cell r="L318" t="str">
            <v>KE</v>
          </cell>
          <cell r="Y318">
            <v>0</v>
          </cell>
          <cell r="Z318">
            <v>0</v>
          </cell>
          <cell r="AA318">
            <v>0</v>
          </cell>
          <cell r="AB318">
            <v>0</v>
          </cell>
          <cell r="AC318">
            <v>0</v>
          </cell>
          <cell r="AD318">
            <v>0</v>
          </cell>
          <cell r="AE318">
            <v>0</v>
          </cell>
          <cell r="AF318">
            <v>0</v>
          </cell>
        </row>
        <row r="319">
          <cell r="B319" t="str">
            <v>AD-KN-A01M310</v>
          </cell>
          <cell r="C319" t="str">
            <v>AD-A01M310</v>
          </cell>
          <cell r="D319" t="str">
            <v>AD-KN</v>
          </cell>
          <cell r="E319" t="str">
            <v>DIV-AD-KN</v>
          </cell>
          <cell r="F319" t="str">
            <v>DIV-KN</v>
          </cell>
          <cell r="G319" t="str">
            <v>A01M310</v>
          </cell>
          <cell r="H319" t="str">
            <v>DIV</v>
          </cell>
          <cell r="I319">
            <v>2001</v>
          </cell>
          <cell r="J319" t="str">
            <v>R</v>
          </cell>
          <cell r="K319" t="str">
            <v>AD</v>
          </cell>
          <cell r="L319" t="str">
            <v>KN</v>
          </cell>
          <cell r="Y319">
            <v>0</v>
          </cell>
          <cell r="Z319">
            <v>0</v>
          </cell>
          <cell r="AA319">
            <v>0</v>
          </cell>
          <cell r="AB319">
            <v>0</v>
          </cell>
          <cell r="AC319">
            <v>0</v>
          </cell>
          <cell r="AD319">
            <v>0</v>
          </cell>
          <cell r="AE319">
            <v>0</v>
          </cell>
          <cell r="AF319">
            <v>0</v>
          </cell>
        </row>
        <row r="320">
          <cell r="B320" t="str">
            <v>CO-KE-A01M310</v>
          </cell>
          <cell r="C320" t="str">
            <v>CO-A01M310</v>
          </cell>
          <cell r="D320" t="str">
            <v>CO-KE</v>
          </cell>
          <cell r="E320" t="str">
            <v>DIV-CO-KE</v>
          </cell>
          <cell r="F320" t="str">
            <v>DIV-KE</v>
          </cell>
          <cell r="G320" t="str">
            <v>A01M310</v>
          </cell>
          <cell r="H320" t="str">
            <v>DIV</v>
          </cell>
          <cell r="I320">
            <v>2001</v>
          </cell>
          <cell r="J320" t="str">
            <v>R</v>
          </cell>
          <cell r="K320" t="str">
            <v>CO</v>
          </cell>
          <cell r="L320" t="str">
            <v>KE</v>
          </cell>
          <cell r="Y320">
            <v>0</v>
          </cell>
          <cell r="Z320">
            <v>0</v>
          </cell>
          <cell r="AA320">
            <v>0</v>
          </cell>
          <cell r="AB320">
            <v>0</v>
          </cell>
          <cell r="AC320">
            <v>0</v>
          </cell>
          <cell r="AD320">
            <v>0</v>
          </cell>
          <cell r="AE320">
            <v>0</v>
          </cell>
          <cell r="AF320">
            <v>0</v>
          </cell>
        </row>
        <row r="321">
          <cell r="B321" t="str">
            <v>CO-KN-A01M310</v>
          </cell>
          <cell r="C321" t="str">
            <v>CO-A01M310</v>
          </cell>
          <cell r="D321" t="str">
            <v>CO-KN</v>
          </cell>
          <cell r="E321" t="str">
            <v>DIV-CO-KN</v>
          </cell>
          <cell r="F321" t="str">
            <v>DIV-KN</v>
          </cell>
          <cell r="G321" t="str">
            <v>A01M310</v>
          </cell>
          <cell r="H321" t="str">
            <v>DIV</v>
          </cell>
          <cell r="I321">
            <v>2001</v>
          </cell>
          <cell r="J321" t="str">
            <v>R</v>
          </cell>
          <cell r="K321" t="str">
            <v>CO</v>
          </cell>
          <cell r="L321" t="str">
            <v>KN</v>
          </cell>
          <cell r="Q321">
            <v>24.2</v>
          </cell>
          <cell r="Y321">
            <v>0</v>
          </cell>
          <cell r="Z321">
            <v>24.2</v>
          </cell>
          <cell r="AA321">
            <v>0</v>
          </cell>
          <cell r="AB321">
            <v>24.2</v>
          </cell>
          <cell r="AC321">
            <v>24.2</v>
          </cell>
          <cell r="AD321">
            <v>24.2</v>
          </cell>
          <cell r="AE321">
            <v>0</v>
          </cell>
          <cell r="AF321">
            <v>-2.3121255790599999</v>
          </cell>
        </row>
        <row r="322">
          <cell r="B322" t="str">
            <v>IN-KE-A01M310</v>
          </cell>
          <cell r="C322" t="str">
            <v>IN-A01M310</v>
          </cell>
          <cell r="D322" t="str">
            <v>IN-KE</v>
          </cell>
          <cell r="E322" t="str">
            <v>DIV-IN-KE</v>
          </cell>
          <cell r="F322" t="str">
            <v>DIV-KE</v>
          </cell>
          <cell r="G322" t="str">
            <v>A01M310</v>
          </cell>
          <cell r="H322" t="str">
            <v>DIV</v>
          </cell>
          <cell r="I322">
            <v>2001</v>
          </cell>
          <cell r="J322" t="str">
            <v>R</v>
          </cell>
          <cell r="K322" t="str">
            <v>IN</v>
          </cell>
          <cell r="L322" t="str">
            <v>KE</v>
          </cell>
          <cell r="Y322">
            <v>0</v>
          </cell>
          <cell r="Z322">
            <v>0</v>
          </cell>
          <cell r="AA322">
            <v>0</v>
          </cell>
          <cell r="AB322">
            <v>0</v>
          </cell>
          <cell r="AC322">
            <v>0</v>
          </cell>
          <cell r="AD322">
            <v>0</v>
          </cell>
          <cell r="AE322">
            <v>0</v>
          </cell>
          <cell r="AF322">
            <v>0</v>
          </cell>
        </row>
        <row r="323">
          <cell r="B323" t="str">
            <v>IN-KN-A01M310</v>
          </cell>
          <cell r="C323" t="str">
            <v>IN-A01M310</v>
          </cell>
          <cell r="D323" t="str">
            <v>IN-KN</v>
          </cell>
          <cell r="E323" t="str">
            <v>DIV-IN-KN</v>
          </cell>
          <cell r="F323" t="str">
            <v>DIV-KN</v>
          </cell>
          <cell r="G323" t="str">
            <v>A01M310</v>
          </cell>
          <cell r="H323" t="str">
            <v>DIV</v>
          </cell>
          <cell r="I323">
            <v>2001</v>
          </cell>
          <cell r="J323" t="str">
            <v>R</v>
          </cell>
          <cell r="K323" t="str">
            <v>IN</v>
          </cell>
          <cell r="L323" t="str">
            <v>KN</v>
          </cell>
          <cell r="Q323">
            <v>2.6</v>
          </cell>
          <cell r="Y323">
            <v>0</v>
          </cell>
          <cell r="Z323">
            <v>2.6</v>
          </cell>
          <cell r="AA323">
            <v>0</v>
          </cell>
          <cell r="AB323">
            <v>2.6</v>
          </cell>
          <cell r="AC323">
            <v>2.6</v>
          </cell>
          <cell r="AD323">
            <v>2.6</v>
          </cell>
          <cell r="AE323">
            <v>0</v>
          </cell>
          <cell r="AF323">
            <v>-0.24841018617999999</v>
          </cell>
        </row>
        <row r="324">
          <cell r="B324" t="str">
            <v>AD-KE-A01M312</v>
          </cell>
          <cell r="C324" t="str">
            <v>AD-A01M312</v>
          </cell>
          <cell r="D324" t="str">
            <v>AD-KE</v>
          </cell>
          <cell r="E324" t="str">
            <v>DIV-AD-KE</v>
          </cell>
          <cell r="F324" t="str">
            <v>DIV-KE</v>
          </cell>
          <cell r="G324" t="str">
            <v>A01M312</v>
          </cell>
          <cell r="H324" t="str">
            <v>DIV</v>
          </cell>
          <cell r="I324">
            <v>2001</v>
          </cell>
          <cell r="J324" t="str">
            <v>R</v>
          </cell>
          <cell r="K324" t="str">
            <v>AD</v>
          </cell>
          <cell r="L324" t="str">
            <v>KE</v>
          </cell>
          <cell r="Y324">
            <v>0</v>
          </cell>
          <cell r="Z324">
            <v>0</v>
          </cell>
          <cell r="AA324">
            <v>0</v>
          </cell>
          <cell r="AB324">
            <v>0</v>
          </cell>
          <cell r="AC324">
            <v>0</v>
          </cell>
          <cell r="AD324">
            <v>0</v>
          </cell>
          <cell r="AE324">
            <v>0</v>
          </cell>
          <cell r="AF324">
            <v>0</v>
          </cell>
        </row>
        <row r="325">
          <cell r="B325" t="str">
            <v>AD-KN-A01M312</v>
          </cell>
          <cell r="C325" t="str">
            <v>AD-A01M312</v>
          </cell>
          <cell r="D325" t="str">
            <v>AD-KN</v>
          </cell>
          <cell r="E325" t="str">
            <v>DIV-AD-KN</v>
          </cell>
          <cell r="F325" t="str">
            <v>DIV-KN</v>
          </cell>
          <cell r="G325" t="str">
            <v>A01M312</v>
          </cell>
          <cell r="H325" t="str">
            <v>DIV</v>
          </cell>
          <cell r="I325">
            <v>2001</v>
          </cell>
          <cell r="J325" t="str">
            <v>R</v>
          </cell>
          <cell r="K325" t="str">
            <v>AD</v>
          </cell>
          <cell r="L325" t="str">
            <v>KN</v>
          </cell>
          <cell r="Y325">
            <v>0</v>
          </cell>
          <cell r="Z325">
            <v>0</v>
          </cell>
          <cell r="AA325">
            <v>0</v>
          </cell>
          <cell r="AB325">
            <v>0</v>
          </cell>
          <cell r="AC325">
            <v>0</v>
          </cell>
          <cell r="AD325">
            <v>0</v>
          </cell>
          <cell r="AE325">
            <v>0</v>
          </cell>
          <cell r="AF325">
            <v>0</v>
          </cell>
        </row>
        <row r="326">
          <cell r="B326" t="str">
            <v>CO-KE-A01M312</v>
          </cell>
          <cell r="C326" t="str">
            <v>CO-A01M312</v>
          </cell>
          <cell r="D326" t="str">
            <v>CO-KE</v>
          </cell>
          <cell r="E326" t="str">
            <v>DIV-CO-KE</v>
          </cell>
          <cell r="F326" t="str">
            <v>DIV-KE</v>
          </cell>
          <cell r="G326" t="str">
            <v>A01M312</v>
          </cell>
          <cell r="H326" t="str">
            <v>DIV</v>
          </cell>
          <cell r="I326">
            <v>2001</v>
          </cell>
          <cell r="J326" t="str">
            <v>R</v>
          </cell>
          <cell r="K326" t="str">
            <v>CO</v>
          </cell>
          <cell r="L326" t="str">
            <v>KE</v>
          </cell>
          <cell r="Y326">
            <v>0</v>
          </cell>
          <cell r="Z326">
            <v>0</v>
          </cell>
          <cell r="AA326">
            <v>0</v>
          </cell>
          <cell r="AB326">
            <v>0</v>
          </cell>
          <cell r="AC326">
            <v>0</v>
          </cell>
          <cell r="AD326">
            <v>0</v>
          </cell>
          <cell r="AE326">
            <v>0</v>
          </cell>
          <cell r="AF326">
            <v>0</v>
          </cell>
        </row>
        <row r="327">
          <cell r="B327" t="str">
            <v>CO-KN-A01M312</v>
          </cell>
          <cell r="C327" t="str">
            <v>CO-A01M312</v>
          </cell>
          <cell r="D327" t="str">
            <v>CO-KN</v>
          </cell>
          <cell r="E327" t="str">
            <v>DIV-CO-KN</v>
          </cell>
          <cell r="F327" t="str">
            <v>DIV-KN</v>
          </cell>
          <cell r="G327" t="str">
            <v>A01M312</v>
          </cell>
          <cell r="H327" t="str">
            <v>DIV</v>
          </cell>
          <cell r="I327">
            <v>2001</v>
          </cell>
          <cell r="J327" t="str">
            <v>R</v>
          </cell>
          <cell r="K327" t="str">
            <v>CO</v>
          </cell>
          <cell r="L327" t="str">
            <v>KN</v>
          </cell>
          <cell r="Y327">
            <v>0</v>
          </cell>
          <cell r="Z327">
            <v>0</v>
          </cell>
          <cell r="AA327">
            <v>0</v>
          </cell>
          <cell r="AB327">
            <v>0</v>
          </cell>
          <cell r="AC327">
            <v>0</v>
          </cell>
          <cell r="AD327">
            <v>0</v>
          </cell>
          <cell r="AE327">
            <v>0</v>
          </cell>
          <cell r="AF327">
            <v>0</v>
          </cell>
        </row>
        <row r="328">
          <cell r="B328" t="str">
            <v>IN-KE-A01M312</v>
          </cell>
          <cell r="C328" t="str">
            <v>IN-A01M312</v>
          </cell>
          <cell r="D328" t="str">
            <v>IN-KE</v>
          </cell>
          <cell r="E328" t="str">
            <v>DIV-IN-KE</v>
          </cell>
          <cell r="F328" t="str">
            <v>DIV-KE</v>
          </cell>
          <cell r="G328" t="str">
            <v>A01M312</v>
          </cell>
          <cell r="H328" t="str">
            <v>DIV</v>
          </cell>
          <cell r="I328">
            <v>2001</v>
          </cell>
          <cell r="J328" t="str">
            <v>R</v>
          </cell>
          <cell r="K328" t="str">
            <v>IN</v>
          </cell>
          <cell r="L328" t="str">
            <v>KE</v>
          </cell>
          <cell r="Y328">
            <v>0</v>
          </cell>
          <cell r="Z328">
            <v>0</v>
          </cell>
          <cell r="AA328">
            <v>0</v>
          </cell>
          <cell r="AB328">
            <v>0</v>
          </cell>
          <cell r="AC328">
            <v>0</v>
          </cell>
          <cell r="AD328">
            <v>0</v>
          </cell>
          <cell r="AE328">
            <v>0</v>
          </cell>
          <cell r="AF328">
            <v>0</v>
          </cell>
        </row>
        <row r="329">
          <cell r="B329" t="str">
            <v>IN-KN-A01M312</v>
          </cell>
          <cell r="C329" t="str">
            <v>IN-A01M312</v>
          </cell>
          <cell r="D329" t="str">
            <v>IN-KN</v>
          </cell>
          <cell r="E329" t="str">
            <v>DIV-IN-KN</v>
          </cell>
          <cell r="F329" t="str">
            <v>DIV-KN</v>
          </cell>
          <cell r="G329" t="str">
            <v>A01M312</v>
          </cell>
          <cell r="H329" t="str">
            <v>DIV</v>
          </cell>
          <cell r="I329">
            <v>2001</v>
          </cell>
          <cell r="J329" t="str">
            <v>R</v>
          </cell>
          <cell r="K329" t="str">
            <v>IN</v>
          </cell>
          <cell r="L329" t="str">
            <v>KN</v>
          </cell>
          <cell r="Y329">
            <v>0</v>
          </cell>
          <cell r="Z329">
            <v>0</v>
          </cell>
          <cell r="AA329">
            <v>0</v>
          </cell>
          <cell r="AB329">
            <v>0</v>
          </cell>
          <cell r="AC329">
            <v>0</v>
          </cell>
          <cell r="AD329">
            <v>0</v>
          </cell>
          <cell r="AE329">
            <v>0</v>
          </cell>
          <cell r="AF329">
            <v>0</v>
          </cell>
        </row>
        <row r="330">
          <cell r="B330" t="str">
            <v>AD-KE-A01M317</v>
          </cell>
          <cell r="C330" t="str">
            <v>AD-A01M317</v>
          </cell>
          <cell r="D330" t="str">
            <v>AD-KE</v>
          </cell>
          <cell r="E330" t="str">
            <v>DIV-AD-KE</v>
          </cell>
          <cell r="F330" t="str">
            <v>DIV-KE</v>
          </cell>
          <cell r="G330" t="str">
            <v>A01M317</v>
          </cell>
          <cell r="H330" t="str">
            <v>DIV</v>
          </cell>
          <cell r="I330">
            <v>2001</v>
          </cell>
          <cell r="J330" t="str">
            <v>R</v>
          </cell>
          <cell r="K330" t="str">
            <v>AD</v>
          </cell>
          <cell r="L330" t="str">
            <v>KE</v>
          </cell>
          <cell r="Y330">
            <v>0</v>
          </cell>
          <cell r="Z330">
            <v>0</v>
          </cell>
          <cell r="AA330">
            <v>0</v>
          </cell>
          <cell r="AB330">
            <v>0</v>
          </cell>
          <cell r="AC330">
            <v>0</v>
          </cell>
          <cell r="AD330">
            <v>0</v>
          </cell>
          <cell r="AE330">
            <v>0</v>
          </cell>
          <cell r="AF330">
            <v>0</v>
          </cell>
        </row>
        <row r="331">
          <cell r="B331" t="str">
            <v>AD-KN-A01M317</v>
          </cell>
          <cell r="C331" t="str">
            <v>AD-A01M317</v>
          </cell>
          <cell r="D331" t="str">
            <v>AD-KN</v>
          </cell>
          <cell r="E331" t="str">
            <v>DIV-AD-KN</v>
          </cell>
          <cell r="F331" t="str">
            <v>DIV-KN</v>
          </cell>
          <cell r="G331" t="str">
            <v>A01M317</v>
          </cell>
          <cell r="H331" t="str">
            <v>DIV</v>
          </cell>
          <cell r="I331">
            <v>2001</v>
          </cell>
          <cell r="J331" t="str">
            <v>R</v>
          </cell>
          <cell r="K331" t="str">
            <v>AD</v>
          </cell>
          <cell r="L331" t="str">
            <v>KN</v>
          </cell>
          <cell r="Y331">
            <v>0</v>
          </cell>
          <cell r="Z331">
            <v>0</v>
          </cell>
          <cell r="AA331">
            <v>0</v>
          </cell>
          <cell r="AB331">
            <v>0</v>
          </cell>
          <cell r="AC331">
            <v>0</v>
          </cell>
          <cell r="AD331">
            <v>0</v>
          </cell>
          <cell r="AE331">
            <v>0</v>
          </cell>
          <cell r="AF331">
            <v>0</v>
          </cell>
        </row>
        <row r="332">
          <cell r="B332" t="str">
            <v>CO-KE-A01M317</v>
          </cell>
          <cell r="C332" t="str">
            <v>CO-A01M317</v>
          </cell>
          <cell r="D332" t="str">
            <v>CO-KE</v>
          </cell>
          <cell r="E332" t="str">
            <v>DIV-CO-KE</v>
          </cell>
          <cell r="F332" t="str">
            <v>DIV-KE</v>
          </cell>
          <cell r="G332" t="str">
            <v>A01M317</v>
          </cell>
          <cell r="H332" t="str">
            <v>DIV</v>
          </cell>
          <cell r="I332">
            <v>2001</v>
          </cell>
          <cell r="J332" t="str">
            <v>R</v>
          </cell>
          <cell r="K332" t="str">
            <v>CO</v>
          </cell>
          <cell r="L332" t="str">
            <v>KE</v>
          </cell>
          <cell r="Y332">
            <v>0</v>
          </cell>
          <cell r="Z332">
            <v>0</v>
          </cell>
          <cell r="AA332">
            <v>0</v>
          </cell>
          <cell r="AB332">
            <v>0</v>
          </cell>
          <cell r="AC332">
            <v>0</v>
          </cell>
          <cell r="AD332">
            <v>0</v>
          </cell>
          <cell r="AE332">
            <v>0</v>
          </cell>
          <cell r="AF332">
            <v>0</v>
          </cell>
        </row>
        <row r="333">
          <cell r="B333" t="str">
            <v>CO-KN-A01M317</v>
          </cell>
          <cell r="C333" t="str">
            <v>CO-A01M317</v>
          </cell>
          <cell r="D333" t="str">
            <v>CO-KN</v>
          </cell>
          <cell r="E333" t="str">
            <v>DIV-CO-KN</v>
          </cell>
          <cell r="F333" t="str">
            <v>DIV-KN</v>
          </cell>
          <cell r="G333" t="str">
            <v>A01M317</v>
          </cell>
          <cell r="H333" t="str">
            <v>DIV</v>
          </cell>
          <cell r="I333">
            <v>2001</v>
          </cell>
          <cell r="J333" t="str">
            <v>R</v>
          </cell>
          <cell r="K333" t="str">
            <v>CO</v>
          </cell>
          <cell r="L333" t="str">
            <v>KN</v>
          </cell>
          <cell r="Y333">
            <v>0</v>
          </cell>
          <cell r="Z333">
            <v>0</v>
          </cell>
          <cell r="AA333">
            <v>0</v>
          </cell>
          <cell r="AB333">
            <v>0</v>
          </cell>
          <cell r="AC333">
            <v>0</v>
          </cell>
          <cell r="AD333">
            <v>0</v>
          </cell>
          <cell r="AE333">
            <v>0</v>
          </cell>
          <cell r="AF333">
            <v>0</v>
          </cell>
        </row>
        <row r="334">
          <cell r="B334" t="str">
            <v>IN-KE-A01M317</v>
          </cell>
          <cell r="C334" t="str">
            <v>IN-A01M317</v>
          </cell>
          <cell r="D334" t="str">
            <v>IN-KE</v>
          </cell>
          <cell r="E334" t="str">
            <v>DIV-IN-KE</v>
          </cell>
          <cell r="F334" t="str">
            <v>DIV-KE</v>
          </cell>
          <cell r="G334" t="str">
            <v>A01M317</v>
          </cell>
          <cell r="H334" t="str">
            <v>DIV</v>
          </cell>
          <cell r="I334">
            <v>2001</v>
          </cell>
          <cell r="J334" t="str">
            <v>R</v>
          </cell>
          <cell r="K334" t="str">
            <v>IN</v>
          </cell>
          <cell r="L334" t="str">
            <v>KE</v>
          </cell>
          <cell r="Y334">
            <v>0</v>
          </cell>
          <cell r="Z334">
            <v>0</v>
          </cell>
          <cell r="AA334">
            <v>0</v>
          </cell>
          <cell r="AB334">
            <v>0</v>
          </cell>
          <cell r="AC334">
            <v>0</v>
          </cell>
          <cell r="AD334">
            <v>0</v>
          </cell>
          <cell r="AE334">
            <v>0</v>
          </cell>
          <cell r="AF334">
            <v>0</v>
          </cell>
        </row>
        <row r="335">
          <cell r="B335" t="str">
            <v>IN-KN-A01M317</v>
          </cell>
          <cell r="C335" t="str">
            <v>IN-A01M317</v>
          </cell>
          <cell r="D335" t="str">
            <v>IN-KN</v>
          </cell>
          <cell r="E335" t="str">
            <v>DIV-IN-KN</v>
          </cell>
          <cell r="F335" t="str">
            <v>DIV-KN</v>
          </cell>
          <cell r="G335" t="str">
            <v>A01M317</v>
          </cell>
          <cell r="H335" t="str">
            <v>DIV</v>
          </cell>
          <cell r="I335">
            <v>2001</v>
          </cell>
          <cell r="J335" t="str">
            <v>R</v>
          </cell>
          <cell r="K335" t="str">
            <v>IN</v>
          </cell>
          <cell r="L335" t="str">
            <v>KN</v>
          </cell>
          <cell r="Y335">
            <v>0</v>
          </cell>
          <cell r="Z335">
            <v>0</v>
          </cell>
          <cell r="AA335">
            <v>0</v>
          </cell>
          <cell r="AB335">
            <v>0</v>
          </cell>
          <cell r="AC335">
            <v>0</v>
          </cell>
          <cell r="AD335">
            <v>0</v>
          </cell>
          <cell r="AE335">
            <v>0</v>
          </cell>
          <cell r="AF335">
            <v>0</v>
          </cell>
        </row>
        <row r="336">
          <cell r="B336" t="str">
            <v>AD-KE-A01M321</v>
          </cell>
          <cell r="C336" t="str">
            <v>AD-A01M321</v>
          </cell>
          <cell r="D336" t="str">
            <v>AD-KE</v>
          </cell>
          <cell r="E336" t="str">
            <v>DIV-AD-KE</v>
          </cell>
          <cell r="F336" t="str">
            <v>DIV-KE</v>
          </cell>
          <cell r="G336" t="str">
            <v>A01M321</v>
          </cell>
          <cell r="H336" t="str">
            <v>DIV</v>
          </cell>
          <cell r="I336">
            <v>2001</v>
          </cell>
          <cell r="J336" t="str">
            <v>R</v>
          </cell>
          <cell r="K336" t="str">
            <v>AD</v>
          </cell>
          <cell r="L336" t="str">
            <v>KE</v>
          </cell>
          <cell r="Y336">
            <v>0</v>
          </cell>
          <cell r="Z336">
            <v>0</v>
          </cell>
          <cell r="AA336">
            <v>0</v>
          </cell>
          <cell r="AB336">
            <v>0</v>
          </cell>
          <cell r="AC336">
            <v>0</v>
          </cell>
          <cell r="AD336">
            <v>0</v>
          </cell>
          <cell r="AE336">
            <v>0</v>
          </cell>
          <cell r="AF336">
            <v>0</v>
          </cell>
        </row>
        <row r="337">
          <cell r="B337" t="str">
            <v>AD-KN-A01M321</v>
          </cell>
          <cell r="C337" t="str">
            <v>AD-A01M321</v>
          </cell>
          <cell r="D337" t="str">
            <v>AD-KN</v>
          </cell>
          <cell r="E337" t="str">
            <v>DIV-AD-KN</v>
          </cell>
          <cell r="F337" t="str">
            <v>DIV-KN</v>
          </cell>
          <cell r="G337" t="str">
            <v>A01M321</v>
          </cell>
          <cell r="H337" t="str">
            <v>DIV</v>
          </cell>
          <cell r="I337">
            <v>2001</v>
          </cell>
          <cell r="J337" t="str">
            <v>R</v>
          </cell>
          <cell r="K337" t="str">
            <v>AD</v>
          </cell>
          <cell r="L337" t="str">
            <v>KN</v>
          </cell>
          <cell r="Y337">
            <v>0</v>
          </cell>
          <cell r="Z337">
            <v>0</v>
          </cell>
          <cell r="AA337">
            <v>0</v>
          </cell>
          <cell r="AB337">
            <v>0</v>
          </cell>
          <cell r="AC337">
            <v>0</v>
          </cell>
          <cell r="AD337">
            <v>0</v>
          </cell>
          <cell r="AE337">
            <v>0</v>
          </cell>
          <cell r="AF337">
            <v>0</v>
          </cell>
        </row>
        <row r="338">
          <cell r="B338" t="str">
            <v>CO-KE-A01M321</v>
          </cell>
          <cell r="C338" t="str">
            <v>CO-A01M321</v>
          </cell>
          <cell r="D338" t="str">
            <v>CO-KE</v>
          </cell>
          <cell r="E338" t="str">
            <v>DIV-CO-KE</v>
          </cell>
          <cell r="F338" t="str">
            <v>DIV-KE</v>
          </cell>
          <cell r="G338" t="str">
            <v>A01M321</v>
          </cell>
          <cell r="H338" t="str">
            <v>DIV</v>
          </cell>
          <cell r="I338">
            <v>2001</v>
          </cell>
          <cell r="J338" t="str">
            <v>R</v>
          </cell>
          <cell r="K338" t="str">
            <v>CO</v>
          </cell>
          <cell r="L338" t="str">
            <v>KE</v>
          </cell>
          <cell r="Y338">
            <v>0</v>
          </cell>
          <cell r="Z338">
            <v>0</v>
          </cell>
          <cell r="AA338">
            <v>0</v>
          </cell>
          <cell r="AB338">
            <v>0</v>
          </cell>
          <cell r="AC338">
            <v>0</v>
          </cell>
          <cell r="AD338">
            <v>0</v>
          </cell>
          <cell r="AE338">
            <v>0</v>
          </cell>
          <cell r="AF338">
            <v>0</v>
          </cell>
        </row>
        <row r="339">
          <cell r="B339" t="str">
            <v>CO-KN-A01M321</v>
          </cell>
          <cell r="C339" t="str">
            <v>CO-A01M321</v>
          </cell>
          <cell r="D339" t="str">
            <v>CO-KN</v>
          </cell>
          <cell r="E339" t="str">
            <v>DIV-CO-KN</v>
          </cell>
          <cell r="F339" t="str">
            <v>DIV-KN</v>
          </cell>
          <cell r="G339" t="str">
            <v>A01M321</v>
          </cell>
          <cell r="H339" t="str">
            <v>DIV</v>
          </cell>
          <cell r="I339">
            <v>2001</v>
          </cell>
          <cell r="J339" t="str">
            <v>R</v>
          </cell>
          <cell r="K339" t="str">
            <v>CO</v>
          </cell>
          <cell r="L339" t="str">
            <v>KN</v>
          </cell>
          <cell r="Y339">
            <v>0</v>
          </cell>
          <cell r="Z339">
            <v>0</v>
          </cell>
          <cell r="AA339">
            <v>0</v>
          </cell>
          <cell r="AB339">
            <v>0</v>
          </cell>
          <cell r="AC339">
            <v>0</v>
          </cell>
          <cell r="AD339">
            <v>0</v>
          </cell>
          <cell r="AE339">
            <v>0</v>
          </cell>
          <cell r="AF339">
            <v>0</v>
          </cell>
        </row>
        <row r="340">
          <cell r="B340" t="str">
            <v>IN-KE-A01M321</v>
          </cell>
          <cell r="C340" t="str">
            <v>IN-A01M321</v>
          </cell>
          <cell r="D340" t="str">
            <v>IN-KE</v>
          </cell>
          <cell r="E340" t="str">
            <v>DIV-IN-KE</v>
          </cell>
          <cell r="F340" t="str">
            <v>DIV-KE</v>
          </cell>
          <cell r="G340" t="str">
            <v>A01M321</v>
          </cell>
          <cell r="H340" t="str">
            <v>DIV</v>
          </cell>
          <cell r="I340">
            <v>2001</v>
          </cell>
          <cell r="J340" t="str">
            <v>R</v>
          </cell>
          <cell r="K340" t="str">
            <v>IN</v>
          </cell>
          <cell r="L340" t="str">
            <v>KE</v>
          </cell>
          <cell r="Y340">
            <v>0</v>
          </cell>
          <cell r="Z340">
            <v>0</v>
          </cell>
          <cell r="AA340">
            <v>0</v>
          </cell>
          <cell r="AB340">
            <v>0</v>
          </cell>
          <cell r="AC340">
            <v>0</v>
          </cell>
          <cell r="AD340">
            <v>0</v>
          </cell>
          <cell r="AE340">
            <v>0</v>
          </cell>
          <cell r="AF340">
            <v>0</v>
          </cell>
        </row>
        <row r="341">
          <cell r="B341" t="str">
            <v>IN-KN-A01M321</v>
          </cell>
          <cell r="C341" t="str">
            <v>IN-A01M321</v>
          </cell>
          <cell r="D341" t="str">
            <v>IN-KN</v>
          </cell>
          <cell r="E341" t="str">
            <v>DIV-IN-KN</v>
          </cell>
          <cell r="F341" t="str">
            <v>DIV-KN</v>
          </cell>
          <cell r="G341" t="str">
            <v>A01M321</v>
          </cell>
          <cell r="H341" t="str">
            <v>DIV</v>
          </cell>
          <cell r="I341">
            <v>2001</v>
          </cell>
          <cell r="J341" t="str">
            <v>R</v>
          </cell>
          <cell r="K341" t="str">
            <v>IN</v>
          </cell>
          <cell r="L341" t="str">
            <v>KN</v>
          </cell>
          <cell r="Q341">
            <v>1</v>
          </cell>
          <cell r="Y341">
            <v>0</v>
          </cell>
          <cell r="Z341">
            <v>1</v>
          </cell>
          <cell r="AA341">
            <v>0</v>
          </cell>
          <cell r="AB341">
            <v>1</v>
          </cell>
          <cell r="AC341">
            <v>1</v>
          </cell>
          <cell r="AD341">
            <v>1</v>
          </cell>
          <cell r="AE341">
            <v>0</v>
          </cell>
          <cell r="AF341">
            <v>-9.5542379299999994E-2</v>
          </cell>
        </row>
        <row r="342">
          <cell r="B342" t="str">
            <v>AD-KE-A01M322</v>
          </cell>
          <cell r="C342" t="str">
            <v>AD-A01M322</v>
          </cell>
          <cell r="D342" t="str">
            <v>AD-KE</v>
          </cell>
          <cell r="E342" t="str">
            <v>DIV-AD-KE</v>
          </cell>
          <cell r="F342" t="str">
            <v>DIV-KE</v>
          </cell>
          <cell r="G342" t="str">
            <v>A01M322</v>
          </cell>
          <cell r="H342" t="str">
            <v>DIV</v>
          </cell>
          <cell r="I342">
            <v>2001</v>
          </cell>
          <cell r="J342" t="str">
            <v>R</v>
          </cell>
          <cell r="K342" t="str">
            <v>AD</v>
          </cell>
          <cell r="L342" t="str">
            <v>KE</v>
          </cell>
          <cell r="Y342">
            <v>0</v>
          </cell>
          <cell r="Z342">
            <v>0</v>
          </cell>
          <cell r="AA342">
            <v>0</v>
          </cell>
          <cell r="AB342">
            <v>0</v>
          </cell>
          <cell r="AC342">
            <v>0</v>
          </cell>
          <cell r="AD342">
            <v>0</v>
          </cell>
          <cell r="AE342">
            <v>0</v>
          </cell>
          <cell r="AF342">
            <v>0</v>
          </cell>
        </row>
        <row r="343">
          <cell r="B343" t="str">
            <v>AD-KN-A01M322</v>
          </cell>
          <cell r="C343" t="str">
            <v>AD-A01M322</v>
          </cell>
          <cell r="D343" t="str">
            <v>AD-KN</v>
          </cell>
          <cell r="E343" t="str">
            <v>DIV-AD-KN</v>
          </cell>
          <cell r="F343" t="str">
            <v>DIV-KN</v>
          </cell>
          <cell r="G343" t="str">
            <v>A01M322</v>
          </cell>
          <cell r="H343" t="str">
            <v>DIV</v>
          </cell>
          <cell r="I343">
            <v>2001</v>
          </cell>
          <cell r="J343" t="str">
            <v>R</v>
          </cell>
          <cell r="K343" t="str">
            <v>AD</v>
          </cell>
          <cell r="L343" t="str">
            <v>KN</v>
          </cell>
          <cell r="Y343">
            <v>0</v>
          </cell>
          <cell r="Z343">
            <v>0</v>
          </cell>
          <cell r="AA343">
            <v>0</v>
          </cell>
          <cell r="AB343">
            <v>0</v>
          </cell>
          <cell r="AC343">
            <v>0</v>
          </cell>
          <cell r="AD343">
            <v>0</v>
          </cell>
          <cell r="AE343">
            <v>0</v>
          </cell>
          <cell r="AF343">
            <v>0</v>
          </cell>
        </row>
        <row r="344">
          <cell r="B344" t="str">
            <v>CO-KE-A01M322</v>
          </cell>
          <cell r="C344" t="str">
            <v>CO-A01M322</v>
          </cell>
          <cell r="D344" t="str">
            <v>CO-KE</v>
          </cell>
          <cell r="E344" t="str">
            <v>DIV-CO-KE</v>
          </cell>
          <cell r="F344" t="str">
            <v>DIV-KE</v>
          </cell>
          <cell r="G344" t="str">
            <v>A01M322</v>
          </cell>
          <cell r="H344" t="str">
            <v>DIV</v>
          </cell>
          <cell r="I344">
            <v>2001</v>
          </cell>
          <cell r="J344" t="str">
            <v>R</v>
          </cell>
          <cell r="K344" t="str">
            <v>CO</v>
          </cell>
          <cell r="L344" t="str">
            <v>KE</v>
          </cell>
          <cell r="Y344">
            <v>0</v>
          </cell>
          <cell r="Z344">
            <v>0</v>
          </cell>
          <cell r="AA344">
            <v>0</v>
          </cell>
          <cell r="AB344">
            <v>0</v>
          </cell>
          <cell r="AC344">
            <v>0</v>
          </cell>
          <cell r="AD344">
            <v>0</v>
          </cell>
          <cell r="AE344">
            <v>0</v>
          </cell>
          <cell r="AF344">
            <v>0</v>
          </cell>
        </row>
        <row r="345">
          <cell r="B345" t="str">
            <v>CO-KN-A01M322</v>
          </cell>
          <cell r="C345" t="str">
            <v>CO-A01M322</v>
          </cell>
          <cell r="D345" t="str">
            <v>CO-KN</v>
          </cell>
          <cell r="E345" t="str">
            <v>DIV-CO-KN</v>
          </cell>
          <cell r="F345" t="str">
            <v>DIV-KN</v>
          </cell>
          <cell r="G345" t="str">
            <v>A01M322</v>
          </cell>
          <cell r="H345" t="str">
            <v>DIV</v>
          </cell>
          <cell r="I345">
            <v>2001</v>
          </cell>
          <cell r="J345" t="str">
            <v>R</v>
          </cell>
          <cell r="K345" t="str">
            <v>CO</v>
          </cell>
          <cell r="L345" t="str">
            <v>KN</v>
          </cell>
          <cell r="Y345">
            <v>0</v>
          </cell>
          <cell r="Z345">
            <v>0</v>
          </cell>
          <cell r="AA345">
            <v>0</v>
          </cell>
          <cell r="AB345">
            <v>0</v>
          </cell>
          <cell r="AC345">
            <v>0</v>
          </cell>
          <cell r="AD345">
            <v>0</v>
          </cell>
          <cell r="AE345">
            <v>0</v>
          </cell>
          <cell r="AF345">
            <v>0</v>
          </cell>
        </row>
        <row r="346">
          <cell r="B346" t="str">
            <v>IN-KE-A01M322</v>
          </cell>
          <cell r="C346" t="str">
            <v>IN-A01M322</v>
          </cell>
          <cell r="D346" t="str">
            <v>IN-KE</v>
          </cell>
          <cell r="E346" t="str">
            <v>DIV-IN-KE</v>
          </cell>
          <cell r="F346" t="str">
            <v>DIV-KE</v>
          </cell>
          <cell r="G346" t="str">
            <v>A01M322</v>
          </cell>
          <cell r="H346" t="str">
            <v>DIV</v>
          </cell>
          <cell r="I346">
            <v>2001</v>
          </cell>
          <cell r="J346" t="str">
            <v>R</v>
          </cell>
          <cell r="K346" t="str">
            <v>IN</v>
          </cell>
          <cell r="L346" t="str">
            <v>KE</v>
          </cell>
          <cell r="Y346">
            <v>0</v>
          </cell>
          <cell r="Z346">
            <v>0</v>
          </cell>
          <cell r="AA346">
            <v>0</v>
          </cell>
          <cell r="AB346">
            <v>0</v>
          </cell>
          <cell r="AC346">
            <v>0</v>
          </cell>
          <cell r="AD346">
            <v>0</v>
          </cell>
          <cell r="AE346">
            <v>0</v>
          </cell>
          <cell r="AF346">
            <v>0</v>
          </cell>
        </row>
        <row r="347">
          <cell r="B347" t="str">
            <v>IN-KN-A01M322</v>
          </cell>
          <cell r="C347" t="str">
            <v>IN-A01M322</v>
          </cell>
          <cell r="D347" t="str">
            <v>IN-KN</v>
          </cell>
          <cell r="E347" t="str">
            <v>DIV-IN-KN</v>
          </cell>
          <cell r="F347" t="str">
            <v>DIV-KN</v>
          </cell>
          <cell r="G347" t="str">
            <v>A01M322</v>
          </cell>
          <cell r="H347" t="str">
            <v>DIV</v>
          </cell>
          <cell r="I347">
            <v>2001</v>
          </cell>
          <cell r="J347" t="str">
            <v>R</v>
          </cell>
          <cell r="K347" t="str">
            <v>IN</v>
          </cell>
          <cell r="L347" t="str">
            <v>KN</v>
          </cell>
          <cell r="Y347">
            <v>0</v>
          </cell>
          <cell r="Z347">
            <v>0</v>
          </cell>
          <cell r="AA347">
            <v>0</v>
          </cell>
          <cell r="AB347">
            <v>0</v>
          </cell>
          <cell r="AC347">
            <v>0</v>
          </cell>
          <cell r="AD347">
            <v>0</v>
          </cell>
          <cell r="AE347">
            <v>0</v>
          </cell>
          <cell r="AF347">
            <v>0</v>
          </cell>
        </row>
        <row r="348">
          <cell r="B348" t="str">
            <v>AD-KE-A01M323</v>
          </cell>
          <cell r="C348" t="str">
            <v>AD-A01M323</v>
          </cell>
          <cell r="D348" t="str">
            <v>AD-KE</v>
          </cell>
          <cell r="E348" t="str">
            <v>DIV-AD-KE</v>
          </cell>
          <cell r="F348" t="str">
            <v>DIV-KE</v>
          </cell>
          <cell r="G348" t="str">
            <v>A01M323</v>
          </cell>
          <cell r="H348" t="str">
            <v>DIV</v>
          </cell>
          <cell r="I348">
            <v>2001</v>
          </cell>
          <cell r="J348" t="str">
            <v>R</v>
          </cell>
          <cell r="K348" t="str">
            <v>AD</v>
          </cell>
          <cell r="L348" t="str">
            <v>KE</v>
          </cell>
          <cell r="Y348">
            <v>0</v>
          </cell>
          <cell r="Z348">
            <v>0</v>
          </cell>
          <cell r="AA348">
            <v>0</v>
          </cell>
          <cell r="AB348">
            <v>0</v>
          </cell>
          <cell r="AC348">
            <v>0</v>
          </cell>
          <cell r="AD348">
            <v>0</v>
          </cell>
          <cell r="AE348">
            <v>0</v>
          </cell>
          <cell r="AF348">
            <v>0</v>
          </cell>
        </row>
        <row r="349">
          <cell r="B349" t="str">
            <v>AD-KN-A01M323</v>
          </cell>
          <cell r="C349" t="str">
            <v>AD-A01M323</v>
          </cell>
          <cell r="D349" t="str">
            <v>AD-KN</v>
          </cell>
          <cell r="E349" t="str">
            <v>DIV-AD-KN</v>
          </cell>
          <cell r="F349" t="str">
            <v>DIV-KN</v>
          </cell>
          <cell r="G349" t="str">
            <v>A01M323</v>
          </cell>
          <cell r="H349" t="str">
            <v>DIV</v>
          </cell>
          <cell r="I349">
            <v>2001</v>
          </cell>
          <cell r="J349" t="str">
            <v>R</v>
          </cell>
          <cell r="K349" t="str">
            <v>AD</v>
          </cell>
          <cell r="L349" t="str">
            <v>KN</v>
          </cell>
          <cell r="Y349">
            <v>0</v>
          </cell>
          <cell r="Z349">
            <v>0</v>
          </cell>
          <cell r="AA349">
            <v>0</v>
          </cell>
          <cell r="AB349">
            <v>0</v>
          </cell>
          <cell r="AC349">
            <v>0</v>
          </cell>
          <cell r="AD349">
            <v>0</v>
          </cell>
          <cell r="AE349">
            <v>0</v>
          </cell>
          <cell r="AF349">
            <v>0</v>
          </cell>
        </row>
        <row r="350">
          <cell r="B350" t="str">
            <v>CO-KE-A01M323</v>
          </cell>
          <cell r="C350" t="str">
            <v>CO-A01M323</v>
          </cell>
          <cell r="D350" t="str">
            <v>CO-KE</v>
          </cell>
          <cell r="E350" t="str">
            <v>DIV-CO-KE</v>
          </cell>
          <cell r="F350" t="str">
            <v>DIV-KE</v>
          </cell>
          <cell r="G350" t="str">
            <v>A01M323</v>
          </cell>
          <cell r="H350" t="str">
            <v>DIV</v>
          </cell>
          <cell r="I350">
            <v>2001</v>
          </cell>
          <cell r="J350" t="str">
            <v>R</v>
          </cell>
          <cell r="K350" t="str">
            <v>CO</v>
          </cell>
          <cell r="L350" t="str">
            <v>KE</v>
          </cell>
          <cell r="Y350">
            <v>0</v>
          </cell>
          <cell r="Z350">
            <v>0</v>
          </cell>
          <cell r="AA350">
            <v>0</v>
          </cell>
          <cell r="AB350">
            <v>0</v>
          </cell>
          <cell r="AC350">
            <v>0</v>
          </cell>
          <cell r="AD350">
            <v>0</v>
          </cell>
          <cell r="AE350">
            <v>0</v>
          </cell>
          <cell r="AF350">
            <v>0</v>
          </cell>
        </row>
        <row r="351">
          <cell r="B351" t="str">
            <v>CO-KN-A01M323</v>
          </cell>
          <cell r="C351" t="str">
            <v>CO-A01M323</v>
          </cell>
          <cell r="D351" t="str">
            <v>CO-KN</v>
          </cell>
          <cell r="E351" t="str">
            <v>DIV-CO-KN</v>
          </cell>
          <cell r="F351" t="str">
            <v>DIV-KN</v>
          </cell>
          <cell r="G351" t="str">
            <v>A01M323</v>
          </cell>
          <cell r="H351" t="str">
            <v>DIV</v>
          </cell>
          <cell r="I351">
            <v>2001</v>
          </cell>
          <cell r="J351" t="str">
            <v>R</v>
          </cell>
          <cell r="K351" t="str">
            <v>CO</v>
          </cell>
          <cell r="L351" t="str">
            <v>KN</v>
          </cell>
          <cell r="Y351">
            <v>0</v>
          </cell>
          <cell r="Z351">
            <v>0</v>
          </cell>
          <cell r="AA351">
            <v>0</v>
          </cell>
          <cell r="AB351">
            <v>0</v>
          </cell>
          <cell r="AC351">
            <v>0</v>
          </cell>
          <cell r="AD351">
            <v>0</v>
          </cell>
          <cell r="AE351">
            <v>0</v>
          </cell>
          <cell r="AF351">
            <v>0</v>
          </cell>
        </row>
        <row r="352">
          <cell r="B352" t="str">
            <v>IN-KE-A01M323</v>
          </cell>
          <cell r="C352" t="str">
            <v>IN-A01M323</v>
          </cell>
          <cell r="D352" t="str">
            <v>IN-KE</v>
          </cell>
          <cell r="E352" t="str">
            <v>DIV-IN-KE</v>
          </cell>
          <cell r="F352" t="str">
            <v>DIV-KE</v>
          </cell>
          <cell r="G352" t="str">
            <v>A01M323</v>
          </cell>
          <cell r="H352" t="str">
            <v>DIV</v>
          </cell>
          <cell r="I352">
            <v>2001</v>
          </cell>
          <cell r="J352" t="str">
            <v>R</v>
          </cell>
          <cell r="K352" t="str">
            <v>IN</v>
          </cell>
          <cell r="L352" t="str">
            <v>KE</v>
          </cell>
          <cell r="Y352">
            <v>0</v>
          </cell>
          <cell r="Z352">
            <v>0</v>
          </cell>
          <cell r="AA352">
            <v>0</v>
          </cell>
          <cell r="AB352">
            <v>0</v>
          </cell>
          <cell r="AC352">
            <v>0</v>
          </cell>
          <cell r="AD352">
            <v>0</v>
          </cell>
          <cell r="AE352">
            <v>0</v>
          </cell>
          <cell r="AF352">
            <v>0</v>
          </cell>
        </row>
        <row r="353">
          <cell r="B353" t="str">
            <v>IN-KN-A01M323</v>
          </cell>
          <cell r="C353" t="str">
            <v>IN-A01M323</v>
          </cell>
          <cell r="D353" t="str">
            <v>IN-KN</v>
          </cell>
          <cell r="E353" t="str">
            <v>DIV-IN-KN</v>
          </cell>
          <cell r="F353" t="str">
            <v>DIV-KN</v>
          </cell>
          <cell r="G353" t="str">
            <v>A01M323</v>
          </cell>
          <cell r="H353" t="str">
            <v>DIV</v>
          </cell>
          <cell r="I353">
            <v>2001</v>
          </cell>
          <cell r="J353" t="str">
            <v>R</v>
          </cell>
          <cell r="K353" t="str">
            <v>IN</v>
          </cell>
          <cell r="L353" t="str">
            <v>KN</v>
          </cell>
          <cell r="Y353">
            <v>0</v>
          </cell>
          <cell r="Z353">
            <v>0</v>
          </cell>
          <cell r="AA353">
            <v>0</v>
          </cell>
          <cell r="AB353">
            <v>0</v>
          </cell>
          <cell r="AC353">
            <v>0</v>
          </cell>
          <cell r="AD353">
            <v>0</v>
          </cell>
          <cell r="AE353">
            <v>0</v>
          </cell>
          <cell r="AF353">
            <v>0</v>
          </cell>
        </row>
        <row r="354">
          <cell r="B354" t="str">
            <v>AD-KE-A01MDIVI</v>
          </cell>
          <cell r="C354" t="str">
            <v>AD-A01MDIVI</v>
          </cell>
          <cell r="D354" t="str">
            <v>AD-KE</v>
          </cell>
          <cell r="E354" t="str">
            <v>DIV-AD-KE</v>
          </cell>
          <cell r="F354" t="str">
            <v>DIV-KE</v>
          </cell>
          <cell r="G354" t="str">
            <v>A01MDIVI</v>
          </cell>
          <cell r="H354" t="str">
            <v>DIV</v>
          </cell>
          <cell r="I354">
            <v>2001</v>
          </cell>
          <cell r="J354" t="str">
            <v>R</v>
          </cell>
          <cell r="K354" t="str">
            <v>AD</v>
          </cell>
          <cell r="L354" t="str">
            <v>KE</v>
          </cell>
          <cell r="Y354">
            <v>0</v>
          </cell>
          <cell r="Z354">
            <v>0</v>
          </cell>
          <cell r="AA354">
            <v>0</v>
          </cell>
          <cell r="AB354">
            <v>0</v>
          </cell>
          <cell r="AC354">
            <v>0</v>
          </cell>
          <cell r="AD354">
            <v>0</v>
          </cell>
          <cell r="AE354">
            <v>0</v>
          </cell>
          <cell r="AF354">
            <v>0</v>
          </cell>
        </row>
        <row r="355">
          <cell r="B355" t="str">
            <v>AD-KN-A01MDIVI</v>
          </cell>
          <cell r="C355" t="str">
            <v>AD-A01MDIVI</v>
          </cell>
          <cell r="D355" t="str">
            <v>AD-KN</v>
          </cell>
          <cell r="E355" t="str">
            <v>DIV-AD-KN</v>
          </cell>
          <cell r="F355" t="str">
            <v>DIV-KN</v>
          </cell>
          <cell r="G355" t="str">
            <v>A01MDIVI</v>
          </cell>
          <cell r="H355" t="str">
            <v>DIV</v>
          </cell>
          <cell r="I355">
            <v>2001</v>
          </cell>
          <cell r="J355" t="str">
            <v>R</v>
          </cell>
          <cell r="K355" t="str">
            <v>AD</v>
          </cell>
          <cell r="L355" t="str">
            <v>KN</v>
          </cell>
          <cell r="Y355">
            <v>0</v>
          </cell>
          <cell r="Z355">
            <v>0</v>
          </cell>
          <cell r="AA355">
            <v>0</v>
          </cell>
          <cell r="AB355">
            <v>0</v>
          </cell>
          <cell r="AC355">
            <v>0</v>
          </cell>
          <cell r="AD355">
            <v>0</v>
          </cell>
          <cell r="AE355">
            <v>0</v>
          </cell>
          <cell r="AF355">
            <v>0</v>
          </cell>
        </row>
        <row r="356">
          <cell r="B356" t="str">
            <v>CO-KE-A01MDIVI</v>
          </cell>
          <cell r="C356" t="str">
            <v>CO-A01MDIVI</v>
          </cell>
          <cell r="D356" t="str">
            <v>CO-KE</v>
          </cell>
          <cell r="E356" t="str">
            <v>DIV-CO-KE</v>
          </cell>
          <cell r="F356" t="str">
            <v>DIV-KE</v>
          </cell>
          <cell r="G356" t="str">
            <v>A01MDIVI</v>
          </cell>
          <cell r="H356" t="str">
            <v>DIV</v>
          </cell>
          <cell r="I356">
            <v>2001</v>
          </cell>
          <cell r="J356" t="str">
            <v>R</v>
          </cell>
          <cell r="K356" t="str">
            <v>CO</v>
          </cell>
          <cell r="L356" t="str">
            <v>KE</v>
          </cell>
          <cell r="Y356">
            <v>0</v>
          </cell>
          <cell r="Z356">
            <v>0</v>
          </cell>
          <cell r="AA356">
            <v>0</v>
          </cell>
          <cell r="AB356">
            <v>0</v>
          </cell>
          <cell r="AC356">
            <v>0</v>
          </cell>
          <cell r="AD356">
            <v>0</v>
          </cell>
          <cell r="AE356">
            <v>0</v>
          </cell>
          <cell r="AF356">
            <v>0</v>
          </cell>
        </row>
        <row r="357">
          <cell r="B357" t="str">
            <v>CO-KN-A01MDIVI</v>
          </cell>
          <cell r="C357" t="str">
            <v>CO-A01MDIVI</v>
          </cell>
          <cell r="D357" t="str">
            <v>CO-KN</v>
          </cell>
          <cell r="E357" t="str">
            <v>DIV-CO-KN</v>
          </cell>
          <cell r="F357" t="str">
            <v>DIV-KN</v>
          </cell>
          <cell r="G357" t="str">
            <v>A01MDIVI</v>
          </cell>
          <cell r="H357" t="str">
            <v>DIV</v>
          </cell>
          <cell r="I357">
            <v>2001</v>
          </cell>
          <cell r="J357" t="str">
            <v>R</v>
          </cell>
          <cell r="K357" t="str">
            <v>CO</v>
          </cell>
          <cell r="L357" t="str">
            <v>KN</v>
          </cell>
          <cell r="Y357">
            <v>0</v>
          </cell>
          <cell r="Z357">
            <v>0</v>
          </cell>
          <cell r="AA357">
            <v>0</v>
          </cell>
          <cell r="AB357">
            <v>0</v>
          </cell>
          <cell r="AC357">
            <v>0</v>
          </cell>
          <cell r="AD357">
            <v>0</v>
          </cell>
          <cell r="AE357">
            <v>0</v>
          </cell>
          <cell r="AF357">
            <v>0</v>
          </cell>
        </row>
        <row r="358">
          <cell r="B358" t="str">
            <v>IN-KE-A01MDIVI</v>
          </cell>
          <cell r="C358" t="str">
            <v>IN-A01MDIVI</v>
          </cell>
          <cell r="D358" t="str">
            <v>IN-KE</v>
          </cell>
          <cell r="E358" t="str">
            <v>DIV-IN-KE</v>
          </cell>
          <cell r="F358" t="str">
            <v>DIV-KE</v>
          </cell>
          <cell r="G358" t="str">
            <v>A01MDIVI</v>
          </cell>
          <cell r="H358" t="str">
            <v>DIV</v>
          </cell>
          <cell r="I358">
            <v>2001</v>
          </cell>
          <cell r="J358" t="str">
            <v>R</v>
          </cell>
          <cell r="K358" t="str">
            <v>IN</v>
          </cell>
          <cell r="L358" t="str">
            <v>KE</v>
          </cell>
          <cell r="Y358">
            <v>0</v>
          </cell>
          <cell r="Z358">
            <v>0</v>
          </cell>
          <cell r="AA358">
            <v>0</v>
          </cell>
          <cell r="AB358">
            <v>0</v>
          </cell>
          <cell r="AC358">
            <v>0</v>
          </cell>
          <cell r="AD358">
            <v>0</v>
          </cell>
          <cell r="AE358">
            <v>0</v>
          </cell>
          <cell r="AF358">
            <v>0</v>
          </cell>
        </row>
        <row r="359">
          <cell r="B359" t="str">
            <v>IN-KN-A01MDIVI</v>
          </cell>
          <cell r="C359" t="str">
            <v>IN-A01MDIVI</v>
          </cell>
          <cell r="D359" t="str">
            <v>IN-KN</v>
          </cell>
          <cell r="E359" t="str">
            <v>DIV-IN-KN</v>
          </cell>
          <cell r="F359" t="str">
            <v>DIV-KN</v>
          </cell>
          <cell r="G359" t="str">
            <v>A01MDIVI</v>
          </cell>
          <cell r="H359" t="str">
            <v>DIV</v>
          </cell>
          <cell r="I359">
            <v>2001</v>
          </cell>
          <cell r="J359" t="str">
            <v>R</v>
          </cell>
          <cell r="K359" t="str">
            <v>IN</v>
          </cell>
          <cell r="L359" t="str">
            <v>KN</v>
          </cell>
          <cell r="Y359">
            <v>0</v>
          </cell>
          <cell r="Z359">
            <v>0</v>
          </cell>
          <cell r="AA359">
            <v>0</v>
          </cell>
          <cell r="AB359">
            <v>0</v>
          </cell>
          <cell r="AC359">
            <v>0</v>
          </cell>
          <cell r="AD359">
            <v>0</v>
          </cell>
          <cell r="AE359">
            <v>0</v>
          </cell>
          <cell r="AF359">
            <v>0</v>
          </cell>
        </row>
        <row r="360">
          <cell r="B360" t="str">
            <v>AD-KE-A01MEXT</v>
          </cell>
          <cell r="C360" t="str">
            <v>AD-A01MEXT</v>
          </cell>
          <cell r="D360" t="str">
            <v>AD-KE</v>
          </cell>
          <cell r="E360" t="str">
            <v>EXT-AD-KE</v>
          </cell>
          <cell r="F360" t="str">
            <v>EXT-KE</v>
          </cell>
          <cell r="G360" t="str">
            <v>A01MEXT</v>
          </cell>
          <cell r="H360" t="str">
            <v>EXT</v>
          </cell>
          <cell r="I360">
            <v>2001</v>
          </cell>
          <cell r="J360" t="str">
            <v>R</v>
          </cell>
          <cell r="K360" t="str">
            <v>AD</v>
          </cell>
          <cell r="L360" t="str">
            <v>KE</v>
          </cell>
          <cell r="Y360">
            <v>0</v>
          </cell>
          <cell r="Z360">
            <v>0</v>
          </cell>
          <cell r="AA360">
            <v>0</v>
          </cell>
          <cell r="AB360">
            <v>0</v>
          </cell>
          <cell r="AC360">
            <v>0</v>
          </cell>
          <cell r="AD360">
            <v>0</v>
          </cell>
          <cell r="AE360">
            <v>0</v>
          </cell>
          <cell r="AF360">
            <v>0</v>
          </cell>
        </row>
        <row r="361">
          <cell r="B361" t="str">
            <v>AD-KN-A01MEXT</v>
          </cell>
          <cell r="C361" t="str">
            <v>AD-A01MEXT</v>
          </cell>
          <cell r="D361" t="str">
            <v>AD-KN</v>
          </cell>
          <cell r="E361" t="str">
            <v>EXT-AD-KN</v>
          </cell>
          <cell r="F361" t="str">
            <v>EXT-KN</v>
          </cell>
          <cell r="G361" t="str">
            <v>A01MEXT</v>
          </cell>
          <cell r="H361" t="str">
            <v>EXT</v>
          </cell>
          <cell r="I361">
            <v>2001</v>
          </cell>
          <cell r="J361" t="str">
            <v>R</v>
          </cell>
          <cell r="K361" t="str">
            <v>AD</v>
          </cell>
          <cell r="L361" t="str">
            <v>KN</v>
          </cell>
          <cell r="Y361">
            <v>0</v>
          </cell>
          <cell r="Z361">
            <v>0</v>
          </cell>
          <cell r="AA361">
            <v>0</v>
          </cell>
          <cell r="AB361">
            <v>0</v>
          </cell>
          <cell r="AC361">
            <v>0</v>
          </cell>
          <cell r="AD361">
            <v>0</v>
          </cell>
          <cell r="AE361">
            <v>0</v>
          </cell>
          <cell r="AF361">
            <v>0</v>
          </cell>
        </row>
        <row r="362">
          <cell r="B362" t="str">
            <v>CO-KE-A01MEXT</v>
          </cell>
          <cell r="C362" t="str">
            <v>CO-A01MEXT</v>
          </cell>
          <cell r="D362" t="str">
            <v>CO-KE</v>
          </cell>
          <cell r="E362" t="str">
            <v>EXT-CO-KE</v>
          </cell>
          <cell r="F362" t="str">
            <v>EXT-KE</v>
          </cell>
          <cell r="G362" t="str">
            <v>A01MEXT</v>
          </cell>
          <cell r="H362" t="str">
            <v>EXT</v>
          </cell>
          <cell r="I362">
            <v>2001</v>
          </cell>
          <cell r="J362" t="str">
            <v>R</v>
          </cell>
          <cell r="K362" t="str">
            <v>CO</v>
          </cell>
          <cell r="L362" t="str">
            <v>KE</v>
          </cell>
          <cell r="Y362">
            <v>0</v>
          </cell>
          <cell r="Z362">
            <v>0</v>
          </cell>
          <cell r="AA362">
            <v>0</v>
          </cell>
          <cell r="AB362">
            <v>0</v>
          </cell>
          <cell r="AC362">
            <v>0</v>
          </cell>
          <cell r="AD362">
            <v>0</v>
          </cell>
          <cell r="AE362">
            <v>0</v>
          </cell>
          <cell r="AF362">
            <v>0</v>
          </cell>
        </row>
        <row r="363">
          <cell r="B363" t="str">
            <v>CO-KN-A01MEXT</v>
          </cell>
          <cell r="C363" t="str">
            <v>CO-A01MEXT</v>
          </cell>
          <cell r="D363" t="str">
            <v>CO-KN</v>
          </cell>
          <cell r="E363" t="str">
            <v>EXT-CO-KN</v>
          </cell>
          <cell r="F363" t="str">
            <v>EXT-KN</v>
          </cell>
          <cell r="G363" t="str">
            <v>A01MEXT</v>
          </cell>
          <cell r="H363" t="str">
            <v>EXT</v>
          </cell>
          <cell r="I363">
            <v>2001</v>
          </cell>
          <cell r="J363" t="str">
            <v>R</v>
          </cell>
          <cell r="K363" t="str">
            <v>CO</v>
          </cell>
          <cell r="L363" t="str">
            <v>KN</v>
          </cell>
          <cell r="Y363">
            <v>0</v>
          </cell>
          <cell r="Z363">
            <v>0</v>
          </cell>
          <cell r="AA363">
            <v>0</v>
          </cell>
          <cell r="AB363">
            <v>0</v>
          </cell>
          <cell r="AC363">
            <v>0</v>
          </cell>
          <cell r="AD363">
            <v>0</v>
          </cell>
          <cell r="AE363">
            <v>0</v>
          </cell>
          <cell r="AF363">
            <v>0</v>
          </cell>
        </row>
        <row r="364">
          <cell r="B364" t="str">
            <v>IN-KE-A01MEXT</v>
          </cell>
          <cell r="C364" t="str">
            <v>IN-A01MEXT</v>
          </cell>
          <cell r="D364" t="str">
            <v>IN-KE</v>
          </cell>
          <cell r="E364" t="str">
            <v>EXT-IN-KE</v>
          </cell>
          <cell r="F364" t="str">
            <v>EXT-KE</v>
          </cell>
          <cell r="G364" t="str">
            <v>A01MEXT</v>
          </cell>
          <cell r="H364" t="str">
            <v>EXT</v>
          </cell>
          <cell r="I364">
            <v>2001</v>
          </cell>
          <cell r="J364" t="str">
            <v>R</v>
          </cell>
          <cell r="K364" t="str">
            <v>IN</v>
          </cell>
          <cell r="L364" t="str">
            <v>KE</v>
          </cell>
          <cell r="Y364">
            <v>0</v>
          </cell>
          <cell r="Z364">
            <v>0</v>
          </cell>
          <cell r="AA364">
            <v>0</v>
          </cell>
          <cell r="AB364">
            <v>0</v>
          </cell>
          <cell r="AC364">
            <v>0</v>
          </cell>
          <cell r="AD364">
            <v>0</v>
          </cell>
          <cell r="AE364">
            <v>0</v>
          </cell>
          <cell r="AF364">
            <v>0</v>
          </cell>
        </row>
        <row r="365">
          <cell r="B365" t="str">
            <v>IN-KN-A01MEXT</v>
          </cell>
          <cell r="C365" t="str">
            <v>IN-A01MEXT</v>
          </cell>
          <cell r="D365" t="str">
            <v>IN-KN</v>
          </cell>
          <cell r="E365" t="str">
            <v>EXT-IN-KN</v>
          </cell>
          <cell r="F365" t="str">
            <v>EXT-KN</v>
          </cell>
          <cell r="G365" t="str">
            <v>A01MEXT</v>
          </cell>
          <cell r="H365" t="str">
            <v>EXT</v>
          </cell>
          <cell r="I365">
            <v>2001</v>
          </cell>
          <cell r="J365" t="str">
            <v>R</v>
          </cell>
          <cell r="K365" t="str">
            <v>IN</v>
          </cell>
          <cell r="L365" t="str">
            <v>KN</v>
          </cell>
          <cell r="Y365">
            <v>0</v>
          </cell>
          <cell r="Z365">
            <v>0</v>
          </cell>
          <cell r="AA365">
            <v>0</v>
          </cell>
          <cell r="AB365">
            <v>0</v>
          </cell>
          <cell r="AC365">
            <v>0</v>
          </cell>
          <cell r="AD365">
            <v>0</v>
          </cell>
          <cell r="AE365">
            <v>0</v>
          </cell>
          <cell r="AF365">
            <v>0</v>
          </cell>
        </row>
        <row r="366">
          <cell r="B366" t="str">
            <v>AD-KE-A00M417</v>
          </cell>
          <cell r="C366" t="str">
            <v>AD-A00M417</v>
          </cell>
          <cell r="D366" t="str">
            <v>AD-KE</v>
          </cell>
          <cell r="E366" t="str">
            <v>PRI-AD-KE</v>
          </cell>
          <cell r="F366" t="str">
            <v>PRI-KE</v>
          </cell>
          <cell r="G366" t="str">
            <v>A00M417</v>
          </cell>
          <cell r="H366" t="str">
            <v>PRI</v>
          </cell>
          <cell r="I366">
            <v>2001</v>
          </cell>
          <cell r="J366" t="str">
            <v>R</v>
          </cell>
          <cell r="K366" t="str">
            <v>AD</v>
          </cell>
          <cell r="L366" t="str">
            <v>KE</v>
          </cell>
          <cell r="N366">
            <v>1</v>
          </cell>
          <cell r="O366">
            <v>1</v>
          </cell>
          <cell r="P366">
            <v>3</v>
          </cell>
          <cell r="Q366">
            <v>2425</v>
          </cell>
          <cell r="Y366">
            <v>0</v>
          </cell>
          <cell r="Z366">
            <v>2430</v>
          </cell>
          <cell r="AA366">
            <v>0</v>
          </cell>
          <cell r="AB366">
            <v>2430</v>
          </cell>
          <cell r="AC366">
            <v>2430</v>
          </cell>
          <cell r="AD366">
            <v>2430</v>
          </cell>
          <cell r="AE366">
            <v>0</v>
          </cell>
          <cell r="AF366">
            <v>-2.1471973364999997</v>
          </cell>
        </row>
        <row r="367">
          <cell r="B367" t="str">
            <v>AD-KN-A00M417</v>
          </cell>
          <cell r="C367" t="str">
            <v>AD-A00M417</v>
          </cell>
          <cell r="D367" t="str">
            <v>AD-KN</v>
          </cell>
          <cell r="E367" t="str">
            <v>PRI-AD-KN</v>
          </cell>
          <cell r="F367" t="str">
            <v>PRI-KN</v>
          </cell>
          <cell r="G367" t="str">
            <v>A00M417</v>
          </cell>
          <cell r="H367" t="str">
            <v>PRI</v>
          </cell>
          <cell r="I367">
            <v>2001</v>
          </cell>
          <cell r="J367" t="str">
            <v>R</v>
          </cell>
          <cell r="K367" t="str">
            <v>AD</v>
          </cell>
          <cell r="L367" t="str">
            <v>KN</v>
          </cell>
          <cell r="N367">
            <v>1</v>
          </cell>
          <cell r="O367">
            <v>5</v>
          </cell>
          <cell r="P367">
            <v>80</v>
          </cell>
          <cell r="Q367">
            <v>1103</v>
          </cell>
          <cell r="Y367">
            <v>128.38</v>
          </cell>
          <cell r="Z367">
            <v>1189</v>
          </cell>
          <cell r="AA367">
            <v>0</v>
          </cell>
          <cell r="AB367">
            <v>1317.38</v>
          </cell>
          <cell r="AC367">
            <v>1189</v>
          </cell>
          <cell r="AD367">
            <v>1317.38</v>
          </cell>
          <cell r="AE367">
            <v>0</v>
          </cell>
          <cell r="AF367">
            <v>-112.9640322305</v>
          </cell>
        </row>
        <row r="368">
          <cell r="B368" t="str">
            <v>CO-KE-A00M417</v>
          </cell>
          <cell r="C368" t="str">
            <v>CO-A00M417</v>
          </cell>
          <cell r="D368" t="str">
            <v>CO-KE</v>
          </cell>
          <cell r="E368" t="str">
            <v>PRI-CO-KE</v>
          </cell>
          <cell r="F368" t="str">
            <v>PRI-KE</v>
          </cell>
          <cell r="G368" t="str">
            <v>A00M417</v>
          </cell>
          <cell r="H368" t="str">
            <v>PRI</v>
          </cell>
          <cell r="I368">
            <v>2001</v>
          </cell>
          <cell r="J368" t="str">
            <v>R</v>
          </cell>
          <cell r="K368" t="str">
            <v>CO</v>
          </cell>
          <cell r="L368" t="str">
            <v>KE</v>
          </cell>
          <cell r="Y368">
            <v>0</v>
          </cell>
          <cell r="Z368">
            <v>0</v>
          </cell>
          <cell r="AA368">
            <v>0</v>
          </cell>
          <cell r="AB368">
            <v>0</v>
          </cell>
          <cell r="AC368">
            <v>0</v>
          </cell>
          <cell r="AD368">
            <v>0</v>
          </cell>
          <cell r="AE368">
            <v>0</v>
          </cell>
          <cell r="AF368">
            <v>0</v>
          </cell>
        </row>
        <row r="369">
          <cell r="B369" t="str">
            <v>CO-KN-A00M417</v>
          </cell>
          <cell r="C369" t="str">
            <v>CO-A00M417</v>
          </cell>
          <cell r="D369" t="str">
            <v>CO-KN</v>
          </cell>
          <cell r="E369" t="str">
            <v>PRI-CO-KN</v>
          </cell>
          <cell r="F369" t="str">
            <v>PRI-KN</v>
          </cell>
          <cell r="G369" t="str">
            <v>A00M417</v>
          </cell>
          <cell r="H369" t="str">
            <v>PRI</v>
          </cell>
          <cell r="I369">
            <v>2001</v>
          </cell>
          <cell r="J369" t="str">
            <v>R</v>
          </cell>
          <cell r="K369" t="str">
            <v>CO</v>
          </cell>
          <cell r="L369" t="str">
            <v>KN</v>
          </cell>
          <cell r="M369">
            <v>-52</v>
          </cell>
          <cell r="N369">
            <v>785</v>
          </cell>
          <cell r="O369">
            <v>938</v>
          </cell>
          <cell r="P369">
            <v>-271</v>
          </cell>
          <cell r="Q369">
            <v>1103</v>
          </cell>
          <cell r="Y369">
            <v>1360.41</v>
          </cell>
          <cell r="Z369">
            <v>2503</v>
          </cell>
          <cell r="AA369">
            <v>0</v>
          </cell>
          <cell r="AB369">
            <v>3863.41</v>
          </cell>
          <cell r="AC369">
            <v>2503</v>
          </cell>
          <cell r="AD369">
            <v>3863.41</v>
          </cell>
          <cell r="AE369">
            <v>0</v>
          </cell>
          <cell r="AF369">
            <v>-175.8704145616</v>
          </cell>
        </row>
        <row r="370">
          <cell r="B370" t="str">
            <v>IN-KE-A00M417</v>
          </cell>
          <cell r="C370" t="str">
            <v>IN-A00M417</v>
          </cell>
          <cell r="D370" t="str">
            <v>IN-KE</v>
          </cell>
          <cell r="E370" t="str">
            <v>PRI-IN-KE</v>
          </cell>
          <cell r="F370" t="str">
            <v>PRI-KE</v>
          </cell>
          <cell r="G370" t="str">
            <v>A00M417</v>
          </cell>
          <cell r="H370" t="str">
            <v>PRI</v>
          </cell>
          <cell r="I370">
            <v>2001</v>
          </cell>
          <cell r="J370" t="str">
            <v>R</v>
          </cell>
          <cell r="K370" t="str">
            <v>IN</v>
          </cell>
          <cell r="L370" t="str">
            <v>KE</v>
          </cell>
          <cell r="Y370">
            <v>0</v>
          </cell>
          <cell r="Z370">
            <v>0</v>
          </cell>
          <cell r="AA370">
            <v>0</v>
          </cell>
          <cell r="AB370">
            <v>0</v>
          </cell>
          <cell r="AC370">
            <v>0</v>
          </cell>
          <cell r="AD370">
            <v>0</v>
          </cell>
          <cell r="AE370">
            <v>0</v>
          </cell>
          <cell r="AF370">
            <v>0</v>
          </cell>
        </row>
        <row r="371">
          <cell r="B371" t="str">
            <v>IN-KN-A00M417</v>
          </cell>
          <cell r="C371" t="str">
            <v>IN-A00M417</v>
          </cell>
          <cell r="D371" t="str">
            <v>IN-KN</v>
          </cell>
          <cell r="E371" t="str">
            <v>PRI-IN-KN</v>
          </cell>
          <cell r="F371" t="str">
            <v>PRI-KN</v>
          </cell>
          <cell r="G371" t="str">
            <v>A00M417</v>
          </cell>
          <cell r="H371" t="str">
            <v>PRI</v>
          </cell>
          <cell r="I371">
            <v>2001</v>
          </cell>
          <cell r="J371" t="str">
            <v>R</v>
          </cell>
          <cell r="K371" t="str">
            <v>IN</v>
          </cell>
          <cell r="L371" t="str">
            <v>KN</v>
          </cell>
          <cell r="M371">
            <v>1</v>
          </cell>
          <cell r="N371">
            <v>231</v>
          </cell>
          <cell r="O371">
            <v>89</v>
          </cell>
          <cell r="P371">
            <v>396</v>
          </cell>
          <cell r="Q371">
            <v>151</v>
          </cell>
          <cell r="Y371">
            <v>222.85</v>
          </cell>
          <cell r="Z371">
            <v>868</v>
          </cell>
          <cell r="AA371">
            <v>0</v>
          </cell>
          <cell r="AB371">
            <v>1090.8499999999999</v>
          </cell>
          <cell r="AC371">
            <v>868</v>
          </cell>
          <cell r="AD371">
            <v>1090.8499999999999</v>
          </cell>
          <cell r="AE371">
            <v>0</v>
          </cell>
          <cell r="AF371">
            <v>-64.61990893410001</v>
          </cell>
        </row>
        <row r="372">
          <cell r="B372" t="str">
            <v>AD-KE-A01M401</v>
          </cell>
          <cell r="C372" t="str">
            <v>AD-A01M401</v>
          </cell>
          <cell r="D372" t="str">
            <v>AD-KE</v>
          </cell>
          <cell r="E372" t="str">
            <v>PRI-AD-KE</v>
          </cell>
          <cell r="F372" t="str">
            <v>PRI-KE</v>
          </cell>
          <cell r="G372" t="str">
            <v>A01M401</v>
          </cell>
          <cell r="H372" t="str">
            <v>PRI</v>
          </cell>
          <cell r="I372">
            <v>2003</v>
          </cell>
          <cell r="J372" t="str">
            <v>R</v>
          </cell>
          <cell r="K372" t="str">
            <v>AD</v>
          </cell>
          <cell r="L372" t="str">
            <v>KE</v>
          </cell>
          <cell r="Y372">
            <v>0</v>
          </cell>
          <cell r="Z372">
            <v>0</v>
          </cell>
          <cell r="AA372">
            <v>0</v>
          </cell>
          <cell r="AB372">
            <v>0</v>
          </cell>
          <cell r="AC372">
            <v>0</v>
          </cell>
          <cell r="AD372">
            <v>0</v>
          </cell>
          <cell r="AE372">
            <v>0</v>
          </cell>
          <cell r="AF372">
            <v>0</v>
          </cell>
        </row>
        <row r="373">
          <cell r="B373" t="str">
            <v>AD-KN-A01M401</v>
          </cell>
          <cell r="C373" t="str">
            <v>AD-A01M401</v>
          </cell>
          <cell r="D373" t="str">
            <v>AD-KN</v>
          </cell>
          <cell r="E373" t="str">
            <v>PRI-AD-KN</v>
          </cell>
          <cell r="F373" t="str">
            <v>PRI-KN</v>
          </cell>
          <cell r="G373" t="str">
            <v>A01M401</v>
          </cell>
          <cell r="H373" t="str">
            <v>PRI</v>
          </cell>
          <cell r="I373">
            <v>2003</v>
          </cell>
          <cell r="J373" t="str">
            <v>R</v>
          </cell>
          <cell r="K373" t="str">
            <v>AD</v>
          </cell>
          <cell r="L373" t="str">
            <v>KN</v>
          </cell>
          <cell r="Y373">
            <v>0</v>
          </cell>
          <cell r="Z373">
            <v>0</v>
          </cell>
          <cell r="AA373">
            <v>0</v>
          </cell>
          <cell r="AB373">
            <v>0</v>
          </cell>
          <cell r="AC373">
            <v>0</v>
          </cell>
          <cell r="AD373">
            <v>0</v>
          </cell>
          <cell r="AE373">
            <v>0</v>
          </cell>
          <cell r="AF373">
            <v>0</v>
          </cell>
        </row>
        <row r="374">
          <cell r="B374" t="str">
            <v>CO-KE-A01M401</v>
          </cell>
          <cell r="C374" t="str">
            <v>CO-A01M401</v>
          </cell>
          <cell r="D374" t="str">
            <v>CO-KE</v>
          </cell>
          <cell r="E374" t="str">
            <v>PRI-CO-KE</v>
          </cell>
          <cell r="F374" t="str">
            <v>PRI-KE</v>
          </cell>
          <cell r="G374" t="str">
            <v>A01M401</v>
          </cell>
          <cell r="H374" t="str">
            <v>PRI</v>
          </cell>
          <cell r="I374">
            <v>2003</v>
          </cell>
          <cell r="J374" t="str">
            <v>R</v>
          </cell>
          <cell r="K374" t="str">
            <v>CO</v>
          </cell>
          <cell r="L374" t="str">
            <v>KE</v>
          </cell>
          <cell r="Y374">
            <v>0</v>
          </cell>
          <cell r="Z374">
            <v>0</v>
          </cell>
          <cell r="AA374">
            <v>0</v>
          </cell>
          <cell r="AB374">
            <v>0</v>
          </cell>
          <cell r="AC374">
            <v>0</v>
          </cell>
          <cell r="AD374">
            <v>0</v>
          </cell>
          <cell r="AE374">
            <v>0</v>
          </cell>
          <cell r="AF374">
            <v>0</v>
          </cell>
        </row>
        <row r="375">
          <cell r="B375" t="str">
            <v>CO-KN-A01M401</v>
          </cell>
          <cell r="C375" t="str">
            <v>CO-A01M401</v>
          </cell>
          <cell r="D375" t="str">
            <v>CO-KN</v>
          </cell>
          <cell r="E375" t="str">
            <v>PRI-CO-KN</v>
          </cell>
          <cell r="F375" t="str">
            <v>PRI-KN</v>
          </cell>
          <cell r="G375" t="str">
            <v>A01M401</v>
          </cell>
          <cell r="H375" t="str">
            <v>PRI</v>
          </cell>
          <cell r="I375">
            <v>2003</v>
          </cell>
          <cell r="J375" t="str">
            <v>R</v>
          </cell>
          <cell r="K375" t="str">
            <v>CO</v>
          </cell>
          <cell r="L375" t="str">
            <v>KN</v>
          </cell>
          <cell r="Y375">
            <v>0</v>
          </cell>
          <cell r="Z375">
            <v>0</v>
          </cell>
          <cell r="AA375">
            <v>0</v>
          </cell>
          <cell r="AB375">
            <v>0</v>
          </cell>
          <cell r="AC375">
            <v>0</v>
          </cell>
          <cell r="AD375">
            <v>0</v>
          </cell>
          <cell r="AE375">
            <v>0</v>
          </cell>
          <cell r="AF375">
            <v>0</v>
          </cell>
        </row>
        <row r="376">
          <cell r="B376" t="str">
            <v>IN-KE-A01M401</v>
          </cell>
          <cell r="C376" t="str">
            <v>IN-A01M401</v>
          </cell>
          <cell r="D376" t="str">
            <v>IN-KE</v>
          </cell>
          <cell r="E376" t="str">
            <v>PRI-IN-KE</v>
          </cell>
          <cell r="F376" t="str">
            <v>PRI-KE</v>
          </cell>
          <cell r="G376" t="str">
            <v>A01M401</v>
          </cell>
          <cell r="H376" t="str">
            <v>PRI</v>
          </cell>
          <cell r="I376">
            <v>2003</v>
          </cell>
          <cell r="J376" t="str">
            <v>R</v>
          </cell>
          <cell r="K376" t="str">
            <v>IN</v>
          </cell>
          <cell r="L376" t="str">
            <v>KE</v>
          </cell>
          <cell r="Y376">
            <v>0</v>
          </cell>
          <cell r="Z376">
            <v>0</v>
          </cell>
          <cell r="AA376">
            <v>0</v>
          </cell>
          <cell r="AB376">
            <v>0</v>
          </cell>
          <cell r="AC376">
            <v>0</v>
          </cell>
          <cell r="AD376">
            <v>0</v>
          </cell>
          <cell r="AE376">
            <v>0</v>
          </cell>
          <cell r="AF376">
            <v>0</v>
          </cell>
        </row>
        <row r="377">
          <cell r="B377" t="str">
            <v>IN-KN-A01M401</v>
          </cell>
          <cell r="C377" t="str">
            <v>IN-A01M401</v>
          </cell>
          <cell r="D377" t="str">
            <v>IN-KN</v>
          </cell>
          <cell r="E377" t="str">
            <v>PRI-IN-KN</v>
          </cell>
          <cell r="F377" t="str">
            <v>PRI-KN</v>
          </cell>
          <cell r="G377" t="str">
            <v>A01M401</v>
          </cell>
          <cell r="H377" t="str">
            <v>PRI</v>
          </cell>
          <cell r="I377">
            <v>2003</v>
          </cell>
          <cell r="J377" t="str">
            <v>R</v>
          </cell>
          <cell r="K377" t="str">
            <v>IN</v>
          </cell>
          <cell r="L377" t="str">
            <v>KN</v>
          </cell>
          <cell r="Y377">
            <v>0</v>
          </cell>
          <cell r="Z377">
            <v>0</v>
          </cell>
          <cell r="AA377">
            <v>0</v>
          </cell>
          <cell r="AB377">
            <v>0</v>
          </cell>
          <cell r="AC377">
            <v>0</v>
          </cell>
          <cell r="AD377">
            <v>0</v>
          </cell>
          <cell r="AE377">
            <v>0</v>
          </cell>
          <cell r="AF377">
            <v>0</v>
          </cell>
        </row>
        <row r="378">
          <cell r="B378" t="str">
            <v>AD-KE-A01M403</v>
          </cell>
          <cell r="C378" t="str">
            <v>AD-A01M403</v>
          </cell>
          <cell r="D378" t="str">
            <v>AD-KE</v>
          </cell>
          <cell r="E378" t="str">
            <v>OTR-AD-KE</v>
          </cell>
          <cell r="F378" t="str">
            <v>OTR-KE</v>
          </cell>
          <cell r="G378" t="str">
            <v>A01M403</v>
          </cell>
          <cell r="H378" t="str">
            <v>OTR</v>
          </cell>
          <cell r="I378">
            <v>2002</v>
          </cell>
          <cell r="J378" t="str">
            <v>R</v>
          </cell>
          <cell r="K378" t="str">
            <v>AD</v>
          </cell>
          <cell r="L378" t="str">
            <v>KE</v>
          </cell>
          <cell r="Y378">
            <v>0</v>
          </cell>
          <cell r="Z378">
            <v>0</v>
          </cell>
          <cell r="AA378">
            <v>0</v>
          </cell>
          <cell r="AB378">
            <v>0</v>
          </cell>
          <cell r="AC378">
            <v>0</v>
          </cell>
          <cell r="AD378">
            <v>0</v>
          </cell>
          <cell r="AE378">
            <v>0</v>
          </cell>
          <cell r="AF378">
            <v>0</v>
          </cell>
        </row>
        <row r="379">
          <cell r="B379" t="str">
            <v>AD-KN-A01M403</v>
          </cell>
          <cell r="C379" t="str">
            <v>AD-A01M403</v>
          </cell>
          <cell r="D379" t="str">
            <v>AD-KN</v>
          </cell>
          <cell r="E379" t="str">
            <v>OTR-AD-KN</v>
          </cell>
          <cell r="F379" t="str">
            <v>OTR-KN</v>
          </cell>
          <cell r="G379" t="str">
            <v>A01M403</v>
          </cell>
          <cell r="H379" t="str">
            <v>OTR</v>
          </cell>
          <cell r="I379">
            <v>2002</v>
          </cell>
          <cell r="J379" t="str">
            <v>R</v>
          </cell>
          <cell r="K379" t="str">
            <v>AD</v>
          </cell>
          <cell r="L379" t="str">
            <v>KN</v>
          </cell>
          <cell r="Y379">
            <v>0</v>
          </cell>
          <cell r="Z379">
            <v>0</v>
          </cell>
          <cell r="AA379">
            <v>0</v>
          </cell>
          <cell r="AB379">
            <v>0</v>
          </cell>
          <cell r="AC379">
            <v>0</v>
          </cell>
          <cell r="AD379">
            <v>0</v>
          </cell>
          <cell r="AE379">
            <v>0</v>
          </cell>
          <cell r="AF379">
            <v>0</v>
          </cell>
        </row>
        <row r="380">
          <cell r="B380" t="str">
            <v>CO-KE-A01M403</v>
          </cell>
          <cell r="C380" t="str">
            <v>CO-A01M403</v>
          </cell>
          <cell r="D380" t="str">
            <v>CO-KE</v>
          </cell>
          <cell r="E380" t="str">
            <v>OTR-CO-KE</v>
          </cell>
          <cell r="F380" t="str">
            <v>OTR-KE</v>
          </cell>
          <cell r="G380" t="str">
            <v>A01M403</v>
          </cell>
          <cell r="H380" t="str">
            <v>OTR</v>
          </cell>
          <cell r="I380">
            <v>2002</v>
          </cell>
          <cell r="J380" t="str">
            <v>R</v>
          </cell>
          <cell r="K380" t="str">
            <v>CO</v>
          </cell>
          <cell r="L380" t="str">
            <v>KE</v>
          </cell>
          <cell r="Y380">
            <v>0</v>
          </cell>
          <cell r="Z380">
            <v>0</v>
          </cell>
          <cell r="AA380">
            <v>0</v>
          </cell>
          <cell r="AB380">
            <v>0</v>
          </cell>
          <cell r="AC380">
            <v>0</v>
          </cell>
          <cell r="AD380">
            <v>0</v>
          </cell>
          <cell r="AE380">
            <v>0</v>
          </cell>
          <cell r="AF380">
            <v>0</v>
          </cell>
        </row>
        <row r="381">
          <cell r="B381" t="str">
            <v>CO-KN-A01M403</v>
          </cell>
          <cell r="C381" t="str">
            <v>CO-A01M403</v>
          </cell>
          <cell r="D381" t="str">
            <v>CO-KN</v>
          </cell>
          <cell r="E381" t="str">
            <v>OTR-CO-KN</v>
          </cell>
          <cell r="F381" t="str">
            <v>OTR-KN</v>
          </cell>
          <cell r="G381" t="str">
            <v>A01M403</v>
          </cell>
          <cell r="H381" t="str">
            <v>OTR</v>
          </cell>
          <cell r="I381">
            <v>2002</v>
          </cell>
          <cell r="J381" t="str">
            <v>R</v>
          </cell>
          <cell r="K381" t="str">
            <v>CO</v>
          </cell>
          <cell r="L381" t="str">
            <v>KN</v>
          </cell>
          <cell r="Y381">
            <v>0</v>
          </cell>
          <cell r="Z381">
            <v>0</v>
          </cell>
          <cell r="AA381">
            <v>0</v>
          </cell>
          <cell r="AB381">
            <v>0</v>
          </cell>
          <cell r="AC381">
            <v>0</v>
          </cell>
          <cell r="AD381">
            <v>0</v>
          </cell>
          <cell r="AE381">
            <v>0</v>
          </cell>
          <cell r="AF381">
            <v>0</v>
          </cell>
        </row>
        <row r="382">
          <cell r="B382" t="str">
            <v>IN-KE-A01M403</v>
          </cell>
          <cell r="C382" t="str">
            <v>IN-A01M403</v>
          </cell>
          <cell r="D382" t="str">
            <v>IN-KE</v>
          </cell>
          <cell r="E382" t="str">
            <v>OTR-IN-KE</v>
          </cell>
          <cell r="F382" t="str">
            <v>OTR-KE</v>
          </cell>
          <cell r="G382" t="str">
            <v>A01M403</v>
          </cell>
          <cell r="H382" t="str">
            <v>OTR</v>
          </cell>
          <cell r="I382">
            <v>2002</v>
          </cell>
          <cell r="J382" t="str">
            <v>R</v>
          </cell>
          <cell r="K382" t="str">
            <v>IN</v>
          </cell>
          <cell r="L382" t="str">
            <v>KE</v>
          </cell>
          <cell r="Y382">
            <v>0</v>
          </cell>
          <cell r="Z382">
            <v>0</v>
          </cell>
          <cell r="AA382">
            <v>0</v>
          </cell>
          <cell r="AB382">
            <v>0</v>
          </cell>
          <cell r="AC382">
            <v>0</v>
          </cell>
          <cell r="AD382">
            <v>0</v>
          </cell>
          <cell r="AE382">
            <v>0</v>
          </cell>
          <cell r="AF382">
            <v>0</v>
          </cell>
        </row>
        <row r="383">
          <cell r="B383" t="str">
            <v>IN-KN-A01M403</v>
          </cell>
          <cell r="C383" t="str">
            <v>IN-A01M403</v>
          </cell>
          <cell r="D383" t="str">
            <v>IN-KN</v>
          </cell>
          <cell r="E383" t="str">
            <v>OTR-IN-KN</v>
          </cell>
          <cell r="F383" t="str">
            <v>OTR-KN</v>
          </cell>
          <cell r="G383" t="str">
            <v>A01M403</v>
          </cell>
          <cell r="H383" t="str">
            <v>OTR</v>
          </cell>
          <cell r="I383">
            <v>2002</v>
          </cell>
          <cell r="J383" t="str">
            <v>R</v>
          </cell>
          <cell r="K383" t="str">
            <v>IN</v>
          </cell>
          <cell r="L383" t="str">
            <v>KN</v>
          </cell>
          <cell r="Q383">
            <v>6.9</v>
          </cell>
          <cell r="Y383">
            <v>0</v>
          </cell>
          <cell r="Z383">
            <v>6.9</v>
          </cell>
          <cell r="AA383">
            <v>0</v>
          </cell>
          <cell r="AB383">
            <v>6.9</v>
          </cell>
          <cell r="AC383">
            <v>6.9</v>
          </cell>
          <cell r="AD383">
            <v>6.9</v>
          </cell>
          <cell r="AE383">
            <v>0</v>
          </cell>
          <cell r="AF383">
            <v>-0.65924241716999998</v>
          </cell>
        </row>
        <row r="384">
          <cell r="B384" t="str">
            <v>AD-KE-A01M407</v>
          </cell>
          <cell r="C384" t="str">
            <v>AD-A01M407</v>
          </cell>
          <cell r="D384" t="str">
            <v>AD-KE</v>
          </cell>
          <cell r="E384" t="str">
            <v>DIV-AD-KE</v>
          </cell>
          <cell r="F384" t="str">
            <v>DIV-KE</v>
          </cell>
          <cell r="G384" t="str">
            <v>A01M407</v>
          </cell>
          <cell r="H384" t="str">
            <v>DIV</v>
          </cell>
          <cell r="I384">
            <v>2001</v>
          </cell>
          <cell r="J384" t="str">
            <v>R</v>
          </cell>
          <cell r="K384" t="str">
            <v>AD</v>
          </cell>
          <cell r="L384" t="str">
            <v>KE</v>
          </cell>
          <cell r="Y384">
            <v>0</v>
          </cell>
          <cell r="Z384">
            <v>0</v>
          </cell>
          <cell r="AA384">
            <v>0</v>
          </cell>
          <cell r="AB384">
            <v>0</v>
          </cell>
          <cell r="AC384">
            <v>0</v>
          </cell>
          <cell r="AD384">
            <v>0</v>
          </cell>
          <cell r="AE384">
            <v>0</v>
          </cell>
          <cell r="AF384">
            <v>0</v>
          </cell>
        </row>
        <row r="385">
          <cell r="B385" t="str">
            <v>AD-KN-A01M407</v>
          </cell>
          <cell r="C385" t="str">
            <v>AD-A01M407</v>
          </cell>
          <cell r="D385" t="str">
            <v>AD-KN</v>
          </cell>
          <cell r="E385" t="str">
            <v>DIV-AD-KN</v>
          </cell>
          <cell r="F385" t="str">
            <v>DIV-KN</v>
          </cell>
          <cell r="G385" t="str">
            <v>A01M407</v>
          </cell>
          <cell r="H385" t="str">
            <v>DIV</v>
          </cell>
          <cell r="I385">
            <v>2001</v>
          </cell>
          <cell r="J385" t="str">
            <v>R</v>
          </cell>
          <cell r="K385" t="str">
            <v>AD</v>
          </cell>
          <cell r="L385" t="str">
            <v>KN</v>
          </cell>
          <cell r="Q385">
            <v>1</v>
          </cell>
          <cell r="Y385">
            <v>0</v>
          </cell>
          <cell r="Z385">
            <v>1</v>
          </cell>
          <cell r="AA385">
            <v>0</v>
          </cell>
          <cell r="AB385">
            <v>1</v>
          </cell>
          <cell r="AC385">
            <v>1</v>
          </cell>
          <cell r="AD385">
            <v>1</v>
          </cell>
          <cell r="AE385">
            <v>0</v>
          </cell>
          <cell r="AF385">
            <v>-9.5542379299999994E-2</v>
          </cell>
        </row>
        <row r="386">
          <cell r="B386" t="str">
            <v>CO-KE-A01M407</v>
          </cell>
          <cell r="C386" t="str">
            <v>CO-A01M407</v>
          </cell>
          <cell r="D386" t="str">
            <v>CO-KE</v>
          </cell>
          <cell r="E386" t="str">
            <v>DIV-CO-KE</v>
          </cell>
          <cell r="F386" t="str">
            <v>DIV-KE</v>
          </cell>
          <cell r="G386" t="str">
            <v>A01M407</v>
          </cell>
          <cell r="H386" t="str">
            <v>DIV</v>
          </cell>
          <cell r="I386">
            <v>2001</v>
          </cell>
          <cell r="J386" t="str">
            <v>R</v>
          </cell>
          <cell r="K386" t="str">
            <v>CO</v>
          </cell>
          <cell r="L386" t="str">
            <v>KE</v>
          </cell>
          <cell r="Y386">
            <v>0</v>
          </cell>
          <cell r="Z386">
            <v>0</v>
          </cell>
          <cell r="AA386">
            <v>0</v>
          </cell>
          <cell r="AB386">
            <v>0</v>
          </cell>
          <cell r="AC386">
            <v>0</v>
          </cell>
          <cell r="AD386">
            <v>0</v>
          </cell>
          <cell r="AE386">
            <v>0</v>
          </cell>
          <cell r="AF386">
            <v>0</v>
          </cell>
        </row>
        <row r="387">
          <cell r="B387" t="str">
            <v>CO-KN-A01M407</v>
          </cell>
          <cell r="C387" t="str">
            <v>CO-A01M407</v>
          </cell>
          <cell r="D387" t="str">
            <v>CO-KN</v>
          </cell>
          <cell r="E387" t="str">
            <v>DIV-CO-KN</v>
          </cell>
          <cell r="F387" t="str">
            <v>DIV-KN</v>
          </cell>
          <cell r="G387" t="str">
            <v>A01M407</v>
          </cell>
          <cell r="H387" t="str">
            <v>DIV</v>
          </cell>
          <cell r="I387">
            <v>2001</v>
          </cell>
          <cell r="J387" t="str">
            <v>R</v>
          </cell>
          <cell r="K387" t="str">
            <v>CO</v>
          </cell>
          <cell r="L387" t="str">
            <v>KN</v>
          </cell>
          <cell r="Y387">
            <v>0</v>
          </cell>
          <cell r="Z387">
            <v>0</v>
          </cell>
          <cell r="AA387">
            <v>0</v>
          </cell>
          <cell r="AB387">
            <v>0</v>
          </cell>
          <cell r="AC387">
            <v>0</v>
          </cell>
          <cell r="AD387">
            <v>0</v>
          </cell>
          <cell r="AE387">
            <v>0</v>
          </cell>
          <cell r="AF387">
            <v>0</v>
          </cell>
        </row>
        <row r="388">
          <cell r="B388" t="str">
            <v>IN-KE-A01M407</v>
          </cell>
          <cell r="C388" t="str">
            <v>IN-A01M407</v>
          </cell>
          <cell r="D388" t="str">
            <v>IN-KE</v>
          </cell>
          <cell r="E388" t="str">
            <v>DIV-IN-KE</v>
          </cell>
          <cell r="F388" t="str">
            <v>DIV-KE</v>
          </cell>
          <cell r="G388" t="str">
            <v>A01M407</v>
          </cell>
          <cell r="H388" t="str">
            <v>DIV</v>
          </cell>
          <cell r="I388">
            <v>2001</v>
          </cell>
          <cell r="J388" t="str">
            <v>R</v>
          </cell>
          <cell r="K388" t="str">
            <v>IN</v>
          </cell>
          <cell r="L388" t="str">
            <v>KE</v>
          </cell>
          <cell r="Y388">
            <v>0</v>
          </cell>
          <cell r="Z388">
            <v>0</v>
          </cell>
          <cell r="AA388">
            <v>0</v>
          </cell>
          <cell r="AB388">
            <v>0</v>
          </cell>
          <cell r="AC388">
            <v>0</v>
          </cell>
          <cell r="AD388">
            <v>0</v>
          </cell>
          <cell r="AE388">
            <v>0</v>
          </cell>
          <cell r="AF388">
            <v>0</v>
          </cell>
        </row>
        <row r="389">
          <cell r="B389" t="str">
            <v>IN-KN-A01M407</v>
          </cell>
          <cell r="C389" t="str">
            <v>IN-A01M407</v>
          </cell>
          <cell r="D389" t="str">
            <v>IN-KN</v>
          </cell>
          <cell r="E389" t="str">
            <v>DIV-IN-KN</v>
          </cell>
          <cell r="F389" t="str">
            <v>DIV-KN</v>
          </cell>
          <cell r="G389" t="str">
            <v>A01M407</v>
          </cell>
          <cell r="H389" t="str">
            <v>DIV</v>
          </cell>
          <cell r="I389">
            <v>2001</v>
          </cell>
          <cell r="J389" t="str">
            <v>R</v>
          </cell>
          <cell r="K389" t="str">
            <v>IN</v>
          </cell>
          <cell r="L389" t="str">
            <v>KN</v>
          </cell>
          <cell r="Q389">
            <v>5</v>
          </cell>
          <cell r="Y389">
            <v>0</v>
          </cell>
          <cell r="Z389">
            <v>5</v>
          </cell>
          <cell r="AA389">
            <v>0</v>
          </cell>
          <cell r="AB389">
            <v>5</v>
          </cell>
          <cell r="AC389">
            <v>5</v>
          </cell>
          <cell r="AD389">
            <v>5</v>
          </cell>
          <cell r="AE389">
            <v>0</v>
          </cell>
          <cell r="AF389">
            <v>-0.47771189649999996</v>
          </cell>
        </row>
        <row r="390">
          <cell r="B390" t="str">
            <v>AD-KE-A01M412</v>
          </cell>
          <cell r="C390" t="str">
            <v>AD-A01M412</v>
          </cell>
          <cell r="D390" t="str">
            <v>AD-KE</v>
          </cell>
          <cell r="E390" t="str">
            <v>OTR-AD-KE</v>
          </cell>
          <cell r="F390" t="str">
            <v>OTR-KE</v>
          </cell>
          <cell r="G390" t="str">
            <v>A01M412</v>
          </cell>
          <cell r="H390" t="str">
            <v>OTR</v>
          </cell>
          <cell r="I390">
            <v>2002</v>
          </cell>
          <cell r="J390" t="str">
            <v>R</v>
          </cell>
          <cell r="K390" t="str">
            <v>AD</v>
          </cell>
          <cell r="L390" t="str">
            <v>KE</v>
          </cell>
          <cell r="Y390">
            <v>0</v>
          </cell>
          <cell r="Z390">
            <v>0</v>
          </cell>
          <cell r="AA390">
            <v>0</v>
          </cell>
          <cell r="AB390">
            <v>0</v>
          </cell>
          <cell r="AC390">
            <v>0</v>
          </cell>
          <cell r="AD390">
            <v>0</v>
          </cell>
          <cell r="AE390">
            <v>0</v>
          </cell>
          <cell r="AF390">
            <v>0</v>
          </cell>
        </row>
        <row r="391">
          <cell r="B391" t="str">
            <v>AD-KN-A01M412</v>
          </cell>
          <cell r="C391" t="str">
            <v>AD-A01M412</v>
          </cell>
          <cell r="D391" t="str">
            <v>AD-KN</v>
          </cell>
          <cell r="E391" t="str">
            <v>OTR-AD-KN</v>
          </cell>
          <cell r="F391" t="str">
            <v>OTR-KN</v>
          </cell>
          <cell r="G391" t="str">
            <v>A01M412</v>
          </cell>
          <cell r="H391" t="str">
            <v>OTR</v>
          </cell>
          <cell r="I391">
            <v>2002</v>
          </cell>
          <cell r="J391" t="str">
            <v>R</v>
          </cell>
          <cell r="K391" t="str">
            <v>AD</v>
          </cell>
          <cell r="L391" t="str">
            <v>KN</v>
          </cell>
          <cell r="Y391">
            <v>0</v>
          </cell>
          <cell r="Z391">
            <v>0</v>
          </cell>
          <cell r="AA391">
            <v>0</v>
          </cell>
          <cell r="AB391">
            <v>0</v>
          </cell>
          <cell r="AC391">
            <v>0</v>
          </cell>
          <cell r="AD391">
            <v>0</v>
          </cell>
          <cell r="AE391">
            <v>0</v>
          </cell>
          <cell r="AF391">
            <v>0</v>
          </cell>
        </row>
        <row r="392">
          <cell r="B392" t="str">
            <v>CO-KE-A01M412</v>
          </cell>
          <cell r="C392" t="str">
            <v>CO-A01M412</v>
          </cell>
          <cell r="D392" t="str">
            <v>CO-KE</v>
          </cell>
          <cell r="E392" t="str">
            <v>OTR-CO-KE</v>
          </cell>
          <cell r="F392" t="str">
            <v>OTR-KE</v>
          </cell>
          <cell r="G392" t="str">
            <v>A01M412</v>
          </cell>
          <cell r="H392" t="str">
            <v>OTR</v>
          </cell>
          <cell r="I392">
            <v>2002</v>
          </cell>
          <cell r="J392" t="str">
            <v>R</v>
          </cell>
          <cell r="K392" t="str">
            <v>CO</v>
          </cell>
          <cell r="L392" t="str">
            <v>KE</v>
          </cell>
          <cell r="Y392">
            <v>0</v>
          </cell>
          <cell r="Z392">
            <v>0</v>
          </cell>
          <cell r="AA392">
            <v>0</v>
          </cell>
          <cell r="AB392">
            <v>0</v>
          </cell>
          <cell r="AC392">
            <v>0</v>
          </cell>
          <cell r="AD392">
            <v>0</v>
          </cell>
          <cell r="AE392">
            <v>0</v>
          </cell>
          <cell r="AF392">
            <v>0</v>
          </cell>
        </row>
        <row r="393">
          <cell r="B393" t="str">
            <v>CO-KN-A01M412</v>
          </cell>
          <cell r="C393" t="str">
            <v>CO-A01M412</v>
          </cell>
          <cell r="D393" t="str">
            <v>CO-KN</v>
          </cell>
          <cell r="E393" t="str">
            <v>OTR-CO-KN</v>
          </cell>
          <cell r="F393" t="str">
            <v>OTR-KN</v>
          </cell>
          <cell r="G393" t="str">
            <v>A01M412</v>
          </cell>
          <cell r="H393" t="str">
            <v>OTR</v>
          </cell>
          <cell r="I393">
            <v>2002</v>
          </cell>
          <cell r="J393" t="str">
            <v>R</v>
          </cell>
          <cell r="K393" t="str">
            <v>CO</v>
          </cell>
          <cell r="L393" t="str">
            <v>KN</v>
          </cell>
          <cell r="Y393">
            <v>0</v>
          </cell>
          <cell r="Z393">
            <v>0</v>
          </cell>
          <cell r="AA393">
            <v>0</v>
          </cell>
          <cell r="AB393">
            <v>0</v>
          </cell>
          <cell r="AC393">
            <v>0</v>
          </cell>
          <cell r="AD393">
            <v>0</v>
          </cell>
          <cell r="AE393">
            <v>0</v>
          </cell>
          <cell r="AF393">
            <v>0</v>
          </cell>
        </row>
        <row r="394">
          <cell r="B394" t="str">
            <v>IN-KE-A01M412</v>
          </cell>
          <cell r="C394" t="str">
            <v>IN-A01M412</v>
          </cell>
          <cell r="D394" t="str">
            <v>IN-KE</v>
          </cell>
          <cell r="E394" t="str">
            <v>OTR-IN-KE</v>
          </cell>
          <cell r="F394" t="str">
            <v>OTR-KE</v>
          </cell>
          <cell r="G394" t="str">
            <v>A01M412</v>
          </cell>
          <cell r="H394" t="str">
            <v>OTR</v>
          </cell>
          <cell r="I394">
            <v>2002</v>
          </cell>
          <cell r="J394" t="str">
            <v>R</v>
          </cell>
          <cell r="K394" t="str">
            <v>IN</v>
          </cell>
          <cell r="L394" t="str">
            <v>KE</v>
          </cell>
          <cell r="Y394">
            <v>0</v>
          </cell>
          <cell r="Z394">
            <v>0</v>
          </cell>
          <cell r="AA394">
            <v>0</v>
          </cell>
          <cell r="AB394">
            <v>0</v>
          </cell>
          <cell r="AC394">
            <v>0</v>
          </cell>
          <cell r="AD394">
            <v>0</v>
          </cell>
          <cell r="AE394">
            <v>0</v>
          </cell>
          <cell r="AF394">
            <v>0</v>
          </cell>
        </row>
        <row r="395">
          <cell r="B395" t="str">
            <v>IN-KN-A01M412</v>
          </cell>
          <cell r="C395" t="str">
            <v>IN-A01M412</v>
          </cell>
          <cell r="D395" t="str">
            <v>IN-KN</v>
          </cell>
          <cell r="E395" t="str">
            <v>OTR-IN-KN</v>
          </cell>
          <cell r="F395" t="str">
            <v>OTR-KN</v>
          </cell>
          <cell r="G395" t="str">
            <v>A01M412</v>
          </cell>
          <cell r="H395" t="str">
            <v>OTR</v>
          </cell>
          <cell r="I395">
            <v>2002</v>
          </cell>
          <cell r="J395" t="str">
            <v>R</v>
          </cell>
          <cell r="K395" t="str">
            <v>IN</v>
          </cell>
          <cell r="L395" t="str">
            <v>KN</v>
          </cell>
          <cell r="Q395">
            <v>7</v>
          </cell>
          <cell r="Y395">
            <v>0</v>
          </cell>
          <cell r="Z395">
            <v>7</v>
          </cell>
          <cell r="AA395">
            <v>0</v>
          </cell>
          <cell r="AB395">
            <v>7</v>
          </cell>
          <cell r="AC395">
            <v>7</v>
          </cell>
          <cell r="AD395">
            <v>7</v>
          </cell>
          <cell r="AE395">
            <v>0</v>
          </cell>
          <cell r="AF395">
            <v>-0.66879665509999997</v>
          </cell>
        </row>
        <row r="396">
          <cell r="B396" t="str">
            <v>AD-KE-A01M415</v>
          </cell>
          <cell r="C396" t="str">
            <v>AD-A01M415</v>
          </cell>
          <cell r="D396" t="str">
            <v>AD-KE</v>
          </cell>
          <cell r="E396" t="str">
            <v>PRI-AD-KE</v>
          </cell>
          <cell r="F396" t="str">
            <v>PRI-KE</v>
          </cell>
          <cell r="G396" t="str">
            <v>A01M415</v>
          </cell>
          <cell r="H396" t="str">
            <v>PRI</v>
          </cell>
          <cell r="I396">
            <v>2001</v>
          </cell>
          <cell r="J396" t="str">
            <v>R</v>
          </cell>
          <cell r="K396" t="str">
            <v>AD</v>
          </cell>
          <cell r="L396" t="str">
            <v>KE</v>
          </cell>
          <cell r="Y396">
            <v>0</v>
          </cell>
          <cell r="Z396">
            <v>0</v>
          </cell>
          <cell r="AA396">
            <v>0</v>
          </cell>
          <cell r="AB396">
            <v>0</v>
          </cell>
          <cell r="AC396">
            <v>0</v>
          </cell>
          <cell r="AD396">
            <v>0</v>
          </cell>
          <cell r="AE396">
            <v>0</v>
          </cell>
          <cell r="AF396">
            <v>0</v>
          </cell>
        </row>
        <row r="397">
          <cell r="B397" t="str">
            <v>AD-KN-A01M415</v>
          </cell>
          <cell r="C397" t="str">
            <v>AD-A01M415</v>
          </cell>
          <cell r="D397" t="str">
            <v>AD-KN</v>
          </cell>
          <cell r="E397" t="str">
            <v>PRI-AD-KN</v>
          </cell>
          <cell r="F397" t="str">
            <v>PRI-KN</v>
          </cell>
          <cell r="G397" t="str">
            <v>A01M415</v>
          </cell>
          <cell r="H397" t="str">
            <v>PRI</v>
          </cell>
          <cell r="I397">
            <v>2001</v>
          </cell>
          <cell r="J397" t="str">
            <v>R</v>
          </cell>
          <cell r="K397" t="str">
            <v>AD</v>
          </cell>
          <cell r="L397" t="str">
            <v>KN</v>
          </cell>
          <cell r="Y397">
            <v>0</v>
          </cell>
          <cell r="Z397">
            <v>0</v>
          </cell>
          <cell r="AA397">
            <v>0</v>
          </cell>
          <cell r="AB397">
            <v>0</v>
          </cell>
          <cell r="AC397">
            <v>0</v>
          </cell>
          <cell r="AD397">
            <v>0</v>
          </cell>
          <cell r="AE397">
            <v>0</v>
          </cell>
          <cell r="AF397">
            <v>0</v>
          </cell>
        </row>
        <row r="398">
          <cell r="B398" t="str">
            <v>CO-KE-A01M415</v>
          </cell>
          <cell r="C398" t="str">
            <v>CO-A01M415</v>
          </cell>
          <cell r="D398" t="str">
            <v>CO-KE</v>
          </cell>
          <cell r="E398" t="str">
            <v>PRI-CO-KE</v>
          </cell>
          <cell r="F398" t="str">
            <v>PRI-KE</v>
          </cell>
          <cell r="G398" t="str">
            <v>A01M415</v>
          </cell>
          <cell r="H398" t="str">
            <v>PRI</v>
          </cell>
          <cell r="I398">
            <v>2001</v>
          </cell>
          <cell r="J398" t="str">
            <v>R</v>
          </cell>
          <cell r="K398" t="str">
            <v>CO</v>
          </cell>
          <cell r="L398" t="str">
            <v>KE</v>
          </cell>
          <cell r="Y398">
            <v>0</v>
          </cell>
          <cell r="Z398">
            <v>0</v>
          </cell>
          <cell r="AA398">
            <v>0</v>
          </cell>
          <cell r="AB398">
            <v>0</v>
          </cell>
          <cell r="AC398">
            <v>0</v>
          </cell>
          <cell r="AD398">
            <v>0</v>
          </cell>
          <cell r="AE398">
            <v>0</v>
          </cell>
          <cell r="AF398">
            <v>0</v>
          </cell>
        </row>
        <row r="399">
          <cell r="B399" t="str">
            <v>CO-KN-A01M415</v>
          </cell>
          <cell r="C399" t="str">
            <v>CO-A01M415</v>
          </cell>
          <cell r="D399" t="str">
            <v>CO-KN</v>
          </cell>
          <cell r="E399" t="str">
            <v>PRI-CO-KN</v>
          </cell>
          <cell r="F399" t="str">
            <v>PRI-KN</v>
          </cell>
          <cell r="G399" t="str">
            <v>A01M415</v>
          </cell>
          <cell r="H399" t="str">
            <v>PRI</v>
          </cell>
          <cell r="I399">
            <v>2001</v>
          </cell>
          <cell r="J399" t="str">
            <v>R</v>
          </cell>
          <cell r="K399" t="str">
            <v>CO</v>
          </cell>
          <cell r="L399" t="str">
            <v>KN</v>
          </cell>
          <cell r="Y399">
            <v>0</v>
          </cell>
          <cell r="Z399">
            <v>0</v>
          </cell>
          <cell r="AA399">
            <v>0</v>
          </cell>
          <cell r="AB399">
            <v>0</v>
          </cell>
          <cell r="AC399">
            <v>0</v>
          </cell>
          <cell r="AD399">
            <v>0</v>
          </cell>
          <cell r="AE399">
            <v>0</v>
          </cell>
          <cell r="AF399">
            <v>0</v>
          </cell>
        </row>
        <row r="400">
          <cell r="B400" t="str">
            <v>IN-KE-A01M415</v>
          </cell>
          <cell r="C400" t="str">
            <v>IN-A01M415</v>
          </cell>
          <cell r="D400" t="str">
            <v>IN-KE</v>
          </cell>
          <cell r="E400" t="str">
            <v>PRI-IN-KE</v>
          </cell>
          <cell r="F400" t="str">
            <v>PRI-KE</v>
          </cell>
          <cell r="G400" t="str">
            <v>A01M415</v>
          </cell>
          <cell r="H400" t="str">
            <v>PRI</v>
          </cell>
          <cell r="I400">
            <v>2001</v>
          </cell>
          <cell r="J400" t="str">
            <v>R</v>
          </cell>
          <cell r="K400" t="str">
            <v>IN</v>
          </cell>
          <cell r="L400" t="str">
            <v>KE</v>
          </cell>
          <cell r="Y400">
            <v>0</v>
          </cell>
          <cell r="Z400">
            <v>0</v>
          </cell>
          <cell r="AA400">
            <v>0</v>
          </cell>
          <cell r="AB400">
            <v>0</v>
          </cell>
          <cell r="AC400">
            <v>0</v>
          </cell>
          <cell r="AD400">
            <v>0</v>
          </cell>
          <cell r="AE400">
            <v>0</v>
          </cell>
          <cell r="AF400">
            <v>0</v>
          </cell>
        </row>
        <row r="401">
          <cell r="B401" t="str">
            <v>IN-KN-A01M415</v>
          </cell>
          <cell r="C401" t="str">
            <v>IN-A01M415</v>
          </cell>
          <cell r="D401" t="str">
            <v>IN-KN</v>
          </cell>
          <cell r="E401" t="str">
            <v>PRI-IN-KN</v>
          </cell>
          <cell r="F401" t="str">
            <v>PRI-KN</v>
          </cell>
          <cell r="G401" t="str">
            <v>A01M415</v>
          </cell>
          <cell r="H401" t="str">
            <v>PRI</v>
          </cell>
          <cell r="I401">
            <v>2001</v>
          </cell>
          <cell r="J401" t="str">
            <v>R</v>
          </cell>
          <cell r="K401" t="str">
            <v>IN</v>
          </cell>
          <cell r="L401" t="str">
            <v>KN</v>
          </cell>
          <cell r="Y401">
            <v>0</v>
          </cell>
          <cell r="Z401">
            <v>0</v>
          </cell>
          <cell r="AA401">
            <v>0</v>
          </cell>
          <cell r="AB401">
            <v>0</v>
          </cell>
          <cell r="AC401">
            <v>0</v>
          </cell>
          <cell r="AD401">
            <v>0</v>
          </cell>
          <cell r="AE401">
            <v>0</v>
          </cell>
          <cell r="AF401">
            <v>0</v>
          </cell>
        </row>
        <row r="402">
          <cell r="B402" t="str">
            <v>AD-KE-A01M416</v>
          </cell>
          <cell r="C402" t="str">
            <v>AD-A01M416</v>
          </cell>
          <cell r="D402" t="str">
            <v>AD-KE</v>
          </cell>
          <cell r="E402" t="str">
            <v>PRI-AD-KE</v>
          </cell>
          <cell r="F402" t="str">
            <v>PRI-KE</v>
          </cell>
          <cell r="G402" t="str">
            <v>A01M416</v>
          </cell>
          <cell r="H402" t="str">
            <v>PRI</v>
          </cell>
          <cell r="I402">
            <v>2001</v>
          </cell>
          <cell r="J402" t="str">
            <v>R</v>
          </cell>
          <cell r="K402" t="str">
            <v>AD</v>
          </cell>
          <cell r="L402" t="str">
            <v>KE</v>
          </cell>
          <cell r="Y402">
            <v>0</v>
          </cell>
          <cell r="Z402">
            <v>0</v>
          </cell>
          <cell r="AA402">
            <v>0</v>
          </cell>
          <cell r="AB402">
            <v>0</v>
          </cell>
          <cell r="AC402">
            <v>0</v>
          </cell>
          <cell r="AD402">
            <v>0</v>
          </cell>
          <cell r="AE402">
            <v>0</v>
          </cell>
          <cell r="AF402">
            <v>0</v>
          </cell>
        </row>
        <row r="403">
          <cell r="B403" t="str">
            <v>AD-KN-A01M416</v>
          </cell>
          <cell r="C403" t="str">
            <v>AD-A01M416</v>
          </cell>
          <cell r="D403" t="str">
            <v>AD-KN</v>
          </cell>
          <cell r="E403" t="str">
            <v>PRI-AD-KN</v>
          </cell>
          <cell r="F403" t="str">
            <v>PRI-KN</v>
          </cell>
          <cell r="G403" t="str">
            <v>A01M416</v>
          </cell>
          <cell r="H403" t="str">
            <v>PRI</v>
          </cell>
          <cell r="I403">
            <v>2001</v>
          </cell>
          <cell r="J403" t="str">
            <v>R</v>
          </cell>
          <cell r="K403" t="str">
            <v>AD</v>
          </cell>
          <cell r="L403" t="str">
            <v>KN</v>
          </cell>
          <cell r="O403">
            <v>213</v>
          </cell>
          <cell r="P403">
            <v>5</v>
          </cell>
          <cell r="Q403">
            <v>4</v>
          </cell>
          <cell r="Y403">
            <v>0</v>
          </cell>
          <cell r="Z403">
            <v>222</v>
          </cell>
          <cell r="AA403">
            <v>0</v>
          </cell>
          <cell r="AB403">
            <v>222</v>
          </cell>
          <cell r="AC403">
            <v>222</v>
          </cell>
          <cell r="AD403">
            <v>222</v>
          </cell>
          <cell r="AE403">
            <v>0</v>
          </cell>
          <cell r="AF403">
            <v>-16.726100113499999</v>
          </cell>
        </row>
        <row r="404">
          <cell r="B404" t="str">
            <v>CO-KE-A01M416</v>
          </cell>
          <cell r="C404" t="str">
            <v>CO-A01M416</v>
          </cell>
          <cell r="D404" t="str">
            <v>CO-KE</v>
          </cell>
          <cell r="E404" t="str">
            <v>PRI-CO-KE</v>
          </cell>
          <cell r="F404" t="str">
            <v>PRI-KE</v>
          </cell>
          <cell r="G404" t="str">
            <v>A01M416</v>
          </cell>
          <cell r="H404" t="str">
            <v>PRI</v>
          </cell>
          <cell r="I404">
            <v>2001</v>
          </cell>
          <cell r="J404" t="str">
            <v>R</v>
          </cell>
          <cell r="K404" t="str">
            <v>CO</v>
          </cell>
          <cell r="L404" t="str">
            <v>KE</v>
          </cell>
          <cell r="Y404">
            <v>0</v>
          </cell>
          <cell r="Z404">
            <v>0</v>
          </cell>
          <cell r="AA404">
            <v>0</v>
          </cell>
          <cell r="AB404">
            <v>0</v>
          </cell>
          <cell r="AC404">
            <v>0</v>
          </cell>
          <cell r="AD404">
            <v>0</v>
          </cell>
          <cell r="AE404">
            <v>0</v>
          </cell>
          <cell r="AF404">
            <v>0</v>
          </cell>
        </row>
        <row r="405">
          <cell r="B405" t="str">
            <v>CO-KN-A01M416</v>
          </cell>
          <cell r="C405" t="str">
            <v>CO-A01M416</v>
          </cell>
          <cell r="D405" t="str">
            <v>CO-KN</v>
          </cell>
          <cell r="E405" t="str">
            <v>PRI-CO-KN</v>
          </cell>
          <cell r="F405" t="str">
            <v>PRI-KN</v>
          </cell>
          <cell r="G405" t="str">
            <v>A01M416</v>
          </cell>
          <cell r="H405" t="str">
            <v>PRI</v>
          </cell>
          <cell r="I405">
            <v>2001</v>
          </cell>
          <cell r="J405" t="str">
            <v>R</v>
          </cell>
          <cell r="K405" t="str">
            <v>CO</v>
          </cell>
          <cell r="L405" t="str">
            <v>KN</v>
          </cell>
          <cell r="O405">
            <v>6</v>
          </cell>
          <cell r="P405">
            <v>103</v>
          </cell>
          <cell r="Q405">
            <v>123</v>
          </cell>
          <cell r="Y405">
            <v>0</v>
          </cell>
          <cell r="Z405">
            <v>232</v>
          </cell>
          <cell r="AA405">
            <v>0</v>
          </cell>
          <cell r="AB405">
            <v>232</v>
          </cell>
          <cell r="AC405">
            <v>232</v>
          </cell>
          <cell r="AD405">
            <v>232</v>
          </cell>
          <cell r="AE405">
            <v>0</v>
          </cell>
          <cell r="AF405">
            <v>-21.434746496000002</v>
          </cell>
        </row>
        <row r="406">
          <cell r="B406" t="str">
            <v>IN-KE-A01M416</v>
          </cell>
          <cell r="C406" t="str">
            <v>IN-A01M416</v>
          </cell>
          <cell r="D406" t="str">
            <v>IN-KE</v>
          </cell>
          <cell r="E406" t="str">
            <v>PRI-IN-KE</v>
          </cell>
          <cell r="F406" t="str">
            <v>PRI-KE</v>
          </cell>
          <cell r="G406" t="str">
            <v>A01M416</v>
          </cell>
          <cell r="H406" t="str">
            <v>PRI</v>
          </cell>
          <cell r="I406">
            <v>2001</v>
          </cell>
          <cell r="J406" t="str">
            <v>R</v>
          </cell>
          <cell r="K406" t="str">
            <v>IN</v>
          </cell>
          <cell r="L406" t="str">
            <v>KE</v>
          </cell>
          <cell r="Y406">
            <v>0</v>
          </cell>
          <cell r="Z406">
            <v>0</v>
          </cell>
          <cell r="AA406">
            <v>0</v>
          </cell>
          <cell r="AB406">
            <v>0</v>
          </cell>
          <cell r="AC406">
            <v>0</v>
          </cell>
          <cell r="AD406">
            <v>0</v>
          </cell>
          <cell r="AE406">
            <v>0</v>
          </cell>
          <cell r="AF406">
            <v>0</v>
          </cell>
        </row>
        <row r="407">
          <cell r="B407" t="str">
            <v>IN-KN-A01M416</v>
          </cell>
          <cell r="C407" t="str">
            <v>IN-A01M416</v>
          </cell>
          <cell r="D407" t="str">
            <v>IN-KN</v>
          </cell>
          <cell r="E407" t="str">
            <v>PRI-IN-KN</v>
          </cell>
          <cell r="F407" t="str">
            <v>PRI-KN</v>
          </cell>
          <cell r="G407" t="str">
            <v>A01M416</v>
          </cell>
          <cell r="H407" t="str">
            <v>PRI</v>
          </cell>
          <cell r="I407">
            <v>2001</v>
          </cell>
          <cell r="J407" t="str">
            <v>R</v>
          </cell>
          <cell r="K407" t="str">
            <v>IN</v>
          </cell>
          <cell r="L407" t="str">
            <v>KN</v>
          </cell>
          <cell r="O407">
            <v>57</v>
          </cell>
          <cell r="P407">
            <v>6</v>
          </cell>
          <cell r="Q407">
            <v>9</v>
          </cell>
          <cell r="Y407">
            <v>0</v>
          </cell>
          <cell r="Z407">
            <v>72</v>
          </cell>
          <cell r="AA407">
            <v>0</v>
          </cell>
          <cell r="AB407">
            <v>72</v>
          </cell>
          <cell r="AC407">
            <v>72</v>
          </cell>
          <cell r="AD407">
            <v>72</v>
          </cell>
          <cell r="AE407">
            <v>0</v>
          </cell>
          <cell r="AF407">
            <v>-5.6516148398999997</v>
          </cell>
        </row>
        <row r="408">
          <cell r="B408" t="str">
            <v>AD-KE-A99M101</v>
          </cell>
          <cell r="C408" t="str">
            <v>AD-A99M101</v>
          </cell>
          <cell r="D408" t="str">
            <v>AD-KE</v>
          </cell>
          <cell r="E408" t="str">
            <v>DIV-AD-KE</v>
          </cell>
          <cell r="F408" t="str">
            <v>DIV-KE</v>
          </cell>
          <cell r="G408" t="str">
            <v>A99M101</v>
          </cell>
          <cell r="H408" t="str">
            <v>DIV</v>
          </cell>
          <cell r="I408">
            <v>1999</v>
          </cell>
          <cell r="J408" t="str">
            <v>R</v>
          </cell>
          <cell r="K408" t="str">
            <v>AD</v>
          </cell>
          <cell r="L408" t="str">
            <v>KE</v>
          </cell>
          <cell r="Y408">
            <v>0</v>
          </cell>
          <cell r="Z408">
            <v>0</v>
          </cell>
          <cell r="AA408">
            <v>0</v>
          </cell>
          <cell r="AB408">
            <v>0</v>
          </cell>
          <cell r="AC408">
            <v>0</v>
          </cell>
          <cell r="AD408">
            <v>0</v>
          </cell>
          <cell r="AE408">
            <v>0</v>
          </cell>
          <cell r="AF408">
            <v>0</v>
          </cell>
        </row>
        <row r="409">
          <cell r="B409" t="str">
            <v>AD-KN-A99M101</v>
          </cell>
          <cell r="C409" t="str">
            <v>AD-A99M101</v>
          </cell>
          <cell r="D409" t="str">
            <v>AD-KN</v>
          </cell>
          <cell r="E409" t="str">
            <v>DIV-AD-KN</v>
          </cell>
          <cell r="F409" t="str">
            <v>DIV-KN</v>
          </cell>
          <cell r="G409" t="str">
            <v>A99M101</v>
          </cell>
          <cell r="H409" t="str">
            <v>DIV</v>
          </cell>
          <cell r="I409">
            <v>1999</v>
          </cell>
          <cell r="J409" t="str">
            <v>R</v>
          </cell>
          <cell r="K409" t="str">
            <v>AD</v>
          </cell>
          <cell r="L409" t="str">
            <v>KN</v>
          </cell>
          <cell r="Y409">
            <v>0</v>
          </cell>
          <cell r="Z409">
            <v>0</v>
          </cell>
          <cell r="AA409">
            <v>0</v>
          </cell>
          <cell r="AB409">
            <v>0</v>
          </cell>
          <cell r="AC409">
            <v>0</v>
          </cell>
          <cell r="AD409">
            <v>0</v>
          </cell>
          <cell r="AE409">
            <v>0</v>
          </cell>
          <cell r="AF409">
            <v>0</v>
          </cell>
        </row>
        <row r="410">
          <cell r="B410" t="str">
            <v>CO-KE-A99M101</v>
          </cell>
          <cell r="C410" t="str">
            <v>CO-A99M101</v>
          </cell>
          <cell r="D410" t="str">
            <v>CO-KE</v>
          </cell>
          <cell r="E410" t="str">
            <v>DIV-CO-KE</v>
          </cell>
          <cell r="F410" t="str">
            <v>DIV-KE</v>
          </cell>
          <cell r="G410" t="str">
            <v>A99M101</v>
          </cell>
          <cell r="H410" t="str">
            <v>DIV</v>
          </cell>
          <cell r="I410">
            <v>1999</v>
          </cell>
          <cell r="J410" t="str">
            <v>R</v>
          </cell>
          <cell r="K410" t="str">
            <v>CO</v>
          </cell>
          <cell r="L410" t="str">
            <v>KE</v>
          </cell>
          <cell r="Y410">
            <v>0</v>
          </cell>
          <cell r="Z410">
            <v>0</v>
          </cell>
          <cell r="AA410">
            <v>0</v>
          </cell>
          <cell r="AB410">
            <v>0</v>
          </cell>
          <cell r="AC410">
            <v>0</v>
          </cell>
          <cell r="AD410">
            <v>0</v>
          </cell>
          <cell r="AE410">
            <v>0</v>
          </cell>
          <cell r="AF410">
            <v>0</v>
          </cell>
        </row>
        <row r="411">
          <cell r="B411" t="str">
            <v>CO-KN-A99M101</v>
          </cell>
          <cell r="C411" t="str">
            <v>CO-A99M101</v>
          </cell>
          <cell r="D411" t="str">
            <v>CO-KN</v>
          </cell>
          <cell r="E411" t="str">
            <v>DIV-CO-KN</v>
          </cell>
          <cell r="F411" t="str">
            <v>DIV-KN</v>
          </cell>
          <cell r="G411" t="str">
            <v>A99M101</v>
          </cell>
          <cell r="H411" t="str">
            <v>DIV</v>
          </cell>
          <cell r="I411">
            <v>1999</v>
          </cell>
          <cell r="J411" t="str">
            <v>R</v>
          </cell>
          <cell r="K411" t="str">
            <v>CO</v>
          </cell>
          <cell r="L411" t="str">
            <v>KN</v>
          </cell>
          <cell r="Y411">
            <v>0</v>
          </cell>
          <cell r="Z411">
            <v>0</v>
          </cell>
          <cell r="AA411">
            <v>0</v>
          </cell>
          <cell r="AB411">
            <v>0</v>
          </cell>
          <cell r="AC411">
            <v>0</v>
          </cell>
          <cell r="AD411">
            <v>0</v>
          </cell>
          <cell r="AE411">
            <v>0</v>
          </cell>
          <cell r="AF411">
            <v>0</v>
          </cell>
        </row>
        <row r="412">
          <cell r="B412" t="str">
            <v>IN-KE-A99M101</v>
          </cell>
          <cell r="C412" t="str">
            <v>IN-A99M101</v>
          </cell>
          <cell r="D412" t="str">
            <v>IN-KE</v>
          </cell>
          <cell r="E412" t="str">
            <v>DIV-IN-KE</v>
          </cell>
          <cell r="F412" t="str">
            <v>DIV-KE</v>
          </cell>
          <cell r="G412" t="str">
            <v>A99M101</v>
          </cell>
          <cell r="H412" t="str">
            <v>DIV</v>
          </cell>
          <cell r="I412">
            <v>1999</v>
          </cell>
          <cell r="J412" t="str">
            <v>R</v>
          </cell>
          <cell r="K412" t="str">
            <v>IN</v>
          </cell>
          <cell r="L412" t="str">
            <v>KE</v>
          </cell>
          <cell r="Y412">
            <v>0</v>
          </cell>
          <cell r="Z412">
            <v>0</v>
          </cell>
          <cell r="AA412">
            <v>0</v>
          </cell>
          <cell r="AB412">
            <v>0</v>
          </cell>
          <cell r="AC412">
            <v>0</v>
          </cell>
          <cell r="AD412">
            <v>0</v>
          </cell>
          <cell r="AE412">
            <v>0</v>
          </cell>
          <cell r="AF412">
            <v>0</v>
          </cell>
        </row>
        <row r="413">
          <cell r="B413" t="str">
            <v>IN-KN-A99M101</v>
          </cell>
          <cell r="C413" t="str">
            <v>IN-A99M101</v>
          </cell>
          <cell r="D413" t="str">
            <v>IN-KN</v>
          </cell>
          <cell r="E413" t="str">
            <v>DIV-IN-KN</v>
          </cell>
          <cell r="F413" t="str">
            <v>DIV-KN</v>
          </cell>
          <cell r="G413" t="str">
            <v>A99M101</v>
          </cell>
          <cell r="H413" t="str">
            <v>DIV</v>
          </cell>
          <cell r="I413">
            <v>1999</v>
          </cell>
          <cell r="J413" t="str">
            <v>R</v>
          </cell>
          <cell r="K413" t="str">
            <v>IN</v>
          </cell>
          <cell r="L413" t="str">
            <v>KN</v>
          </cell>
          <cell r="Y413">
            <v>0</v>
          </cell>
          <cell r="Z413">
            <v>0</v>
          </cell>
          <cell r="AA413">
            <v>0</v>
          </cell>
          <cell r="AB413">
            <v>0</v>
          </cell>
          <cell r="AC413">
            <v>0</v>
          </cell>
          <cell r="AD413">
            <v>0</v>
          </cell>
          <cell r="AE413">
            <v>0</v>
          </cell>
          <cell r="AF413">
            <v>0</v>
          </cell>
        </row>
        <row r="414">
          <cell r="B414" t="str">
            <v>AD-KE-A99M102</v>
          </cell>
          <cell r="C414" t="str">
            <v>AD-A99M102</v>
          </cell>
          <cell r="D414" t="str">
            <v>AD-KE</v>
          </cell>
          <cell r="E414" t="str">
            <v>DIV-AD-KE</v>
          </cell>
          <cell r="F414" t="str">
            <v>DIV-KE</v>
          </cell>
          <cell r="G414" t="str">
            <v>A99M102</v>
          </cell>
          <cell r="H414" t="str">
            <v>DIV</v>
          </cell>
          <cell r="I414">
            <v>1999</v>
          </cell>
          <cell r="J414" t="str">
            <v>R</v>
          </cell>
          <cell r="K414" t="str">
            <v>AD</v>
          </cell>
          <cell r="L414" t="str">
            <v>KE</v>
          </cell>
          <cell r="Y414">
            <v>0</v>
          </cell>
          <cell r="Z414">
            <v>0</v>
          </cell>
          <cell r="AA414">
            <v>0</v>
          </cell>
          <cell r="AB414">
            <v>0</v>
          </cell>
          <cell r="AC414">
            <v>0</v>
          </cell>
          <cell r="AD414">
            <v>0</v>
          </cell>
          <cell r="AE414">
            <v>0</v>
          </cell>
          <cell r="AF414">
            <v>0</v>
          </cell>
        </row>
        <row r="415">
          <cell r="B415" t="str">
            <v>AD-KN-A99M102</v>
          </cell>
          <cell r="C415" t="str">
            <v>AD-A99M102</v>
          </cell>
          <cell r="D415" t="str">
            <v>AD-KN</v>
          </cell>
          <cell r="E415" t="str">
            <v>DIV-AD-KN</v>
          </cell>
          <cell r="F415" t="str">
            <v>DIV-KN</v>
          </cell>
          <cell r="G415" t="str">
            <v>A99M102</v>
          </cell>
          <cell r="H415" t="str">
            <v>DIV</v>
          </cell>
          <cell r="I415">
            <v>1999</v>
          </cell>
          <cell r="J415" t="str">
            <v>R</v>
          </cell>
          <cell r="K415" t="str">
            <v>AD</v>
          </cell>
          <cell r="L415" t="str">
            <v>KN</v>
          </cell>
          <cell r="Y415">
            <v>0</v>
          </cell>
          <cell r="Z415">
            <v>0</v>
          </cell>
          <cell r="AA415">
            <v>0</v>
          </cell>
          <cell r="AB415">
            <v>0</v>
          </cell>
          <cell r="AC415">
            <v>0</v>
          </cell>
          <cell r="AD415">
            <v>0</v>
          </cell>
          <cell r="AE415">
            <v>0</v>
          </cell>
          <cell r="AF415">
            <v>0</v>
          </cell>
        </row>
        <row r="416">
          <cell r="B416" t="str">
            <v>CO-KE-A99M102</v>
          </cell>
          <cell r="C416" t="str">
            <v>CO-A99M102</v>
          </cell>
          <cell r="D416" t="str">
            <v>CO-KE</v>
          </cell>
          <cell r="E416" t="str">
            <v>DIV-CO-KE</v>
          </cell>
          <cell r="F416" t="str">
            <v>DIV-KE</v>
          </cell>
          <cell r="G416" t="str">
            <v>A99M102</v>
          </cell>
          <cell r="H416" t="str">
            <v>DIV</v>
          </cell>
          <cell r="I416">
            <v>1999</v>
          </cell>
          <cell r="J416" t="str">
            <v>R</v>
          </cell>
          <cell r="K416" t="str">
            <v>CO</v>
          </cell>
          <cell r="L416" t="str">
            <v>KE</v>
          </cell>
          <cell r="Y416">
            <v>0</v>
          </cell>
          <cell r="Z416">
            <v>0</v>
          </cell>
          <cell r="AA416">
            <v>0</v>
          </cell>
          <cell r="AB416">
            <v>0</v>
          </cell>
          <cell r="AC416">
            <v>0</v>
          </cell>
          <cell r="AD416">
            <v>0</v>
          </cell>
          <cell r="AE416">
            <v>0</v>
          </cell>
          <cell r="AF416">
            <v>0</v>
          </cell>
        </row>
        <row r="417">
          <cell r="B417" t="str">
            <v>CO-KN-A99M102</v>
          </cell>
          <cell r="C417" t="str">
            <v>CO-A99M102</v>
          </cell>
          <cell r="D417" t="str">
            <v>CO-KN</v>
          </cell>
          <cell r="E417" t="str">
            <v>DIV-CO-KN</v>
          </cell>
          <cell r="F417" t="str">
            <v>DIV-KN</v>
          </cell>
          <cell r="G417" t="str">
            <v>A99M102</v>
          </cell>
          <cell r="H417" t="str">
            <v>DIV</v>
          </cell>
          <cell r="I417">
            <v>1999</v>
          </cell>
          <cell r="J417" t="str">
            <v>R</v>
          </cell>
          <cell r="K417" t="str">
            <v>CO</v>
          </cell>
          <cell r="L417" t="str">
            <v>KN</v>
          </cell>
          <cell r="Y417">
            <v>0</v>
          </cell>
          <cell r="Z417">
            <v>0</v>
          </cell>
          <cell r="AA417">
            <v>0</v>
          </cell>
          <cell r="AB417">
            <v>0</v>
          </cell>
          <cell r="AC417">
            <v>0</v>
          </cell>
          <cell r="AD417">
            <v>0</v>
          </cell>
          <cell r="AE417">
            <v>0</v>
          </cell>
          <cell r="AF417">
            <v>0</v>
          </cell>
        </row>
        <row r="418">
          <cell r="B418" t="str">
            <v>IN-KE-A99M102</v>
          </cell>
          <cell r="C418" t="str">
            <v>IN-A99M102</v>
          </cell>
          <cell r="D418" t="str">
            <v>IN-KE</v>
          </cell>
          <cell r="E418" t="str">
            <v>DIV-IN-KE</v>
          </cell>
          <cell r="F418" t="str">
            <v>DIV-KE</v>
          </cell>
          <cell r="G418" t="str">
            <v>A99M102</v>
          </cell>
          <cell r="H418" t="str">
            <v>DIV</v>
          </cell>
          <cell r="I418">
            <v>1999</v>
          </cell>
          <cell r="J418" t="str">
            <v>R</v>
          </cell>
          <cell r="K418" t="str">
            <v>IN</v>
          </cell>
          <cell r="L418" t="str">
            <v>KE</v>
          </cell>
          <cell r="Y418">
            <v>0</v>
          </cell>
          <cell r="Z418">
            <v>0</v>
          </cell>
          <cell r="AA418">
            <v>0</v>
          </cell>
          <cell r="AB418">
            <v>0</v>
          </cell>
          <cell r="AC418">
            <v>0</v>
          </cell>
          <cell r="AD418">
            <v>0</v>
          </cell>
          <cell r="AE418">
            <v>0</v>
          </cell>
          <cell r="AF418">
            <v>0</v>
          </cell>
        </row>
        <row r="419">
          <cell r="B419" t="str">
            <v>IN-KN-A99M102</v>
          </cell>
          <cell r="C419" t="str">
            <v>IN-A99M102</v>
          </cell>
          <cell r="D419" t="str">
            <v>IN-KN</v>
          </cell>
          <cell r="E419" t="str">
            <v>DIV-IN-KN</v>
          </cell>
          <cell r="F419" t="str">
            <v>DIV-KN</v>
          </cell>
          <cell r="G419" t="str">
            <v>A99M102</v>
          </cell>
          <cell r="H419" t="str">
            <v>DIV</v>
          </cell>
          <cell r="I419">
            <v>1999</v>
          </cell>
          <cell r="J419" t="str">
            <v>R</v>
          </cell>
          <cell r="K419" t="str">
            <v>IN</v>
          </cell>
          <cell r="L419" t="str">
            <v>KN</v>
          </cell>
          <cell r="Y419">
            <v>0</v>
          </cell>
          <cell r="Z419">
            <v>0</v>
          </cell>
          <cell r="AA419">
            <v>0</v>
          </cell>
          <cell r="AB419">
            <v>0</v>
          </cell>
          <cell r="AC419">
            <v>0</v>
          </cell>
          <cell r="AD419">
            <v>0</v>
          </cell>
          <cell r="AE419">
            <v>0</v>
          </cell>
          <cell r="AF419">
            <v>0</v>
          </cell>
        </row>
        <row r="420">
          <cell r="B420" t="str">
            <v>AD-KE-A99M103</v>
          </cell>
          <cell r="C420" t="str">
            <v>AD-A99M103</v>
          </cell>
          <cell r="D420" t="str">
            <v>AD-KE</v>
          </cell>
          <cell r="E420" t="str">
            <v>DIV-AD-KE</v>
          </cell>
          <cell r="F420" t="str">
            <v>DIV-KE</v>
          </cell>
          <cell r="G420" t="str">
            <v>A99M103</v>
          </cell>
          <cell r="H420" t="str">
            <v>DIV</v>
          </cell>
          <cell r="I420">
            <v>2000</v>
          </cell>
          <cell r="J420" t="str">
            <v>R</v>
          </cell>
          <cell r="K420" t="str">
            <v>AD</v>
          </cell>
          <cell r="L420" t="str">
            <v>KE</v>
          </cell>
          <cell r="Y420">
            <v>0</v>
          </cell>
          <cell r="Z420">
            <v>0</v>
          </cell>
          <cell r="AA420">
            <v>0</v>
          </cell>
          <cell r="AB420">
            <v>0</v>
          </cell>
          <cell r="AC420">
            <v>0</v>
          </cell>
          <cell r="AD420">
            <v>0</v>
          </cell>
          <cell r="AE420">
            <v>0</v>
          </cell>
          <cell r="AF420">
            <v>0</v>
          </cell>
        </row>
        <row r="421">
          <cell r="B421" t="str">
            <v>AD-KN-A99M103</v>
          </cell>
          <cell r="C421" t="str">
            <v>AD-A99M103</v>
          </cell>
          <cell r="D421" t="str">
            <v>AD-KN</v>
          </cell>
          <cell r="E421" t="str">
            <v>DIV-AD-KN</v>
          </cell>
          <cell r="F421" t="str">
            <v>DIV-KN</v>
          </cell>
          <cell r="G421" t="str">
            <v>A99M103</v>
          </cell>
          <cell r="H421" t="str">
            <v>DIV</v>
          </cell>
          <cell r="I421">
            <v>2000</v>
          </cell>
          <cell r="J421" t="str">
            <v>R</v>
          </cell>
          <cell r="K421" t="str">
            <v>AD</v>
          </cell>
          <cell r="L421" t="str">
            <v>KN</v>
          </cell>
          <cell r="Y421">
            <v>0</v>
          </cell>
          <cell r="Z421">
            <v>0</v>
          </cell>
          <cell r="AA421">
            <v>0</v>
          </cell>
          <cell r="AB421">
            <v>0</v>
          </cell>
          <cell r="AC421">
            <v>0</v>
          </cell>
          <cell r="AD421">
            <v>0</v>
          </cell>
          <cell r="AE421">
            <v>0</v>
          </cell>
          <cell r="AF421">
            <v>0</v>
          </cell>
        </row>
        <row r="422">
          <cell r="B422" t="str">
            <v>CO-KE-A99M103</v>
          </cell>
          <cell r="C422" t="str">
            <v>CO-A99M103</v>
          </cell>
          <cell r="D422" t="str">
            <v>CO-KE</v>
          </cell>
          <cell r="E422" t="str">
            <v>DIV-CO-KE</v>
          </cell>
          <cell r="F422" t="str">
            <v>DIV-KE</v>
          </cell>
          <cell r="G422" t="str">
            <v>A99M103</v>
          </cell>
          <cell r="H422" t="str">
            <v>DIV</v>
          </cell>
          <cell r="I422">
            <v>2000</v>
          </cell>
          <cell r="J422" t="str">
            <v>R</v>
          </cell>
          <cell r="K422" t="str">
            <v>CO</v>
          </cell>
          <cell r="L422" t="str">
            <v>KE</v>
          </cell>
          <cell r="Y422">
            <v>0</v>
          </cell>
          <cell r="Z422">
            <v>0</v>
          </cell>
          <cell r="AA422">
            <v>0</v>
          </cell>
          <cell r="AB422">
            <v>0</v>
          </cell>
          <cell r="AC422">
            <v>0</v>
          </cell>
          <cell r="AD422">
            <v>0</v>
          </cell>
          <cell r="AE422">
            <v>0</v>
          </cell>
          <cell r="AF422">
            <v>0</v>
          </cell>
        </row>
        <row r="423">
          <cell r="B423" t="str">
            <v>CO-KN-A99M103</v>
          </cell>
          <cell r="C423" t="str">
            <v>CO-A99M103</v>
          </cell>
          <cell r="D423" t="str">
            <v>CO-KN</v>
          </cell>
          <cell r="E423" t="str">
            <v>DIV-CO-KN</v>
          </cell>
          <cell r="F423" t="str">
            <v>DIV-KN</v>
          </cell>
          <cell r="G423" t="str">
            <v>A99M103</v>
          </cell>
          <cell r="H423" t="str">
            <v>DIV</v>
          </cell>
          <cell r="I423">
            <v>2000</v>
          </cell>
          <cell r="J423" t="str">
            <v>R</v>
          </cell>
          <cell r="K423" t="str">
            <v>CO</v>
          </cell>
          <cell r="L423" t="str">
            <v>KN</v>
          </cell>
          <cell r="Y423">
            <v>0</v>
          </cell>
          <cell r="Z423">
            <v>0</v>
          </cell>
          <cell r="AA423">
            <v>0</v>
          </cell>
          <cell r="AB423">
            <v>0</v>
          </cell>
          <cell r="AC423">
            <v>0</v>
          </cell>
          <cell r="AD423">
            <v>0</v>
          </cell>
          <cell r="AE423">
            <v>0</v>
          </cell>
          <cell r="AF423">
            <v>0</v>
          </cell>
        </row>
        <row r="424">
          <cell r="B424" t="str">
            <v>IN-KE-A99M103</v>
          </cell>
          <cell r="C424" t="str">
            <v>IN-A99M103</v>
          </cell>
          <cell r="D424" t="str">
            <v>IN-KE</v>
          </cell>
          <cell r="E424" t="str">
            <v>DIV-IN-KE</v>
          </cell>
          <cell r="F424" t="str">
            <v>DIV-KE</v>
          </cell>
          <cell r="G424" t="str">
            <v>A99M103</v>
          </cell>
          <cell r="H424" t="str">
            <v>DIV</v>
          </cell>
          <cell r="I424">
            <v>2000</v>
          </cell>
          <cell r="J424" t="str">
            <v>R</v>
          </cell>
          <cell r="K424" t="str">
            <v>IN</v>
          </cell>
          <cell r="L424" t="str">
            <v>KE</v>
          </cell>
          <cell r="Y424">
            <v>0</v>
          </cell>
          <cell r="Z424">
            <v>0</v>
          </cell>
          <cell r="AA424">
            <v>0</v>
          </cell>
          <cell r="AB424">
            <v>0</v>
          </cell>
          <cell r="AC424">
            <v>0</v>
          </cell>
          <cell r="AD424">
            <v>0</v>
          </cell>
          <cell r="AE424">
            <v>0</v>
          </cell>
          <cell r="AF424">
            <v>0</v>
          </cell>
        </row>
        <row r="425">
          <cell r="B425" t="str">
            <v>IN-KN-A99M103</v>
          </cell>
          <cell r="C425" t="str">
            <v>IN-A99M103</v>
          </cell>
          <cell r="D425" t="str">
            <v>IN-KN</v>
          </cell>
          <cell r="E425" t="str">
            <v>DIV-IN-KN</v>
          </cell>
          <cell r="F425" t="str">
            <v>DIV-KN</v>
          </cell>
          <cell r="G425" t="str">
            <v>A99M103</v>
          </cell>
          <cell r="H425" t="str">
            <v>DIV</v>
          </cell>
          <cell r="I425">
            <v>2000</v>
          </cell>
          <cell r="J425" t="str">
            <v>R</v>
          </cell>
          <cell r="K425" t="str">
            <v>IN</v>
          </cell>
          <cell r="L425" t="str">
            <v>KN</v>
          </cell>
          <cell r="Y425">
            <v>0</v>
          </cell>
          <cell r="Z425">
            <v>0</v>
          </cell>
          <cell r="AA425">
            <v>0</v>
          </cell>
          <cell r="AB425">
            <v>0</v>
          </cell>
          <cell r="AC425">
            <v>0</v>
          </cell>
          <cell r="AD425">
            <v>0</v>
          </cell>
          <cell r="AE425">
            <v>0</v>
          </cell>
          <cell r="AF425">
            <v>0</v>
          </cell>
        </row>
        <row r="426">
          <cell r="B426" t="str">
            <v>AD-KE-A99M301</v>
          </cell>
          <cell r="C426" t="str">
            <v>AD-A99M301</v>
          </cell>
          <cell r="D426" t="str">
            <v>AD-KE</v>
          </cell>
          <cell r="E426" t="str">
            <v>DIV-AD-KE</v>
          </cell>
          <cell r="F426" t="str">
            <v>DIV-KE</v>
          </cell>
          <cell r="G426" t="str">
            <v>A99M301</v>
          </cell>
          <cell r="H426" t="str">
            <v>DIV</v>
          </cell>
          <cell r="I426">
            <v>1999</v>
          </cell>
          <cell r="J426" t="str">
            <v>R</v>
          </cell>
          <cell r="K426" t="str">
            <v>AD</v>
          </cell>
          <cell r="L426" t="str">
            <v>KE</v>
          </cell>
          <cell r="Y426">
            <v>0</v>
          </cell>
          <cell r="Z426">
            <v>0</v>
          </cell>
          <cell r="AA426">
            <v>0</v>
          </cell>
          <cell r="AB426">
            <v>0</v>
          </cell>
          <cell r="AC426">
            <v>0</v>
          </cell>
          <cell r="AD426">
            <v>0</v>
          </cell>
          <cell r="AE426">
            <v>0</v>
          </cell>
          <cell r="AF426">
            <v>0</v>
          </cell>
        </row>
        <row r="427">
          <cell r="B427" t="str">
            <v>AD-KN-A99M301</v>
          </cell>
          <cell r="C427" t="str">
            <v>AD-A99M301</v>
          </cell>
          <cell r="D427" t="str">
            <v>AD-KN</v>
          </cell>
          <cell r="E427" t="str">
            <v>DIV-AD-KN</v>
          </cell>
          <cell r="F427" t="str">
            <v>DIV-KN</v>
          </cell>
          <cell r="G427" t="str">
            <v>A99M301</v>
          </cell>
          <cell r="H427" t="str">
            <v>DIV</v>
          </cell>
          <cell r="I427">
            <v>1999</v>
          </cell>
          <cell r="J427" t="str">
            <v>R</v>
          </cell>
          <cell r="K427" t="str">
            <v>AD</v>
          </cell>
          <cell r="L427" t="str">
            <v>KN</v>
          </cell>
          <cell r="Y427">
            <v>0</v>
          </cell>
          <cell r="Z427">
            <v>0</v>
          </cell>
          <cell r="AA427">
            <v>0</v>
          </cell>
          <cell r="AB427">
            <v>0</v>
          </cell>
          <cell r="AC427">
            <v>0</v>
          </cell>
          <cell r="AD427">
            <v>0</v>
          </cell>
          <cell r="AE427">
            <v>0</v>
          </cell>
          <cell r="AF427">
            <v>0</v>
          </cell>
        </row>
        <row r="428">
          <cell r="B428" t="str">
            <v>CO-KE-A99M301</v>
          </cell>
          <cell r="C428" t="str">
            <v>CO-A99M301</v>
          </cell>
          <cell r="D428" t="str">
            <v>CO-KE</v>
          </cell>
          <cell r="E428" t="str">
            <v>DIV-CO-KE</v>
          </cell>
          <cell r="F428" t="str">
            <v>DIV-KE</v>
          </cell>
          <cell r="G428" t="str">
            <v>A99M301</v>
          </cell>
          <cell r="H428" t="str">
            <v>DIV</v>
          </cell>
          <cell r="I428">
            <v>1999</v>
          </cell>
          <cell r="J428" t="str">
            <v>R</v>
          </cell>
          <cell r="K428" t="str">
            <v>CO</v>
          </cell>
          <cell r="L428" t="str">
            <v>KE</v>
          </cell>
          <cell r="Y428">
            <v>0</v>
          </cell>
          <cell r="Z428">
            <v>0</v>
          </cell>
          <cell r="AA428">
            <v>0</v>
          </cell>
          <cell r="AB428">
            <v>0</v>
          </cell>
          <cell r="AC428">
            <v>0</v>
          </cell>
          <cell r="AD428">
            <v>0</v>
          </cell>
          <cell r="AE428">
            <v>0</v>
          </cell>
          <cell r="AF428">
            <v>0</v>
          </cell>
        </row>
        <row r="429">
          <cell r="B429" t="str">
            <v>CO-KN-A99M301</v>
          </cell>
          <cell r="C429" t="str">
            <v>CO-A99M301</v>
          </cell>
          <cell r="D429" t="str">
            <v>CO-KN</v>
          </cell>
          <cell r="E429" t="str">
            <v>DIV-CO-KN</v>
          </cell>
          <cell r="F429" t="str">
            <v>DIV-KN</v>
          </cell>
          <cell r="G429" t="str">
            <v>A99M301</v>
          </cell>
          <cell r="H429" t="str">
            <v>DIV</v>
          </cell>
          <cell r="I429">
            <v>1999</v>
          </cell>
          <cell r="J429" t="str">
            <v>R</v>
          </cell>
          <cell r="K429" t="str">
            <v>CO</v>
          </cell>
          <cell r="L429" t="str">
            <v>KN</v>
          </cell>
          <cell r="Y429">
            <v>0</v>
          </cell>
          <cell r="Z429">
            <v>0</v>
          </cell>
          <cell r="AA429">
            <v>0</v>
          </cell>
          <cell r="AB429">
            <v>0</v>
          </cell>
          <cell r="AC429">
            <v>0</v>
          </cell>
          <cell r="AD429">
            <v>0</v>
          </cell>
          <cell r="AE429">
            <v>0</v>
          </cell>
          <cell r="AF429">
            <v>0</v>
          </cell>
        </row>
        <row r="430">
          <cell r="B430" t="str">
            <v>IN-KE-A99M301</v>
          </cell>
          <cell r="C430" t="str">
            <v>IN-A99M301</v>
          </cell>
          <cell r="D430" t="str">
            <v>IN-KE</v>
          </cell>
          <cell r="E430" t="str">
            <v>DIV-IN-KE</v>
          </cell>
          <cell r="F430" t="str">
            <v>DIV-KE</v>
          </cell>
          <cell r="G430" t="str">
            <v>A99M301</v>
          </cell>
          <cell r="H430" t="str">
            <v>DIV</v>
          </cell>
          <cell r="I430">
            <v>1999</v>
          </cell>
          <cell r="J430" t="str">
            <v>R</v>
          </cell>
          <cell r="K430" t="str">
            <v>IN</v>
          </cell>
          <cell r="L430" t="str">
            <v>KE</v>
          </cell>
          <cell r="Y430">
            <v>0</v>
          </cell>
          <cell r="Z430">
            <v>0</v>
          </cell>
          <cell r="AA430">
            <v>0</v>
          </cell>
          <cell r="AB430">
            <v>0</v>
          </cell>
          <cell r="AC430">
            <v>0</v>
          </cell>
          <cell r="AD430">
            <v>0</v>
          </cell>
          <cell r="AE430">
            <v>0</v>
          </cell>
          <cell r="AF430">
            <v>0</v>
          </cell>
        </row>
        <row r="431">
          <cell r="B431" t="str">
            <v>IN-KN-A99M301</v>
          </cell>
          <cell r="C431" t="str">
            <v>IN-A99M301</v>
          </cell>
          <cell r="D431" t="str">
            <v>IN-KN</v>
          </cell>
          <cell r="E431" t="str">
            <v>DIV-IN-KN</v>
          </cell>
          <cell r="F431" t="str">
            <v>DIV-KN</v>
          </cell>
          <cell r="G431" t="str">
            <v>A99M301</v>
          </cell>
          <cell r="H431" t="str">
            <v>DIV</v>
          </cell>
          <cell r="I431">
            <v>1999</v>
          </cell>
          <cell r="J431" t="str">
            <v>R</v>
          </cell>
          <cell r="K431" t="str">
            <v>IN</v>
          </cell>
          <cell r="L431" t="str">
            <v>KN</v>
          </cell>
          <cell r="Y431">
            <v>0</v>
          </cell>
          <cell r="Z431">
            <v>0</v>
          </cell>
          <cell r="AA431">
            <v>0</v>
          </cell>
          <cell r="AB431">
            <v>0</v>
          </cell>
          <cell r="AC431">
            <v>0</v>
          </cell>
          <cell r="AD431">
            <v>0</v>
          </cell>
          <cell r="AE431">
            <v>0</v>
          </cell>
          <cell r="AF431">
            <v>0</v>
          </cell>
        </row>
        <row r="432">
          <cell r="B432" t="str">
            <v>AD-KE-A99M302</v>
          </cell>
          <cell r="C432" t="str">
            <v>AD-A99M302</v>
          </cell>
          <cell r="D432" t="str">
            <v>AD-KE</v>
          </cell>
          <cell r="E432" t="str">
            <v>DIV-AD-KE</v>
          </cell>
          <cell r="F432" t="str">
            <v>DIV-KE</v>
          </cell>
          <cell r="G432" t="str">
            <v>A99M302</v>
          </cell>
          <cell r="H432" t="str">
            <v>DIV</v>
          </cell>
          <cell r="I432">
            <v>1999</v>
          </cell>
          <cell r="J432" t="str">
            <v>R</v>
          </cell>
          <cell r="K432" t="str">
            <v>AD</v>
          </cell>
          <cell r="L432" t="str">
            <v>KE</v>
          </cell>
          <cell r="Y432">
            <v>0</v>
          </cell>
          <cell r="Z432">
            <v>0</v>
          </cell>
          <cell r="AA432">
            <v>0</v>
          </cell>
          <cell r="AB432">
            <v>0</v>
          </cell>
          <cell r="AC432">
            <v>0</v>
          </cell>
          <cell r="AF432">
            <v>0</v>
          </cell>
        </row>
        <row r="433">
          <cell r="B433" t="str">
            <v>AD-KN-A99M302</v>
          </cell>
          <cell r="C433" t="str">
            <v>AD-A99M302</v>
          </cell>
          <cell r="D433" t="str">
            <v>AD-KN</v>
          </cell>
          <cell r="E433" t="str">
            <v>DIV-AD-KN</v>
          </cell>
          <cell r="F433" t="str">
            <v>DIV-KN</v>
          </cell>
          <cell r="G433" t="str">
            <v>A99M302</v>
          </cell>
          <cell r="H433" t="str">
            <v>DIV</v>
          </cell>
          <cell r="I433">
            <v>1999</v>
          </cell>
          <cell r="J433" t="str">
            <v>R</v>
          </cell>
          <cell r="K433" t="str">
            <v>AD</v>
          </cell>
          <cell r="L433" t="str">
            <v>KN</v>
          </cell>
          <cell r="Y433">
            <v>0</v>
          </cell>
          <cell r="Z433">
            <v>0</v>
          </cell>
          <cell r="AA433">
            <v>0</v>
          </cell>
          <cell r="AB433">
            <v>0</v>
          </cell>
          <cell r="AC433">
            <v>0</v>
          </cell>
          <cell r="AF433">
            <v>0</v>
          </cell>
        </row>
        <row r="434">
          <cell r="B434" t="str">
            <v>CO-KE-A99M302</v>
          </cell>
          <cell r="C434" t="str">
            <v>CO-A99M302</v>
          </cell>
          <cell r="D434" t="str">
            <v>CO-KE</v>
          </cell>
          <cell r="E434" t="str">
            <v>DIV-CO-KE</v>
          </cell>
          <cell r="F434" t="str">
            <v>DIV-KE</v>
          </cell>
          <cell r="G434" t="str">
            <v>A99M302</v>
          </cell>
          <cell r="H434" t="str">
            <v>DIV</v>
          </cell>
          <cell r="I434">
            <v>1999</v>
          </cell>
          <cell r="J434" t="str">
            <v>R</v>
          </cell>
          <cell r="K434" t="str">
            <v>CO</v>
          </cell>
          <cell r="L434" t="str">
            <v>KE</v>
          </cell>
          <cell r="Y434">
            <v>0</v>
          </cell>
          <cell r="Z434">
            <v>0</v>
          </cell>
          <cell r="AA434">
            <v>0</v>
          </cell>
          <cell r="AB434">
            <v>0</v>
          </cell>
          <cell r="AC434">
            <v>0</v>
          </cell>
          <cell r="AF434">
            <v>0</v>
          </cell>
        </row>
        <row r="435">
          <cell r="B435" t="str">
            <v>CO-KN-A99M302</v>
          </cell>
          <cell r="C435" t="str">
            <v>CO-A99M302</v>
          </cell>
          <cell r="D435" t="str">
            <v>CO-KN</v>
          </cell>
          <cell r="E435" t="str">
            <v>DIV-CO-KN</v>
          </cell>
          <cell r="F435" t="str">
            <v>DIV-KN</v>
          </cell>
          <cell r="G435" t="str">
            <v>A99M302</v>
          </cell>
          <cell r="H435" t="str">
            <v>DIV</v>
          </cell>
          <cell r="I435">
            <v>1999</v>
          </cell>
          <cell r="J435" t="str">
            <v>R</v>
          </cell>
          <cell r="K435" t="str">
            <v>CO</v>
          </cell>
          <cell r="L435" t="str">
            <v>KN</v>
          </cell>
          <cell r="Y435">
            <v>0</v>
          </cell>
          <cell r="Z435">
            <v>0</v>
          </cell>
          <cell r="AA435">
            <v>0</v>
          </cell>
          <cell r="AB435">
            <v>0</v>
          </cell>
          <cell r="AC435">
            <v>0</v>
          </cell>
          <cell r="AF435">
            <v>0</v>
          </cell>
        </row>
        <row r="436">
          <cell r="B436" t="str">
            <v>IN-KE-A99M302</v>
          </cell>
          <cell r="C436" t="str">
            <v>IN-A99M302</v>
          </cell>
          <cell r="D436" t="str">
            <v>IN-KE</v>
          </cell>
          <cell r="E436" t="str">
            <v>DIV-IN-KE</v>
          </cell>
          <cell r="F436" t="str">
            <v>DIV-KE</v>
          </cell>
          <cell r="G436" t="str">
            <v>A99M302</v>
          </cell>
          <cell r="H436" t="str">
            <v>DIV</v>
          </cell>
          <cell r="I436">
            <v>1999</v>
          </cell>
          <cell r="J436" t="str">
            <v>R</v>
          </cell>
          <cell r="K436" t="str">
            <v>IN</v>
          </cell>
          <cell r="L436" t="str">
            <v>KE</v>
          </cell>
          <cell r="Y436">
            <v>0</v>
          </cell>
          <cell r="Z436">
            <v>0</v>
          </cell>
          <cell r="AA436">
            <v>0</v>
          </cell>
          <cell r="AB436">
            <v>0</v>
          </cell>
          <cell r="AC436">
            <v>0</v>
          </cell>
          <cell r="AF436">
            <v>0</v>
          </cell>
        </row>
        <row r="437">
          <cell r="B437" t="str">
            <v>IN-KN-A99M302</v>
          </cell>
          <cell r="C437" t="str">
            <v>IN-A99M302</v>
          </cell>
          <cell r="D437" t="str">
            <v>IN-KN</v>
          </cell>
          <cell r="E437" t="str">
            <v>DIV-IN-KN</v>
          </cell>
          <cell r="F437" t="str">
            <v>DIV-KN</v>
          </cell>
          <cell r="G437" t="str">
            <v>A99M302</v>
          </cell>
          <cell r="H437" t="str">
            <v>DIV</v>
          </cell>
          <cell r="I437">
            <v>1999</v>
          </cell>
          <cell r="J437" t="str">
            <v>R</v>
          </cell>
          <cell r="K437" t="str">
            <v>IN</v>
          </cell>
          <cell r="L437" t="str">
            <v>KN</v>
          </cell>
          <cell r="Y437">
            <v>0</v>
          </cell>
          <cell r="Z437">
            <v>0</v>
          </cell>
          <cell r="AA437">
            <v>0</v>
          </cell>
          <cell r="AB437">
            <v>0</v>
          </cell>
          <cell r="AC437">
            <v>0</v>
          </cell>
          <cell r="AF437">
            <v>0</v>
          </cell>
        </row>
        <row r="438">
          <cell r="B438" t="str">
            <v>AD-KE-A99M304</v>
          </cell>
          <cell r="C438" t="str">
            <v>AD-A99M304</v>
          </cell>
          <cell r="D438" t="str">
            <v>AD-KE</v>
          </cell>
          <cell r="E438" t="str">
            <v>DIV-AD-KE</v>
          </cell>
          <cell r="F438" t="str">
            <v>DIV-KE</v>
          </cell>
          <cell r="G438" t="str">
            <v>A99M304</v>
          </cell>
          <cell r="H438" t="str">
            <v>DIV</v>
          </cell>
          <cell r="I438">
            <v>2000</v>
          </cell>
          <cell r="J438" t="str">
            <v>R</v>
          </cell>
          <cell r="K438" t="str">
            <v>AD</v>
          </cell>
          <cell r="L438" t="str">
            <v>KE</v>
          </cell>
          <cell r="Y438">
            <v>0</v>
          </cell>
          <cell r="Z438">
            <v>0</v>
          </cell>
          <cell r="AA438">
            <v>0</v>
          </cell>
          <cell r="AB438">
            <v>0</v>
          </cell>
          <cell r="AC438">
            <v>0</v>
          </cell>
          <cell r="AF438">
            <v>0</v>
          </cell>
        </row>
        <row r="439">
          <cell r="B439" t="str">
            <v>AD-KN-A99M304</v>
          </cell>
          <cell r="C439" t="str">
            <v>AD-A99M304</v>
          </cell>
          <cell r="D439" t="str">
            <v>AD-KN</v>
          </cell>
          <cell r="E439" t="str">
            <v>DIV-AD-KN</v>
          </cell>
          <cell r="F439" t="str">
            <v>DIV-KN</v>
          </cell>
          <cell r="G439" t="str">
            <v>A99M304</v>
          </cell>
          <cell r="H439" t="str">
            <v>DIV</v>
          </cell>
          <cell r="I439">
            <v>2000</v>
          </cell>
          <cell r="J439" t="str">
            <v>R</v>
          </cell>
          <cell r="K439" t="str">
            <v>AD</v>
          </cell>
          <cell r="L439" t="str">
            <v>KN</v>
          </cell>
          <cell r="Y439">
            <v>0</v>
          </cell>
          <cell r="Z439">
            <v>0</v>
          </cell>
          <cell r="AA439">
            <v>0</v>
          </cell>
          <cell r="AB439">
            <v>0</v>
          </cell>
          <cell r="AC439">
            <v>0</v>
          </cell>
          <cell r="AF439">
            <v>0</v>
          </cell>
        </row>
        <row r="440">
          <cell r="B440" t="str">
            <v>CO-KE-A99M304</v>
          </cell>
          <cell r="C440" t="str">
            <v>CO-A99M304</v>
          </cell>
          <cell r="D440" t="str">
            <v>CO-KE</v>
          </cell>
          <cell r="E440" t="str">
            <v>DIV-CO-KE</v>
          </cell>
          <cell r="F440" t="str">
            <v>DIV-KE</v>
          </cell>
          <cell r="G440" t="str">
            <v>A99M304</v>
          </cell>
          <cell r="H440" t="str">
            <v>DIV</v>
          </cell>
          <cell r="I440">
            <v>2000</v>
          </cell>
          <cell r="J440" t="str">
            <v>R</v>
          </cell>
          <cell r="K440" t="str">
            <v>CO</v>
          </cell>
          <cell r="L440" t="str">
            <v>KE</v>
          </cell>
          <cell r="Y440">
            <v>0</v>
          </cell>
          <cell r="Z440">
            <v>0</v>
          </cell>
          <cell r="AA440">
            <v>0</v>
          </cell>
          <cell r="AB440">
            <v>0</v>
          </cell>
          <cell r="AC440">
            <v>0</v>
          </cell>
          <cell r="AF440">
            <v>0</v>
          </cell>
        </row>
        <row r="441">
          <cell r="B441" t="str">
            <v>CO-KN-A99M304</v>
          </cell>
          <cell r="C441" t="str">
            <v>CO-A99M304</v>
          </cell>
          <cell r="D441" t="str">
            <v>CO-KN</v>
          </cell>
          <cell r="E441" t="str">
            <v>DIV-CO-KN</v>
          </cell>
          <cell r="F441" t="str">
            <v>DIV-KN</v>
          </cell>
          <cell r="G441" t="str">
            <v>A99M304</v>
          </cell>
          <cell r="H441" t="str">
            <v>DIV</v>
          </cell>
          <cell r="I441">
            <v>2000</v>
          </cell>
          <cell r="J441" t="str">
            <v>R</v>
          </cell>
          <cell r="K441" t="str">
            <v>CO</v>
          </cell>
          <cell r="L441" t="str">
            <v>KN</v>
          </cell>
          <cell r="Y441">
            <v>0</v>
          </cell>
          <cell r="Z441">
            <v>0</v>
          </cell>
          <cell r="AA441">
            <v>0</v>
          </cell>
          <cell r="AB441">
            <v>0</v>
          </cell>
          <cell r="AC441">
            <v>0</v>
          </cell>
          <cell r="AF441">
            <v>0</v>
          </cell>
        </row>
        <row r="442">
          <cell r="B442" t="str">
            <v>IN-KE-A99M304</v>
          </cell>
          <cell r="C442" t="str">
            <v>IN-A99M304</v>
          </cell>
          <cell r="D442" t="str">
            <v>IN-KE</v>
          </cell>
          <cell r="E442" t="str">
            <v>DIV-IN-KE</v>
          </cell>
          <cell r="F442" t="str">
            <v>DIV-KE</v>
          </cell>
          <cell r="G442" t="str">
            <v>A99M304</v>
          </cell>
          <cell r="H442" t="str">
            <v>DIV</v>
          </cell>
          <cell r="I442">
            <v>2000</v>
          </cell>
          <cell r="J442" t="str">
            <v>R</v>
          </cell>
          <cell r="K442" t="str">
            <v>IN</v>
          </cell>
          <cell r="L442" t="str">
            <v>KE</v>
          </cell>
          <cell r="Y442">
            <v>0</v>
          </cell>
          <cell r="Z442">
            <v>0</v>
          </cell>
          <cell r="AA442">
            <v>0</v>
          </cell>
          <cell r="AB442">
            <v>0</v>
          </cell>
          <cell r="AC442">
            <v>0</v>
          </cell>
          <cell r="AF442">
            <v>0</v>
          </cell>
        </row>
        <row r="443">
          <cell r="B443" t="str">
            <v>IN-KN-A99M304</v>
          </cell>
          <cell r="C443" t="str">
            <v>IN-A99M304</v>
          </cell>
          <cell r="D443" t="str">
            <v>IN-KN</v>
          </cell>
          <cell r="E443" t="str">
            <v>DIV-IN-KN</v>
          </cell>
          <cell r="F443" t="str">
            <v>DIV-KN</v>
          </cell>
          <cell r="G443" t="str">
            <v>A99M304</v>
          </cell>
          <cell r="H443" t="str">
            <v>DIV</v>
          </cell>
          <cell r="I443">
            <v>2000</v>
          </cell>
          <cell r="J443" t="str">
            <v>R</v>
          </cell>
          <cell r="K443" t="str">
            <v>IN</v>
          </cell>
          <cell r="L443" t="str">
            <v>KN</v>
          </cell>
          <cell r="Y443">
            <v>0</v>
          </cell>
          <cell r="Z443">
            <v>0</v>
          </cell>
          <cell r="AA443">
            <v>0</v>
          </cell>
          <cell r="AB443">
            <v>0</v>
          </cell>
          <cell r="AC443">
            <v>0</v>
          </cell>
          <cell r="AF443">
            <v>0</v>
          </cell>
        </row>
        <row r="444">
          <cell r="B444" t="str">
            <v>AD-KE-A99M305</v>
          </cell>
          <cell r="C444" t="str">
            <v>AD-A99M305</v>
          </cell>
          <cell r="D444" t="str">
            <v>AD-KE</v>
          </cell>
          <cell r="E444" t="str">
            <v>DIV-AD-KE</v>
          </cell>
          <cell r="F444" t="str">
            <v>DIV-KE</v>
          </cell>
          <cell r="G444" t="str">
            <v>A99M305</v>
          </cell>
          <cell r="H444" t="str">
            <v>DIV</v>
          </cell>
          <cell r="I444">
            <v>2000</v>
          </cell>
          <cell r="J444" t="str">
            <v>R</v>
          </cell>
          <cell r="K444" t="str">
            <v>AD</v>
          </cell>
          <cell r="L444" t="str">
            <v>KE</v>
          </cell>
          <cell r="Y444">
            <v>0</v>
          </cell>
          <cell r="Z444">
            <v>0</v>
          </cell>
          <cell r="AA444">
            <v>0</v>
          </cell>
          <cell r="AB444">
            <v>0</v>
          </cell>
          <cell r="AC444">
            <v>0</v>
          </cell>
          <cell r="AF444">
            <v>0</v>
          </cell>
        </row>
        <row r="445">
          <cell r="B445" t="str">
            <v>AD-KN-A99M305</v>
          </cell>
          <cell r="C445" t="str">
            <v>AD-A99M305</v>
          </cell>
          <cell r="D445" t="str">
            <v>AD-KN</v>
          </cell>
          <cell r="E445" t="str">
            <v>DIV-AD-KN</v>
          </cell>
          <cell r="F445" t="str">
            <v>DIV-KN</v>
          </cell>
          <cell r="G445" t="str">
            <v>A99M305</v>
          </cell>
          <cell r="H445" t="str">
            <v>DIV</v>
          </cell>
          <cell r="I445">
            <v>2000</v>
          </cell>
          <cell r="J445" t="str">
            <v>R</v>
          </cell>
          <cell r="K445" t="str">
            <v>AD</v>
          </cell>
          <cell r="L445" t="str">
            <v>KN</v>
          </cell>
          <cell r="Y445">
            <v>0</v>
          </cell>
          <cell r="Z445">
            <v>0</v>
          </cell>
          <cell r="AA445">
            <v>0</v>
          </cell>
          <cell r="AB445">
            <v>0</v>
          </cell>
          <cell r="AC445">
            <v>0</v>
          </cell>
          <cell r="AF445">
            <v>0</v>
          </cell>
        </row>
        <row r="446">
          <cell r="B446" t="str">
            <v>CO-KE-A99M305</v>
          </cell>
          <cell r="C446" t="str">
            <v>CO-A99M305</v>
          </cell>
          <cell r="D446" t="str">
            <v>CO-KE</v>
          </cell>
          <cell r="E446" t="str">
            <v>DIV-CO-KE</v>
          </cell>
          <cell r="F446" t="str">
            <v>DIV-KE</v>
          </cell>
          <cell r="G446" t="str">
            <v>A99M305</v>
          </cell>
          <cell r="H446" t="str">
            <v>DIV</v>
          </cell>
          <cell r="I446">
            <v>2000</v>
          </cell>
          <cell r="J446" t="str">
            <v>R</v>
          </cell>
          <cell r="K446" t="str">
            <v>CO</v>
          </cell>
          <cell r="L446" t="str">
            <v>KE</v>
          </cell>
          <cell r="Y446">
            <v>0</v>
          </cell>
          <cell r="Z446">
            <v>0</v>
          </cell>
          <cell r="AA446">
            <v>0</v>
          </cell>
          <cell r="AB446">
            <v>0</v>
          </cell>
          <cell r="AC446">
            <v>0</v>
          </cell>
          <cell r="AF446">
            <v>0</v>
          </cell>
        </row>
        <row r="447">
          <cell r="B447" t="str">
            <v>CO-KN-A99M305</v>
          </cell>
          <cell r="C447" t="str">
            <v>CO-A99M305</v>
          </cell>
          <cell r="D447" t="str">
            <v>CO-KN</v>
          </cell>
          <cell r="E447" t="str">
            <v>DIV-CO-KN</v>
          </cell>
          <cell r="F447" t="str">
            <v>DIV-KN</v>
          </cell>
          <cell r="G447" t="str">
            <v>A99M305</v>
          </cell>
          <cell r="H447" t="str">
            <v>DIV</v>
          </cell>
          <cell r="I447">
            <v>2000</v>
          </cell>
          <cell r="J447" t="str">
            <v>R</v>
          </cell>
          <cell r="K447" t="str">
            <v>CO</v>
          </cell>
          <cell r="L447" t="str">
            <v>KN</v>
          </cell>
          <cell r="Y447">
            <v>0</v>
          </cell>
          <cell r="Z447">
            <v>0</v>
          </cell>
          <cell r="AA447">
            <v>0</v>
          </cell>
          <cell r="AB447">
            <v>0</v>
          </cell>
          <cell r="AC447">
            <v>0</v>
          </cell>
          <cell r="AF447">
            <v>0</v>
          </cell>
        </row>
        <row r="448">
          <cell r="B448" t="str">
            <v>IN-KE-A99M305</v>
          </cell>
          <cell r="C448" t="str">
            <v>IN-A99M305</v>
          </cell>
          <cell r="D448" t="str">
            <v>IN-KE</v>
          </cell>
          <cell r="E448" t="str">
            <v>DIV-IN-KE</v>
          </cell>
          <cell r="F448" t="str">
            <v>DIV-KE</v>
          </cell>
          <cell r="G448" t="str">
            <v>A99M305</v>
          </cell>
          <cell r="H448" t="str">
            <v>DIV</v>
          </cell>
          <cell r="I448">
            <v>2000</v>
          </cell>
          <cell r="J448" t="str">
            <v>R</v>
          </cell>
          <cell r="K448" t="str">
            <v>IN</v>
          </cell>
          <cell r="L448" t="str">
            <v>KE</v>
          </cell>
          <cell r="Y448">
            <v>0</v>
          </cell>
          <cell r="Z448">
            <v>0</v>
          </cell>
          <cell r="AA448">
            <v>0</v>
          </cell>
          <cell r="AB448">
            <v>0</v>
          </cell>
          <cell r="AC448">
            <v>0</v>
          </cell>
          <cell r="AF448">
            <v>0</v>
          </cell>
        </row>
        <row r="449">
          <cell r="B449" t="str">
            <v>IN-KN-A99M305</v>
          </cell>
          <cell r="C449" t="str">
            <v>IN-A99M305</v>
          </cell>
          <cell r="D449" t="str">
            <v>IN-KN</v>
          </cell>
          <cell r="E449" t="str">
            <v>DIV-IN-KN</v>
          </cell>
          <cell r="F449" t="str">
            <v>DIV-KN</v>
          </cell>
          <cell r="G449" t="str">
            <v>A99M305</v>
          </cell>
          <cell r="H449" t="str">
            <v>DIV</v>
          </cell>
          <cell r="I449">
            <v>2000</v>
          </cell>
          <cell r="J449" t="str">
            <v>R</v>
          </cell>
          <cell r="K449" t="str">
            <v>IN</v>
          </cell>
          <cell r="L449" t="str">
            <v>KN</v>
          </cell>
          <cell r="Y449">
            <v>0</v>
          </cell>
          <cell r="Z449">
            <v>0</v>
          </cell>
          <cell r="AA449">
            <v>0</v>
          </cell>
          <cell r="AB449">
            <v>0</v>
          </cell>
          <cell r="AC449">
            <v>0</v>
          </cell>
          <cell r="AF449">
            <v>0</v>
          </cell>
        </row>
        <row r="450">
          <cell r="B450" t="str">
            <v>AD-KE-A99M306</v>
          </cell>
          <cell r="C450" t="str">
            <v>AD-A99M306</v>
          </cell>
          <cell r="D450" t="str">
            <v>AD-KE</v>
          </cell>
          <cell r="E450" t="str">
            <v>DIV-AD-KE</v>
          </cell>
          <cell r="F450" t="str">
            <v>DIV-KE</v>
          </cell>
          <cell r="G450" t="str">
            <v>A99M306</v>
          </cell>
          <cell r="H450" t="str">
            <v>DIV</v>
          </cell>
          <cell r="I450">
            <v>2000</v>
          </cell>
          <cell r="J450" t="str">
            <v>R</v>
          </cell>
          <cell r="K450" t="str">
            <v>AD</v>
          </cell>
          <cell r="L450" t="str">
            <v>KE</v>
          </cell>
          <cell r="Y450">
            <v>0</v>
          </cell>
          <cell r="Z450">
            <v>0</v>
          </cell>
          <cell r="AA450">
            <v>0</v>
          </cell>
          <cell r="AB450">
            <v>0</v>
          </cell>
          <cell r="AC450">
            <v>0</v>
          </cell>
          <cell r="AF450">
            <v>0</v>
          </cell>
        </row>
        <row r="451">
          <cell r="B451" t="str">
            <v>AD-KN-A99M306</v>
          </cell>
          <cell r="C451" t="str">
            <v>AD-A99M306</v>
          </cell>
          <cell r="D451" t="str">
            <v>AD-KN</v>
          </cell>
          <cell r="E451" t="str">
            <v>DIV-AD-KN</v>
          </cell>
          <cell r="F451" t="str">
            <v>DIV-KN</v>
          </cell>
          <cell r="G451" t="str">
            <v>A99M306</v>
          </cell>
          <cell r="H451" t="str">
            <v>DIV</v>
          </cell>
          <cell r="I451">
            <v>2000</v>
          </cell>
          <cell r="J451" t="str">
            <v>R</v>
          </cell>
          <cell r="K451" t="str">
            <v>AD</v>
          </cell>
          <cell r="L451" t="str">
            <v>KN</v>
          </cell>
          <cell r="Y451">
            <v>0</v>
          </cell>
          <cell r="Z451">
            <v>0</v>
          </cell>
          <cell r="AA451">
            <v>0</v>
          </cell>
          <cell r="AB451">
            <v>0</v>
          </cell>
          <cell r="AC451">
            <v>0</v>
          </cell>
          <cell r="AF451">
            <v>0</v>
          </cell>
        </row>
        <row r="452">
          <cell r="B452" t="str">
            <v>CO-KE-A99M306</v>
          </cell>
          <cell r="C452" t="str">
            <v>CO-A99M306</v>
          </cell>
          <cell r="D452" t="str">
            <v>CO-KE</v>
          </cell>
          <cell r="E452" t="str">
            <v>DIV-CO-KE</v>
          </cell>
          <cell r="F452" t="str">
            <v>DIV-KE</v>
          </cell>
          <cell r="G452" t="str">
            <v>A99M306</v>
          </cell>
          <cell r="H452" t="str">
            <v>DIV</v>
          </cell>
          <cell r="I452">
            <v>2000</v>
          </cell>
          <cell r="J452" t="str">
            <v>R</v>
          </cell>
          <cell r="K452" t="str">
            <v>CO</v>
          </cell>
          <cell r="L452" t="str">
            <v>KE</v>
          </cell>
          <cell r="Y452">
            <v>0</v>
          </cell>
          <cell r="Z452">
            <v>0</v>
          </cell>
          <cell r="AA452">
            <v>0</v>
          </cell>
          <cell r="AB452">
            <v>0</v>
          </cell>
          <cell r="AC452">
            <v>0</v>
          </cell>
          <cell r="AF452">
            <v>0</v>
          </cell>
        </row>
        <row r="453">
          <cell r="B453" t="str">
            <v>CO-KN-A99M306</v>
          </cell>
          <cell r="C453" t="str">
            <v>CO-A99M306</v>
          </cell>
          <cell r="D453" t="str">
            <v>CO-KN</v>
          </cell>
          <cell r="E453" t="str">
            <v>DIV-CO-KN</v>
          </cell>
          <cell r="F453" t="str">
            <v>DIV-KN</v>
          </cell>
          <cell r="G453" t="str">
            <v>A99M306</v>
          </cell>
          <cell r="H453" t="str">
            <v>DIV</v>
          </cell>
          <cell r="I453">
            <v>2000</v>
          </cell>
          <cell r="J453" t="str">
            <v>R</v>
          </cell>
          <cell r="K453" t="str">
            <v>CO</v>
          </cell>
          <cell r="L453" t="str">
            <v>KN</v>
          </cell>
          <cell r="Y453">
            <v>0</v>
          </cell>
          <cell r="Z453">
            <v>0</v>
          </cell>
          <cell r="AA453">
            <v>0</v>
          </cell>
          <cell r="AB453">
            <v>0</v>
          </cell>
          <cell r="AC453">
            <v>0</v>
          </cell>
          <cell r="AF453">
            <v>0</v>
          </cell>
        </row>
        <row r="454">
          <cell r="B454" t="str">
            <v>IN-KE-A99M306</v>
          </cell>
          <cell r="C454" t="str">
            <v>IN-A99M306</v>
          </cell>
          <cell r="D454" t="str">
            <v>IN-KE</v>
          </cell>
          <cell r="E454" t="str">
            <v>DIV-IN-KE</v>
          </cell>
          <cell r="F454" t="str">
            <v>DIV-KE</v>
          </cell>
          <cell r="G454" t="str">
            <v>A99M306</v>
          </cell>
          <cell r="H454" t="str">
            <v>DIV</v>
          </cell>
          <cell r="I454">
            <v>2000</v>
          </cell>
          <cell r="J454" t="str">
            <v>R</v>
          </cell>
          <cell r="K454" t="str">
            <v>IN</v>
          </cell>
          <cell r="L454" t="str">
            <v>KE</v>
          </cell>
          <cell r="Y454">
            <v>0</v>
          </cell>
          <cell r="Z454">
            <v>0</v>
          </cell>
          <cell r="AA454">
            <v>0</v>
          </cell>
          <cell r="AB454">
            <v>0</v>
          </cell>
          <cell r="AC454">
            <v>0</v>
          </cell>
          <cell r="AF454">
            <v>0</v>
          </cell>
        </row>
        <row r="455">
          <cell r="B455" t="str">
            <v>IN-KN-A99M306</v>
          </cell>
          <cell r="C455" t="str">
            <v>IN-A99M306</v>
          </cell>
          <cell r="D455" t="str">
            <v>IN-KN</v>
          </cell>
          <cell r="E455" t="str">
            <v>DIV-IN-KN</v>
          </cell>
          <cell r="F455" t="str">
            <v>DIV-KN</v>
          </cell>
          <cell r="G455" t="str">
            <v>A99M306</v>
          </cell>
          <cell r="H455" t="str">
            <v>DIV</v>
          </cell>
          <cell r="I455">
            <v>2000</v>
          </cell>
          <cell r="J455" t="str">
            <v>R</v>
          </cell>
          <cell r="K455" t="str">
            <v>IN</v>
          </cell>
          <cell r="L455" t="str">
            <v>KN</v>
          </cell>
          <cell r="Y455">
            <v>0</v>
          </cell>
          <cell r="Z455">
            <v>0</v>
          </cell>
          <cell r="AA455">
            <v>0</v>
          </cell>
          <cell r="AB455">
            <v>0</v>
          </cell>
          <cell r="AC455">
            <v>0</v>
          </cell>
          <cell r="AF455">
            <v>0</v>
          </cell>
        </row>
        <row r="456">
          <cell r="B456" t="str">
            <v>AD-KE-A99M307</v>
          </cell>
          <cell r="C456" t="str">
            <v>AD-A99M307</v>
          </cell>
          <cell r="D456" t="str">
            <v>AD-KE</v>
          </cell>
          <cell r="E456" t="str">
            <v>DIV-AD-KE</v>
          </cell>
          <cell r="F456" t="str">
            <v>DIV-KE</v>
          </cell>
          <cell r="G456" t="str">
            <v>A99M307</v>
          </cell>
          <cell r="H456" t="str">
            <v>DIV</v>
          </cell>
          <cell r="I456">
            <v>2000</v>
          </cell>
          <cell r="J456" t="str">
            <v>R</v>
          </cell>
          <cell r="K456" t="str">
            <v>AD</v>
          </cell>
          <cell r="L456" t="str">
            <v>KE</v>
          </cell>
          <cell r="Y456">
            <v>0</v>
          </cell>
          <cell r="Z456">
            <v>0</v>
          </cell>
          <cell r="AA456">
            <v>0</v>
          </cell>
          <cell r="AB456">
            <v>0</v>
          </cell>
          <cell r="AC456">
            <v>0</v>
          </cell>
          <cell r="AF456">
            <v>0</v>
          </cell>
        </row>
        <row r="457">
          <cell r="B457" t="str">
            <v>AD-KN-A99M307</v>
          </cell>
          <cell r="C457" t="str">
            <v>AD-A99M307</v>
          </cell>
          <cell r="D457" t="str">
            <v>AD-KN</v>
          </cell>
          <cell r="E457" t="str">
            <v>DIV-AD-KN</v>
          </cell>
          <cell r="F457" t="str">
            <v>DIV-KN</v>
          </cell>
          <cell r="G457" t="str">
            <v>A99M307</v>
          </cell>
          <cell r="H457" t="str">
            <v>DIV</v>
          </cell>
          <cell r="I457">
            <v>2000</v>
          </cell>
          <cell r="J457" t="str">
            <v>R</v>
          </cell>
          <cell r="K457" t="str">
            <v>AD</v>
          </cell>
          <cell r="L457" t="str">
            <v>KN</v>
          </cell>
          <cell r="Y457">
            <v>0</v>
          </cell>
          <cell r="Z457">
            <v>0</v>
          </cell>
          <cell r="AA457">
            <v>0</v>
          </cell>
          <cell r="AB457">
            <v>0</v>
          </cell>
          <cell r="AC457">
            <v>0</v>
          </cell>
          <cell r="AF457">
            <v>0</v>
          </cell>
        </row>
        <row r="458">
          <cell r="B458" t="str">
            <v>CO-KE-A99M307</v>
          </cell>
          <cell r="C458" t="str">
            <v>CO-A99M307</v>
          </cell>
          <cell r="D458" t="str">
            <v>CO-KE</v>
          </cell>
          <cell r="E458" t="str">
            <v>DIV-CO-KE</v>
          </cell>
          <cell r="F458" t="str">
            <v>DIV-KE</v>
          </cell>
          <cell r="G458" t="str">
            <v>A99M307</v>
          </cell>
          <cell r="H458" t="str">
            <v>DIV</v>
          </cell>
          <cell r="I458">
            <v>2000</v>
          </cell>
          <cell r="J458" t="str">
            <v>R</v>
          </cell>
          <cell r="K458" t="str">
            <v>CO</v>
          </cell>
          <cell r="L458" t="str">
            <v>KE</v>
          </cell>
          <cell r="Y458">
            <v>0</v>
          </cell>
          <cell r="Z458">
            <v>0</v>
          </cell>
          <cell r="AA458">
            <v>0</v>
          </cell>
          <cell r="AB458">
            <v>0</v>
          </cell>
          <cell r="AC458">
            <v>0</v>
          </cell>
          <cell r="AF458">
            <v>0</v>
          </cell>
        </row>
        <row r="459">
          <cell r="B459" t="str">
            <v>CO-KN-A99M307</v>
          </cell>
          <cell r="C459" t="str">
            <v>CO-A99M307</v>
          </cell>
          <cell r="D459" t="str">
            <v>CO-KN</v>
          </cell>
          <cell r="E459" t="str">
            <v>DIV-CO-KN</v>
          </cell>
          <cell r="F459" t="str">
            <v>DIV-KN</v>
          </cell>
          <cell r="G459" t="str">
            <v>A99M307</v>
          </cell>
          <cell r="H459" t="str">
            <v>DIV</v>
          </cell>
          <cell r="I459">
            <v>2000</v>
          </cell>
          <cell r="J459" t="str">
            <v>R</v>
          </cell>
          <cell r="K459" t="str">
            <v>CO</v>
          </cell>
          <cell r="L459" t="str">
            <v>KN</v>
          </cell>
          <cell r="Y459">
            <v>0</v>
          </cell>
          <cell r="Z459">
            <v>0</v>
          </cell>
          <cell r="AA459">
            <v>0</v>
          </cell>
          <cell r="AB459">
            <v>0</v>
          </cell>
          <cell r="AC459">
            <v>0</v>
          </cell>
          <cell r="AF459">
            <v>0</v>
          </cell>
        </row>
        <row r="460">
          <cell r="B460" t="str">
            <v>IN-KE-A99M307</v>
          </cell>
          <cell r="C460" t="str">
            <v>IN-A99M307</v>
          </cell>
          <cell r="D460" t="str">
            <v>IN-KE</v>
          </cell>
          <cell r="E460" t="str">
            <v>DIV-IN-KE</v>
          </cell>
          <cell r="F460" t="str">
            <v>DIV-KE</v>
          </cell>
          <cell r="G460" t="str">
            <v>A99M307</v>
          </cell>
          <cell r="H460" t="str">
            <v>DIV</v>
          </cell>
          <cell r="I460">
            <v>2000</v>
          </cell>
          <cell r="J460" t="str">
            <v>R</v>
          </cell>
          <cell r="K460" t="str">
            <v>IN</v>
          </cell>
          <cell r="L460" t="str">
            <v>KE</v>
          </cell>
          <cell r="Y460">
            <v>0</v>
          </cell>
          <cell r="Z460">
            <v>0</v>
          </cell>
          <cell r="AA460">
            <v>0</v>
          </cell>
          <cell r="AB460">
            <v>0</v>
          </cell>
          <cell r="AC460">
            <v>0</v>
          </cell>
          <cell r="AF460">
            <v>0</v>
          </cell>
        </row>
        <row r="461">
          <cell r="B461" t="str">
            <v>IN-KN-A99M307</v>
          </cell>
          <cell r="C461" t="str">
            <v>IN-A99M307</v>
          </cell>
          <cell r="D461" t="str">
            <v>IN-KN</v>
          </cell>
          <cell r="E461" t="str">
            <v>DIV-IN-KN</v>
          </cell>
          <cell r="F461" t="str">
            <v>DIV-KN</v>
          </cell>
          <cell r="G461" t="str">
            <v>A99M307</v>
          </cell>
          <cell r="H461" t="str">
            <v>DIV</v>
          </cell>
          <cell r="I461">
            <v>2000</v>
          </cell>
          <cell r="J461" t="str">
            <v>R</v>
          </cell>
          <cell r="K461" t="str">
            <v>IN</v>
          </cell>
          <cell r="L461" t="str">
            <v>KN</v>
          </cell>
          <cell r="Y461">
            <v>0</v>
          </cell>
          <cell r="Z461">
            <v>0</v>
          </cell>
          <cell r="AA461">
            <v>0</v>
          </cell>
          <cell r="AB461">
            <v>0</v>
          </cell>
          <cell r="AC461">
            <v>0</v>
          </cell>
          <cell r="AF461">
            <v>0</v>
          </cell>
        </row>
        <row r="462">
          <cell r="B462" t="str">
            <v>AD-KE-A99M309</v>
          </cell>
          <cell r="C462" t="str">
            <v>AD-A99M309</v>
          </cell>
          <cell r="D462" t="str">
            <v>AD-KE</v>
          </cell>
          <cell r="E462" t="str">
            <v>DIV-AD-KE</v>
          </cell>
          <cell r="F462" t="str">
            <v>DIV-KE</v>
          </cell>
          <cell r="G462" t="str">
            <v>A99M309</v>
          </cell>
          <cell r="H462" t="str">
            <v>DIV</v>
          </cell>
          <cell r="I462">
            <v>2000</v>
          </cell>
          <cell r="J462" t="str">
            <v>R</v>
          </cell>
          <cell r="K462" t="str">
            <v>AD</v>
          </cell>
          <cell r="L462" t="str">
            <v>KE</v>
          </cell>
          <cell r="Y462">
            <v>0</v>
          </cell>
          <cell r="Z462">
            <v>0</v>
          </cell>
          <cell r="AA462">
            <v>0</v>
          </cell>
          <cell r="AB462">
            <v>0</v>
          </cell>
          <cell r="AC462">
            <v>0</v>
          </cell>
          <cell r="AF462">
            <v>0</v>
          </cell>
        </row>
        <row r="463">
          <cell r="B463" t="str">
            <v>AD-KN-A99M309</v>
          </cell>
          <cell r="C463" t="str">
            <v>AD-A99M309</v>
          </cell>
          <cell r="D463" t="str">
            <v>AD-KN</v>
          </cell>
          <cell r="E463" t="str">
            <v>DIV-AD-KN</v>
          </cell>
          <cell r="F463" t="str">
            <v>DIV-KN</v>
          </cell>
          <cell r="G463" t="str">
            <v>A99M309</v>
          </cell>
          <cell r="H463" t="str">
            <v>DIV</v>
          </cell>
          <cell r="I463">
            <v>2000</v>
          </cell>
          <cell r="J463" t="str">
            <v>R</v>
          </cell>
          <cell r="K463" t="str">
            <v>AD</v>
          </cell>
          <cell r="L463" t="str">
            <v>KN</v>
          </cell>
          <cell r="Y463">
            <v>0</v>
          </cell>
          <cell r="Z463">
            <v>0</v>
          </cell>
          <cell r="AA463">
            <v>0</v>
          </cell>
          <cell r="AB463">
            <v>0</v>
          </cell>
          <cell r="AC463">
            <v>0</v>
          </cell>
          <cell r="AF463">
            <v>0</v>
          </cell>
        </row>
        <row r="464">
          <cell r="B464" t="str">
            <v>CO-KE-A99M309</v>
          </cell>
          <cell r="C464" t="str">
            <v>CO-A99M309</v>
          </cell>
          <cell r="D464" t="str">
            <v>CO-KE</v>
          </cell>
          <cell r="E464" t="str">
            <v>DIV-CO-KE</v>
          </cell>
          <cell r="F464" t="str">
            <v>DIV-KE</v>
          </cell>
          <cell r="G464" t="str">
            <v>A99M309</v>
          </cell>
          <cell r="H464" t="str">
            <v>DIV</v>
          </cell>
          <cell r="I464">
            <v>2000</v>
          </cell>
          <cell r="J464" t="str">
            <v>R</v>
          </cell>
          <cell r="K464" t="str">
            <v>CO</v>
          </cell>
          <cell r="L464" t="str">
            <v>KE</v>
          </cell>
          <cell r="Y464">
            <v>0</v>
          </cell>
          <cell r="Z464">
            <v>0</v>
          </cell>
          <cell r="AA464">
            <v>0</v>
          </cell>
          <cell r="AB464">
            <v>0</v>
          </cell>
          <cell r="AC464">
            <v>0</v>
          </cell>
          <cell r="AF464">
            <v>0</v>
          </cell>
        </row>
        <row r="465">
          <cell r="B465" t="str">
            <v>CO-KN-A99M309</v>
          </cell>
          <cell r="C465" t="str">
            <v>CO-A99M309</v>
          </cell>
          <cell r="D465" t="str">
            <v>CO-KN</v>
          </cell>
          <cell r="E465" t="str">
            <v>DIV-CO-KN</v>
          </cell>
          <cell r="F465" t="str">
            <v>DIV-KN</v>
          </cell>
          <cell r="G465" t="str">
            <v>A99M309</v>
          </cell>
          <cell r="H465" t="str">
            <v>DIV</v>
          </cell>
          <cell r="I465">
            <v>2000</v>
          </cell>
          <cell r="J465" t="str">
            <v>R</v>
          </cell>
          <cell r="K465" t="str">
            <v>CO</v>
          </cell>
          <cell r="L465" t="str">
            <v>KN</v>
          </cell>
          <cell r="Y465">
            <v>0</v>
          </cell>
          <cell r="Z465">
            <v>0</v>
          </cell>
          <cell r="AA465">
            <v>0</v>
          </cell>
          <cell r="AB465">
            <v>0</v>
          </cell>
          <cell r="AC465">
            <v>0</v>
          </cell>
          <cell r="AF465">
            <v>0</v>
          </cell>
        </row>
        <row r="466">
          <cell r="B466" t="str">
            <v>IN-KE-A99M309</v>
          </cell>
          <cell r="C466" t="str">
            <v>IN-A99M309</v>
          </cell>
          <cell r="D466" t="str">
            <v>IN-KE</v>
          </cell>
          <cell r="E466" t="str">
            <v>DIV-IN-KE</v>
          </cell>
          <cell r="F466" t="str">
            <v>DIV-KE</v>
          </cell>
          <cell r="G466" t="str">
            <v>A99M309</v>
          </cell>
          <cell r="H466" t="str">
            <v>DIV</v>
          </cell>
          <cell r="I466">
            <v>2000</v>
          </cell>
          <cell r="J466" t="str">
            <v>R</v>
          </cell>
          <cell r="K466" t="str">
            <v>IN</v>
          </cell>
          <cell r="L466" t="str">
            <v>KE</v>
          </cell>
          <cell r="Y466">
            <v>0</v>
          </cell>
          <cell r="Z466">
            <v>0</v>
          </cell>
          <cell r="AA466">
            <v>0</v>
          </cell>
          <cell r="AB466">
            <v>0</v>
          </cell>
          <cell r="AC466">
            <v>0</v>
          </cell>
          <cell r="AF466">
            <v>0</v>
          </cell>
        </row>
        <row r="467">
          <cell r="B467" t="str">
            <v>IN-KN-A99M309</v>
          </cell>
          <cell r="C467" t="str">
            <v>IN-A99M309</v>
          </cell>
          <cell r="D467" t="str">
            <v>IN-KN</v>
          </cell>
          <cell r="E467" t="str">
            <v>DIV-IN-KN</v>
          </cell>
          <cell r="F467" t="str">
            <v>DIV-KN</v>
          </cell>
          <cell r="G467" t="str">
            <v>A99M309</v>
          </cell>
          <cell r="H467" t="str">
            <v>DIV</v>
          </cell>
          <cell r="I467">
            <v>2000</v>
          </cell>
          <cell r="J467" t="str">
            <v>R</v>
          </cell>
          <cell r="K467" t="str">
            <v>IN</v>
          </cell>
          <cell r="L467" t="str">
            <v>KN</v>
          </cell>
          <cell r="Y467">
            <v>0</v>
          </cell>
          <cell r="Z467">
            <v>0</v>
          </cell>
          <cell r="AA467">
            <v>0</v>
          </cell>
          <cell r="AB467">
            <v>0</v>
          </cell>
          <cell r="AC467">
            <v>0</v>
          </cell>
          <cell r="AF467">
            <v>0</v>
          </cell>
        </row>
        <row r="468">
          <cell r="B468" t="str">
            <v>AD-KE-A99M310</v>
          </cell>
          <cell r="C468" t="str">
            <v>AD-A99M310</v>
          </cell>
          <cell r="D468" t="str">
            <v>AD-KE</v>
          </cell>
          <cell r="E468" t="str">
            <v>DIV-AD-KE</v>
          </cell>
          <cell r="F468" t="str">
            <v>DIV-KE</v>
          </cell>
          <cell r="G468" t="str">
            <v>A99M310</v>
          </cell>
          <cell r="H468" t="str">
            <v>DIV</v>
          </cell>
          <cell r="I468">
            <v>2000</v>
          </cell>
          <cell r="J468" t="str">
            <v>R</v>
          </cell>
          <cell r="K468" t="str">
            <v>AD</v>
          </cell>
          <cell r="L468" t="str">
            <v>KE</v>
          </cell>
          <cell r="Y468">
            <v>0</v>
          </cell>
          <cell r="Z468">
            <v>0</v>
          </cell>
          <cell r="AA468">
            <v>0</v>
          </cell>
          <cell r="AB468">
            <v>0</v>
          </cell>
          <cell r="AC468">
            <v>0</v>
          </cell>
          <cell r="AF468">
            <v>0</v>
          </cell>
        </row>
        <row r="469">
          <cell r="B469" t="str">
            <v>AD-KN-A99M310</v>
          </cell>
          <cell r="C469" t="str">
            <v>AD-A99M310</v>
          </cell>
          <cell r="D469" t="str">
            <v>AD-KN</v>
          </cell>
          <cell r="E469" t="str">
            <v>DIV-AD-KN</v>
          </cell>
          <cell r="F469" t="str">
            <v>DIV-KN</v>
          </cell>
          <cell r="G469" t="str">
            <v>A99M310</v>
          </cell>
          <cell r="H469" t="str">
            <v>DIV</v>
          </cell>
          <cell r="I469">
            <v>2000</v>
          </cell>
          <cell r="J469" t="str">
            <v>R</v>
          </cell>
          <cell r="K469" t="str">
            <v>AD</v>
          </cell>
          <cell r="L469" t="str">
            <v>KN</v>
          </cell>
          <cell r="Y469">
            <v>0</v>
          </cell>
          <cell r="Z469">
            <v>0</v>
          </cell>
          <cell r="AA469">
            <v>0</v>
          </cell>
          <cell r="AB469">
            <v>0</v>
          </cell>
          <cell r="AC469">
            <v>0</v>
          </cell>
          <cell r="AF469">
            <v>0</v>
          </cell>
        </row>
        <row r="470">
          <cell r="B470" t="str">
            <v>CO-KE-A99M310</v>
          </cell>
          <cell r="C470" t="str">
            <v>CO-A99M310</v>
          </cell>
          <cell r="D470" t="str">
            <v>CO-KE</v>
          </cell>
          <cell r="E470" t="str">
            <v>DIV-CO-KE</v>
          </cell>
          <cell r="F470" t="str">
            <v>DIV-KE</v>
          </cell>
          <cell r="G470" t="str">
            <v>A99M310</v>
          </cell>
          <cell r="H470" t="str">
            <v>DIV</v>
          </cell>
          <cell r="I470">
            <v>2000</v>
          </cell>
          <cell r="J470" t="str">
            <v>R</v>
          </cell>
          <cell r="K470" t="str">
            <v>CO</v>
          </cell>
          <cell r="L470" t="str">
            <v>KE</v>
          </cell>
          <cell r="Y470">
            <v>0</v>
          </cell>
          <cell r="Z470">
            <v>0</v>
          </cell>
          <cell r="AA470">
            <v>0</v>
          </cell>
          <cell r="AB470">
            <v>0</v>
          </cell>
          <cell r="AC470">
            <v>0</v>
          </cell>
          <cell r="AF470">
            <v>0</v>
          </cell>
        </row>
        <row r="471">
          <cell r="B471" t="str">
            <v>CO-KN-A99M310</v>
          </cell>
          <cell r="C471" t="str">
            <v>CO-A99M310</v>
          </cell>
          <cell r="D471" t="str">
            <v>CO-KN</v>
          </cell>
          <cell r="E471" t="str">
            <v>DIV-CO-KN</v>
          </cell>
          <cell r="F471" t="str">
            <v>DIV-KN</v>
          </cell>
          <cell r="G471" t="str">
            <v>A99M310</v>
          </cell>
          <cell r="H471" t="str">
            <v>DIV</v>
          </cell>
          <cell r="I471">
            <v>2000</v>
          </cell>
          <cell r="J471" t="str">
            <v>R</v>
          </cell>
          <cell r="K471" t="str">
            <v>CO</v>
          </cell>
          <cell r="L471" t="str">
            <v>KN</v>
          </cell>
          <cell r="Y471">
            <v>0</v>
          </cell>
          <cell r="Z471">
            <v>0</v>
          </cell>
          <cell r="AA471">
            <v>0</v>
          </cell>
          <cell r="AB471">
            <v>0</v>
          </cell>
          <cell r="AC471">
            <v>0</v>
          </cell>
          <cell r="AF471">
            <v>0</v>
          </cell>
        </row>
        <row r="472">
          <cell r="B472" t="str">
            <v>IN-KE-A99M310</v>
          </cell>
          <cell r="C472" t="str">
            <v>IN-A99M310</v>
          </cell>
          <cell r="D472" t="str">
            <v>IN-KE</v>
          </cell>
          <cell r="E472" t="str">
            <v>DIV-IN-KE</v>
          </cell>
          <cell r="F472" t="str">
            <v>DIV-KE</v>
          </cell>
          <cell r="G472" t="str">
            <v>A99M310</v>
          </cell>
          <cell r="H472" t="str">
            <v>DIV</v>
          </cell>
          <cell r="I472">
            <v>2000</v>
          </cell>
          <cell r="J472" t="str">
            <v>R</v>
          </cell>
          <cell r="K472" t="str">
            <v>IN</v>
          </cell>
          <cell r="L472" t="str">
            <v>KE</v>
          </cell>
          <cell r="Y472">
            <v>0</v>
          </cell>
          <cell r="Z472">
            <v>0</v>
          </cell>
          <cell r="AA472">
            <v>0</v>
          </cell>
          <cell r="AB472">
            <v>0</v>
          </cell>
          <cell r="AC472">
            <v>0</v>
          </cell>
          <cell r="AF472">
            <v>0</v>
          </cell>
        </row>
        <row r="473">
          <cell r="B473" t="str">
            <v>IN-KN-A99M310</v>
          </cell>
          <cell r="C473" t="str">
            <v>IN-A99M310</v>
          </cell>
          <cell r="D473" t="str">
            <v>IN-KN</v>
          </cell>
          <cell r="E473" t="str">
            <v>DIV-IN-KN</v>
          </cell>
          <cell r="F473" t="str">
            <v>DIV-KN</v>
          </cell>
          <cell r="G473" t="str">
            <v>A99M310</v>
          </cell>
          <cell r="H473" t="str">
            <v>DIV</v>
          </cell>
          <cell r="I473">
            <v>2000</v>
          </cell>
          <cell r="J473" t="str">
            <v>R</v>
          </cell>
          <cell r="K473" t="str">
            <v>IN</v>
          </cell>
          <cell r="L473" t="str">
            <v>KN</v>
          </cell>
          <cell r="Y473">
            <v>0</v>
          </cell>
          <cell r="Z473">
            <v>0</v>
          </cell>
          <cell r="AA473">
            <v>0</v>
          </cell>
          <cell r="AB473">
            <v>0</v>
          </cell>
          <cell r="AC473">
            <v>0</v>
          </cell>
          <cell r="AF473">
            <v>0</v>
          </cell>
        </row>
        <row r="474">
          <cell r="B474" t="str">
            <v>AD-KE-A99M312</v>
          </cell>
          <cell r="C474" t="str">
            <v>AD-A99M312</v>
          </cell>
          <cell r="D474" t="str">
            <v>AD-KE</v>
          </cell>
          <cell r="E474" t="str">
            <v>DIV-AD-KE</v>
          </cell>
          <cell r="F474" t="str">
            <v>DIV-KE</v>
          </cell>
          <cell r="G474" t="str">
            <v>A99M312</v>
          </cell>
          <cell r="H474" t="str">
            <v>DIV</v>
          </cell>
          <cell r="I474">
            <v>2000</v>
          </cell>
          <cell r="J474" t="str">
            <v>R</v>
          </cell>
          <cell r="K474" t="str">
            <v>AD</v>
          </cell>
          <cell r="L474" t="str">
            <v>KE</v>
          </cell>
          <cell r="Y474">
            <v>0</v>
          </cell>
          <cell r="Z474">
            <v>0</v>
          </cell>
          <cell r="AA474">
            <v>0</v>
          </cell>
          <cell r="AB474">
            <v>0</v>
          </cell>
          <cell r="AC474">
            <v>0</v>
          </cell>
          <cell r="AF474">
            <v>0</v>
          </cell>
        </row>
        <row r="475">
          <cell r="B475" t="str">
            <v>AD-KN-A99M312</v>
          </cell>
          <cell r="C475" t="str">
            <v>AD-A99M312</v>
          </cell>
          <cell r="D475" t="str">
            <v>AD-KN</v>
          </cell>
          <cell r="E475" t="str">
            <v>DIV-AD-KN</v>
          </cell>
          <cell r="F475" t="str">
            <v>DIV-KN</v>
          </cell>
          <cell r="G475" t="str">
            <v>A99M312</v>
          </cell>
          <cell r="H475" t="str">
            <v>DIV</v>
          </cell>
          <cell r="I475">
            <v>2000</v>
          </cell>
          <cell r="J475" t="str">
            <v>R</v>
          </cell>
          <cell r="K475" t="str">
            <v>AD</v>
          </cell>
          <cell r="L475" t="str">
            <v>KN</v>
          </cell>
          <cell r="Y475">
            <v>0</v>
          </cell>
          <cell r="Z475">
            <v>0</v>
          </cell>
          <cell r="AA475">
            <v>0</v>
          </cell>
          <cell r="AB475">
            <v>0</v>
          </cell>
          <cell r="AC475">
            <v>0</v>
          </cell>
          <cell r="AF475">
            <v>0</v>
          </cell>
        </row>
        <row r="476">
          <cell r="B476" t="str">
            <v>CO-KE-A99M312</v>
          </cell>
          <cell r="C476" t="str">
            <v>CO-A99M312</v>
          </cell>
          <cell r="D476" t="str">
            <v>CO-KE</v>
          </cell>
          <cell r="E476" t="str">
            <v>DIV-CO-KE</v>
          </cell>
          <cell r="F476" t="str">
            <v>DIV-KE</v>
          </cell>
          <cell r="G476" t="str">
            <v>A99M312</v>
          </cell>
          <cell r="H476" t="str">
            <v>DIV</v>
          </cell>
          <cell r="I476">
            <v>2000</v>
          </cell>
          <cell r="J476" t="str">
            <v>R</v>
          </cell>
          <cell r="K476" t="str">
            <v>CO</v>
          </cell>
          <cell r="L476" t="str">
            <v>KE</v>
          </cell>
          <cell r="Y476">
            <v>0</v>
          </cell>
          <cell r="Z476">
            <v>0</v>
          </cell>
          <cell r="AA476">
            <v>0</v>
          </cell>
          <cell r="AB476">
            <v>0</v>
          </cell>
          <cell r="AC476">
            <v>0</v>
          </cell>
          <cell r="AF476">
            <v>0</v>
          </cell>
        </row>
        <row r="477">
          <cell r="B477" t="str">
            <v>CO-KN-A99M312</v>
          </cell>
          <cell r="C477" t="str">
            <v>CO-A99M312</v>
          </cell>
          <cell r="D477" t="str">
            <v>CO-KN</v>
          </cell>
          <cell r="E477" t="str">
            <v>DIV-CO-KN</v>
          </cell>
          <cell r="F477" t="str">
            <v>DIV-KN</v>
          </cell>
          <cell r="G477" t="str">
            <v>A99M312</v>
          </cell>
          <cell r="H477" t="str">
            <v>DIV</v>
          </cell>
          <cell r="I477">
            <v>2000</v>
          </cell>
          <cell r="J477" t="str">
            <v>R</v>
          </cell>
          <cell r="K477" t="str">
            <v>CO</v>
          </cell>
          <cell r="L477" t="str">
            <v>KN</v>
          </cell>
          <cell r="Y477">
            <v>0</v>
          </cell>
          <cell r="Z477">
            <v>0</v>
          </cell>
          <cell r="AA477">
            <v>0</v>
          </cell>
          <cell r="AB477">
            <v>0</v>
          </cell>
          <cell r="AC477">
            <v>0</v>
          </cell>
          <cell r="AF477">
            <v>0</v>
          </cell>
        </row>
        <row r="478">
          <cell r="B478" t="str">
            <v>IN-KE-A99M312</v>
          </cell>
          <cell r="C478" t="str">
            <v>IN-A99M312</v>
          </cell>
          <cell r="D478" t="str">
            <v>IN-KE</v>
          </cell>
          <cell r="E478" t="str">
            <v>DIV-IN-KE</v>
          </cell>
          <cell r="F478" t="str">
            <v>DIV-KE</v>
          </cell>
          <cell r="G478" t="str">
            <v>A99M312</v>
          </cell>
          <cell r="H478" t="str">
            <v>DIV</v>
          </cell>
          <cell r="I478">
            <v>2000</v>
          </cell>
          <cell r="J478" t="str">
            <v>R</v>
          </cell>
          <cell r="K478" t="str">
            <v>IN</v>
          </cell>
          <cell r="L478" t="str">
            <v>KE</v>
          </cell>
          <cell r="Y478">
            <v>0</v>
          </cell>
          <cell r="Z478">
            <v>0</v>
          </cell>
          <cell r="AA478">
            <v>0</v>
          </cell>
          <cell r="AB478">
            <v>0</v>
          </cell>
          <cell r="AC478">
            <v>0</v>
          </cell>
          <cell r="AF478">
            <v>0</v>
          </cell>
        </row>
        <row r="479">
          <cell r="B479" t="str">
            <v>IN-KN-A99M312</v>
          </cell>
          <cell r="C479" t="str">
            <v>IN-A99M312</v>
          </cell>
          <cell r="D479" t="str">
            <v>IN-KN</v>
          </cell>
          <cell r="E479" t="str">
            <v>DIV-IN-KN</v>
          </cell>
          <cell r="F479" t="str">
            <v>DIV-KN</v>
          </cell>
          <cell r="G479" t="str">
            <v>A99M312</v>
          </cell>
          <cell r="H479" t="str">
            <v>DIV</v>
          </cell>
          <cell r="I479">
            <v>2000</v>
          </cell>
          <cell r="J479" t="str">
            <v>R</v>
          </cell>
          <cell r="K479" t="str">
            <v>IN</v>
          </cell>
          <cell r="L479" t="str">
            <v>KN</v>
          </cell>
          <cell r="Y479">
            <v>0</v>
          </cell>
          <cell r="Z479">
            <v>0</v>
          </cell>
          <cell r="AA479">
            <v>0</v>
          </cell>
          <cell r="AB479">
            <v>0</v>
          </cell>
          <cell r="AC479">
            <v>0</v>
          </cell>
          <cell r="AF479">
            <v>0</v>
          </cell>
        </row>
        <row r="480">
          <cell r="B480" t="str">
            <v>AD-KE-A99M314</v>
          </cell>
          <cell r="C480" t="str">
            <v>AD-A99M314</v>
          </cell>
          <cell r="D480" t="str">
            <v>AD-KE</v>
          </cell>
          <cell r="E480" t="str">
            <v>DIV-AD-KE</v>
          </cell>
          <cell r="F480" t="str">
            <v>DIV-KE</v>
          </cell>
          <cell r="G480" t="str">
            <v>A99M314</v>
          </cell>
          <cell r="H480" t="str">
            <v>DIV</v>
          </cell>
          <cell r="I480">
            <v>2000</v>
          </cell>
          <cell r="J480" t="str">
            <v>R</v>
          </cell>
          <cell r="K480" t="str">
            <v>AD</v>
          </cell>
          <cell r="L480" t="str">
            <v>KE</v>
          </cell>
          <cell r="Y480">
            <v>0</v>
          </cell>
          <cell r="Z480">
            <v>0</v>
          </cell>
          <cell r="AA480">
            <v>0</v>
          </cell>
          <cell r="AB480">
            <v>0</v>
          </cell>
          <cell r="AC480">
            <v>0</v>
          </cell>
          <cell r="AF480">
            <v>0</v>
          </cell>
        </row>
        <row r="481">
          <cell r="B481" t="str">
            <v>AD-KN-A99M314</v>
          </cell>
          <cell r="C481" t="str">
            <v>AD-A99M314</v>
          </cell>
          <cell r="D481" t="str">
            <v>AD-KN</v>
          </cell>
          <cell r="E481" t="str">
            <v>DIV-AD-KN</v>
          </cell>
          <cell r="F481" t="str">
            <v>DIV-KN</v>
          </cell>
          <cell r="G481" t="str">
            <v>A99M314</v>
          </cell>
          <cell r="H481" t="str">
            <v>DIV</v>
          </cell>
          <cell r="I481">
            <v>2000</v>
          </cell>
          <cell r="J481" t="str">
            <v>R</v>
          </cell>
          <cell r="K481" t="str">
            <v>AD</v>
          </cell>
          <cell r="L481" t="str">
            <v>KN</v>
          </cell>
          <cell r="Y481">
            <v>0</v>
          </cell>
          <cell r="Z481">
            <v>0</v>
          </cell>
          <cell r="AA481">
            <v>0</v>
          </cell>
          <cell r="AB481">
            <v>0</v>
          </cell>
          <cell r="AC481">
            <v>0</v>
          </cell>
          <cell r="AF481">
            <v>0</v>
          </cell>
        </row>
        <row r="482">
          <cell r="B482" t="str">
            <v>CO-KE-A99M314</v>
          </cell>
          <cell r="C482" t="str">
            <v>CO-A99M314</v>
          </cell>
          <cell r="D482" t="str">
            <v>CO-KE</v>
          </cell>
          <cell r="E482" t="str">
            <v>DIV-CO-KE</v>
          </cell>
          <cell r="F482" t="str">
            <v>DIV-KE</v>
          </cell>
          <cell r="G482" t="str">
            <v>A99M314</v>
          </cell>
          <cell r="H482" t="str">
            <v>DIV</v>
          </cell>
          <cell r="I482">
            <v>2000</v>
          </cell>
          <cell r="J482" t="str">
            <v>R</v>
          </cell>
          <cell r="K482" t="str">
            <v>CO</v>
          </cell>
          <cell r="L482" t="str">
            <v>KE</v>
          </cell>
          <cell r="Y482">
            <v>0</v>
          </cell>
          <cell r="Z482">
            <v>0</v>
          </cell>
          <cell r="AA482">
            <v>0</v>
          </cell>
          <cell r="AB482">
            <v>0</v>
          </cell>
          <cell r="AC482">
            <v>0</v>
          </cell>
          <cell r="AF482">
            <v>0</v>
          </cell>
        </row>
        <row r="483">
          <cell r="B483" t="str">
            <v>CO-KN-A99M314</v>
          </cell>
          <cell r="C483" t="str">
            <v>CO-A99M314</v>
          </cell>
          <cell r="D483" t="str">
            <v>CO-KN</v>
          </cell>
          <cell r="E483" t="str">
            <v>DIV-CO-KN</v>
          </cell>
          <cell r="F483" t="str">
            <v>DIV-KN</v>
          </cell>
          <cell r="G483" t="str">
            <v>A99M314</v>
          </cell>
          <cell r="H483" t="str">
            <v>DIV</v>
          </cell>
          <cell r="I483">
            <v>2000</v>
          </cell>
          <cell r="J483" t="str">
            <v>R</v>
          </cell>
          <cell r="K483" t="str">
            <v>CO</v>
          </cell>
          <cell r="L483" t="str">
            <v>KN</v>
          </cell>
          <cell r="Y483">
            <v>0</v>
          </cell>
          <cell r="Z483">
            <v>0</v>
          </cell>
          <cell r="AA483">
            <v>0</v>
          </cell>
          <cell r="AB483">
            <v>0</v>
          </cell>
          <cell r="AC483">
            <v>0</v>
          </cell>
          <cell r="AF483">
            <v>0</v>
          </cell>
        </row>
        <row r="484">
          <cell r="B484" t="str">
            <v>IN-KE-A99M314</v>
          </cell>
          <cell r="C484" t="str">
            <v>IN-A99M314</v>
          </cell>
          <cell r="D484" t="str">
            <v>IN-KE</v>
          </cell>
          <cell r="E484" t="str">
            <v>DIV-IN-KE</v>
          </cell>
          <cell r="F484" t="str">
            <v>DIV-KE</v>
          </cell>
          <cell r="G484" t="str">
            <v>A99M314</v>
          </cell>
          <cell r="H484" t="str">
            <v>DIV</v>
          </cell>
          <cell r="I484">
            <v>2000</v>
          </cell>
          <cell r="J484" t="str">
            <v>R</v>
          </cell>
          <cell r="K484" t="str">
            <v>IN</v>
          </cell>
          <cell r="L484" t="str">
            <v>KE</v>
          </cell>
          <cell r="Y484">
            <v>0</v>
          </cell>
          <cell r="Z484">
            <v>0</v>
          </cell>
          <cell r="AA484">
            <v>0</v>
          </cell>
          <cell r="AB484">
            <v>0</v>
          </cell>
          <cell r="AC484">
            <v>0</v>
          </cell>
          <cell r="AF484">
            <v>0</v>
          </cell>
        </row>
        <row r="485">
          <cell r="B485" t="str">
            <v>IN-KN-A99M314</v>
          </cell>
          <cell r="C485" t="str">
            <v>IN-A99M314</v>
          </cell>
          <cell r="D485" t="str">
            <v>IN-KN</v>
          </cell>
          <cell r="E485" t="str">
            <v>DIV-IN-KN</v>
          </cell>
          <cell r="F485" t="str">
            <v>DIV-KN</v>
          </cell>
          <cell r="G485" t="str">
            <v>A99M314</v>
          </cell>
          <cell r="H485" t="str">
            <v>DIV</v>
          </cell>
          <cell r="I485">
            <v>2000</v>
          </cell>
          <cell r="J485" t="str">
            <v>R</v>
          </cell>
          <cell r="K485" t="str">
            <v>IN</v>
          </cell>
          <cell r="L485" t="str">
            <v>KN</v>
          </cell>
          <cell r="Y485">
            <v>0</v>
          </cell>
          <cell r="Z485">
            <v>0</v>
          </cell>
          <cell r="AA485">
            <v>0</v>
          </cell>
          <cell r="AB485">
            <v>0</v>
          </cell>
          <cell r="AC485">
            <v>0</v>
          </cell>
          <cell r="AF485">
            <v>0</v>
          </cell>
        </row>
        <row r="486">
          <cell r="B486" t="str">
            <v>AD-KE-981002-1</v>
          </cell>
          <cell r="C486" t="str">
            <v>AD-981002-1</v>
          </cell>
          <cell r="D486" t="str">
            <v>AD-KE</v>
          </cell>
          <cell r="E486" t="str">
            <v>OTR-AD-KE</v>
          </cell>
          <cell r="F486" t="str">
            <v>OTR-KE</v>
          </cell>
          <cell r="G486" t="str">
            <v>981002-1</v>
          </cell>
          <cell r="H486" t="str">
            <v>OTR</v>
          </cell>
          <cell r="I486">
            <v>1999</v>
          </cell>
          <cell r="J486" t="str">
            <v>R</v>
          </cell>
          <cell r="K486" t="str">
            <v>AD</v>
          </cell>
          <cell r="L486" t="str">
            <v>KE</v>
          </cell>
          <cell r="Y486">
            <v>0</v>
          </cell>
          <cell r="Z486">
            <v>0</v>
          </cell>
          <cell r="AA486">
            <v>0</v>
          </cell>
          <cell r="AB486">
            <v>0</v>
          </cell>
          <cell r="AC486">
            <v>0</v>
          </cell>
          <cell r="AD486">
            <v>0</v>
          </cell>
          <cell r="AE486">
            <v>0</v>
          </cell>
          <cell r="AF486">
            <v>0</v>
          </cell>
        </row>
        <row r="487">
          <cell r="B487" t="str">
            <v>AD-KN-981002-1</v>
          </cell>
          <cell r="C487" t="str">
            <v>AD-981002-1</v>
          </cell>
          <cell r="D487" t="str">
            <v>AD-KN</v>
          </cell>
          <cell r="E487" t="str">
            <v>OTR-AD-KN</v>
          </cell>
          <cell r="F487" t="str">
            <v>OTR-KN</v>
          </cell>
          <cell r="G487" t="str">
            <v>981002-1</v>
          </cell>
          <cell r="H487" t="str">
            <v>OTR</v>
          </cell>
          <cell r="I487">
            <v>1999</v>
          </cell>
          <cell r="J487" t="str">
            <v>R</v>
          </cell>
          <cell r="K487" t="str">
            <v>AD</v>
          </cell>
          <cell r="L487" t="str">
            <v>KN</v>
          </cell>
          <cell r="Y487">
            <v>0</v>
          </cell>
          <cell r="Z487">
            <v>0</v>
          </cell>
          <cell r="AA487">
            <v>0</v>
          </cell>
          <cell r="AB487">
            <v>0</v>
          </cell>
          <cell r="AC487">
            <v>0</v>
          </cell>
          <cell r="AD487">
            <v>0</v>
          </cell>
          <cell r="AE487">
            <v>0</v>
          </cell>
          <cell r="AF487">
            <v>0</v>
          </cell>
        </row>
        <row r="488">
          <cell r="B488" t="str">
            <v>CO-KE-981002-1</v>
          </cell>
          <cell r="C488" t="str">
            <v>CO-981002-1</v>
          </cell>
          <cell r="D488" t="str">
            <v>CO-KE</v>
          </cell>
          <cell r="E488" t="str">
            <v>OTR-CO-KE</v>
          </cell>
          <cell r="F488" t="str">
            <v>OTR-KE</v>
          </cell>
          <cell r="G488" t="str">
            <v>981002-1</v>
          </cell>
          <cell r="H488" t="str">
            <v>OTR</v>
          </cell>
          <cell r="I488">
            <v>1999</v>
          </cell>
          <cell r="J488" t="str">
            <v>R</v>
          </cell>
          <cell r="K488" t="str">
            <v>CO</v>
          </cell>
          <cell r="L488" t="str">
            <v>KE</v>
          </cell>
          <cell r="Y488">
            <v>0</v>
          </cell>
          <cell r="Z488">
            <v>0</v>
          </cell>
          <cell r="AA488">
            <v>0</v>
          </cell>
          <cell r="AB488">
            <v>0</v>
          </cell>
          <cell r="AC488">
            <v>0</v>
          </cell>
          <cell r="AD488">
            <v>0</v>
          </cell>
          <cell r="AE488">
            <v>0</v>
          </cell>
          <cell r="AF488">
            <v>0</v>
          </cell>
        </row>
        <row r="489">
          <cell r="B489" t="str">
            <v>CO-KN-981002-1</v>
          </cell>
          <cell r="C489" t="str">
            <v>CO-981002-1</v>
          </cell>
          <cell r="D489" t="str">
            <v>CO-KN</v>
          </cell>
          <cell r="E489" t="str">
            <v>OTR-CO-KN</v>
          </cell>
          <cell r="F489" t="str">
            <v>OTR-KN</v>
          </cell>
          <cell r="G489" t="str">
            <v>981002-1</v>
          </cell>
          <cell r="H489" t="str">
            <v>OTR</v>
          </cell>
          <cell r="I489">
            <v>1999</v>
          </cell>
          <cell r="J489" t="str">
            <v>R</v>
          </cell>
          <cell r="K489" t="str">
            <v>CO</v>
          </cell>
          <cell r="L489" t="str">
            <v>KN</v>
          </cell>
          <cell r="Y489">
            <v>0</v>
          </cell>
          <cell r="Z489">
            <v>0</v>
          </cell>
          <cell r="AA489">
            <v>0</v>
          </cell>
          <cell r="AB489">
            <v>0</v>
          </cell>
          <cell r="AC489">
            <v>0</v>
          </cell>
          <cell r="AD489">
            <v>0</v>
          </cell>
          <cell r="AE489">
            <v>0</v>
          </cell>
          <cell r="AF489">
            <v>0</v>
          </cell>
        </row>
        <row r="490">
          <cell r="B490" t="str">
            <v>IN-KE-981002-1</v>
          </cell>
          <cell r="C490" t="str">
            <v>IN-981002-1</v>
          </cell>
          <cell r="D490" t="str">
            <v>IN-KE</v>
          </cell>
          <cell r="E490" t="str">
            <v>OTR-IN-KE</v>
          </cell>
          <cell r="F490" t="str">
            <v>OTR-KE</v>
          </cell>
          <cell r="G490" t="str">
            <v>981002-1</v>
          </cell>
          <cell r="H490" t="str">
            <v>OTR</v>
          </cell>
          <cell r="I490">
            <v>1999</v>
          </cell>
          <cell r="J490" t="str">
            <v>R</v>
          </cell>
          <cell r="K490" t="str">
            <v>IN</v>
          </cell>
          <cell r="L490" t="str">
            <v>KE</v>
          </cell>
          <cell r="Y490">
            <v>0</v>
          </cell>
          <cell r="Z490">
            <v>0</v>
          </cell>
          <cell r="AA490">
            <v>0</v>
          </cell>
          <cell r="AB490">
            <v>0</v>
          </cell>
          <cell r="AC490">
            <v>0</v>
          </cell>
          <cell r="AD490">
            <v>0</v>
          </cell>
          <cell r="AE490">
            <v>0</v>
          </cell>
          <cell r="AF490">
            <v>0</v>
          </cell>
        </row>
        <row r="491">
          <cell r="B491" t="str">
            <v>IN-KN-981002-1</v>
          </cell>
          <cell r="C491" t="str">
            <v>IN-981002-1</v>
          </cell>
          <cell r="D491" t="str">
            <v>IN-KN</v>
          </cell>
          <cell r="E491" t="str">
            <v>OTR-IN-KN</v>
          </cell>
          <cell r="F491" t="str">
            <v>OTR-KN</v>
          </cell>
          <cell r="G491" t="str">
            <v>981002-1</v>
          </cell>
          <cell r="H491" t="str">
            <v>OTR</v>
          </cell>
          <cell r="I491">
            <v>1999</v>
          </cell>
          <cell r="J491" t="str">
            <v>R</v>
          </cell>
          <cell r="K491" t="str">
            <v>IN</v>
          </cell>
          <cell r="L491" t="str">
            <v>KN</v>
          </cell>
          <cell r="Y491">
            <v>0</v>
          </cell>
          <cell r="Z491">
            <v>0</v>
          </cell>
          <cell r="AA491">
            <v>0</v>
          </cell>
          <cell r="AB491">
            <v>0</v>
          </cell>
          <cell r="AC491">
            <v>0</v>
          </cell>
          <cell r="AD491">
            <v>0</v>
          </cell>
          <cell r="AE491">
            <v>0</v>
          </cell>
          <cell r="AF491">
            <v>0</v>
          </cell>
        </row>
        <row r="492">
          <cell r="B492" t="str">
            <v>AD-KE-981501-1</v>
          </cell>
          <cell r="C492" t="str">
            <v>AD-981501-1</v>
          </cell>
          <cell r="D492" t="str">
            <v>AD-KE</v>
          </cell>
          <cell r="E492" t="str">
            <v>PRI-AD-KE</v>
          </cell>
          <cell r="F492" t="str">
            <v>PRI-KE</v>
          </cell>
          <cell r="G492" t="str">
            <v>981501-1</v>
          </cell>
          <cell r="H492" t="str">
            <v>PRI</v>
          </cell>
          <cell r="I492">
            <v>2000</v>
          </cell>
          <cell r="J492" t="str">
            <v>R</v>
          </cell>
          <cell r="K492" t="str">
            <v>AD</v>
          </cell>
          <cell r="L492" t="str">
            <v>KE</v>
          </cell>
          <cell r="Y492">
            <v>0</v>
          </cell>
          <cell r="Z492">
            <v>0</v>
          </cell>
          <cell r="AA492">
            <v>0</v>
          </cell>
          <cell r="AB492">
            <v>0</v>
          </cell>
          <cell r="AC492">
            <v>0</v>
          </cell>
          <cell r="AD492">
            <v>0</v>
          </cell>
          <cell r="AE492">
            <v>0</v>
          </cell>
          <cell r="AF492">
            <v>0</v>
          </cell>
        </row>
        <row r="493">
          <cell r="B493" t="str">
            <v>AD-KN-981501-1</v>
          </cell>
          <cell r="C493" t="str">
            <v>AD-981501-1</v>
          </cell>
          <cell r="D493" t="str">
            <v>AD-KN</v>
          </cell>
          <cell r="E493" t="str">
            <v>PRI-AD-KN</v>
          </cell>
          <cell r="F493" t="str">
            <v>PRI-KN</v>
          </cell>
          <cell r="G493" t="str">
            <v>981501-1</v>
          </cell>
          <cell r="H493" t="str">
            <v>PRI</v>
          </cell>
          <cell r="I493">
            <v>2000</v>
          </cell>
          <cell r="J493" t="str">
            <v>R</v>
          </cell>
          <cell r="K493" t="str">
            <v>AD</v>
          </cell>
          <cell r="L493" t="str">
            <v>KN</v>
          </cell>
          <cell r="Y493">
            <v>0</v>
          </cell>
          <cell r="Z493">
            <v>0</v>
          </cell>
          <cell r="AA493">
            <v>0</v>
          </cell>
          <cell r="AB493">
            <v>0</v>
          </cell>
          <cell r="AC493">
            <v>0</v>
          </cell>
          <cell r="AD493">
            <v>0</v>
          </cell>
          <cell r="AE493">
            <v>0</v>
          </cell>
          <cell r="AF493">
            <v>0</v>
          </cell>
        </row>
        <row r="494">
          <cell r="B494" t="str">
            <v>CO-KE-981501-1</v>
          </cell>
          <cell r="C494" t="str">
            <v>CO-981501-1</v>
          </cell>
          <cell r="D494" t="str">
            <v>CO-KE</v>
          </cell>
          <cell r="E494" t="str">
            <v>PRI-CO-KE</v>
          </cell>
          <cell r="F494" t="str">
            <v>PRI-KE</v>
          </cell>
          <cell r="G494" t="str">
            <v>981501-1</v>
          </cell>
          <cell r="H494" t="str">
            <v>PRI</v>
          </cell>
          <cell r="I494">
            <v>2000</v>
          </cell>
          <cell r="J494" t="str">
            <v>R</v>
          </cell>
          <cell r="K494" t="str">
            <v>CO</v>
          </cell>
          <cell r="L494" t="str">
            <v>KE</v>
          </cell>
          <cell r="Y494">
            <v>0</v>
          </cell>
          <cell r="Z494">
            <v>0</v>
          </cell>
          <cell r="AA494">
            <v>0</v>
          </cell>
          <cell r="AB494">
            <v>0</v>
          </cell>
          <cell r="AC494">
            <v>0</v>
          </cell>
          <cell r="AD494">
            <v>0</v>
          </cell>
          <cell r="AE494">
            <v>0</v>
          </cell>
          <cell r="AF494">
            <v>0</v>
          </cell>
        </row>
        <row r="495">
          <cell r="B495" t="str">
            <v>CO-KN-981501-1</v>
          </cell>
          <cell r="C495" t="str">
            <v>CO-981501-1</v>
          </cell>
          <cell r="D495" t="str">
            <v>CO-KN</v>
          </cell>
          <cell r="E495" t="str">
            <v>PRI-CO-KN</v>
          </cell>
          <cell r="F495" t="str">
            <v>PRI-KN</v>
          </cell>
          <cell r="G495" t="str">
            <v>981501-1</v>
          </cell>
          <cell r="H495" t="str">
            <v>PRI</v>
          </cell>
          <cell r="I495">
            <v>2000</v>
          </cell>
          <cell r="J495" t="str">
            <v>R</v>
          </cell>
          <cell r="K495" t="str">
            <v>CO</v>
          </cell>
          <cell r="L495" t="str">
            <v>KN</v>
          </cell>
          <cell r="Y495">
            <v>0</v>
          </cell>
          <cell r="Z495">
            <v>0</v>
          </cell>
          <cell r="AA495">
            <v>0</v>
          </cell>
          <cell r="AB495">
            <v>0</v>
          </cell>
          <cell r="AC495">
            <v>0</v>
          </cell>
          <cell r="AD495">
            <v>0</v>
          </cell>
          <cell r="AE495">
            <v>0</v>
          </cell>
          <cell r="AF495">
            <v>0</v>
          </cell>
        </row>
        <row r="496">
          <cell r="B496" t="str">
            <v>IN-KE-981501-1</v>
          </cell>
          <cell r="C496" t="str">
            <v>IN-981501-1</v>
          </cell>
          <cell r="D496" t="str">
            <v>IN-KE</v>
          </cell>
          <cell r="E496" t="str">
            <v>PRI-IN-KE</v>
          </cell>
          <cell r="F496" t="str">
            <v>PRI-KE</v>
          </cell>
          <cell r="G496" t="str">
            <v>981501-1</v>
          </cell>
          <cell r="H496" t="str">
            <v>PRI</v>
          </cell>
          <cell r="I496">
            <v>2000</v>
          </cell>
          <cell r="J496" t="str">
            <v>R</v>
          </cell>
          <cell r="K496" t="str">
            <v>IN</v>
          </cell>
          <cell r="L496" t="str">
            <v>KE</v>
          </cell>
          <cell r="Y496">
            <v>0</v>
          </cell>
          <cell r="Z496">
            <v>0</v>
          </cell>
          <cell r="AA496">
            <v>0</v>
          </cell>
          <cell r="AB496">
            <v>0</v>
          </cell>
          <cell r="AC496">
            <v>0</v>
          </cell>
          <cell r="AD496">
            <v>0</v>
          </cell>
          <cell r="AE496">
            <v>0</v>
          </cell>
          <cell r="AF496">
            <v>0</v>
          </cell>
        </row>
        <row r="497">
          <cell r="B497" t="str">
            <v>IN-KN-981501-1</v>
          </cell>
          <cell r="C497" t="str">
            <v>IN-981501-1</v>
          </cell>
          <cell r="D497" t="str">
            <v>IN-KN</v>
          </cell>
          <cell r="E497" t="str">
            <v>PRI-IN-KN</v>
          </cell>
          <cell r="F497" t="str">
            <v>PRI-KN</v>
          </cell>
          <cell r="G497" t="str">
            <v>981501-1</v>
          </cell>
          <cell r="H497" t="str">
            <v>PRI</v>
          </cell>
          <cell r="I497">
            <v>2000</v>
          </cell>
          <cell r="J497" t="str">
            <v>R</v>
          </cell>
          <cell r="K497" t="str">
            <v>IN</v>
          </cell>
          <cell r="L497" t="str">
            <v>KN</v>
          </cell>
          <cell r="Y497">
            <v>0</v>
          </cell>
          <cell r="Z497">
            <v>0</v>
          </cell>
          <cell r="AA497">
            <v>0</v>
          </cell>
          <cell r="AB497">
            <v>0</v>
          </cell>
          <cell r="AC497">
            <v>0</v>
          </cell>
          <cell r="AD497">
            <v>0</v>
          </cell>
          <cell r="AE497">
            <v>0</v>
          </cell>
          <cell r="AF497">
            <v>0</v>
          </cell>
        </row>
        <row r="498">
          <cell r="B498" t="str">
            <v>AD-KE-981501-2</v>
          </cell>
          <cell r="C498" t="str">
            <v>AD-981501-2</v>
          </cell>
          <cell r="D498" t="str">
            <v>AD-KE</v>
          </cell>
          <cell r="E498" t="str">
            <v>PRI-AD-KE</v>
          </cell>
          <cell r="F498" t="str">
            <v>PRI-KE</v>
          </cell>
          <cell r="G498" t="str">
            <v>981501-2</v>
          </cell>
          <cell r="H498" t="str">
            <v>PRI</v>
          </cell>
          <cell r="I498">
            <v>1999</v>
          </cell>
          <cell r="J498" t="str">
            <v>R</v>
          </cell>
          <cell r="K498" t="str">
            <v>AD</v>
          </cell>
          <cell r="L498" t="str">
            <v>KE</v>
          </cell>
          <cell r="Y498">
            <v>0</v>
          </cell>
          <cell r="Z498">
            <v>0</v>
          </cell>
          <cell r="AA498">
            <v>0</v>
          </cell>
          <cell r="AB498">
            <v>0</v>
          </cell>
          <cell r="AC498">
            <v>0</v>
          </cell>
          <cell r="AD498">
            <v>0</v>
          </cell>
          <cell r="AE498">
            <v>0</v>
          </cell>
          <cell r="AF498">
            <v>0</v>
          </cell>
        </row>
        <row r="499">
          <cell r="B499" t="str">
            <v>AD-KN-981501-2</v>
          </cell>
          <cell r="C499" t="str">
            <v>AD-981501-2</v>
          </cell>
          <cell r="D499" t="str">
            <v>AD-KN</v>
          </cell>
          <cell r="E499" t="str">
            <v>PRI-AD-KN</v>
          </cell>
          <cell r="F499" t="str">
            <v>PRI-KN</v>
          </cell>
          <cell r="G499" t="str">
            <v>981501-2</v>
          </cell>
          <cell r="H499" t="str">
            <v>PRI</v>
          </cell>
          <cell r="I499">
            <v>1999</v>
          </cell>
          <cell r="J499" t="str">
            <v>R</v>
          </cell>
          <cell r="K499" t="str">
            <v>AD</v>
          </cell>
          <cell r="L499" t="str">
            <v>KN</v>
          </cell>
          <cell r="Y499">
            <v>0</v>
          </cell>
          <cell r="Z499">
            <v>0</v>
          </cell>
          <cell r="AA499">
            <v>0</v>
          </cell>
          <cell r="AB499">
            <v>0</v>
          </cell>
          <cell r="AC499">
            <v>0</v>
          </cell>
          <cell r="AD499">
            <v>0</v>
          </cell>
          <cell r="AE499">
            <v>0</v>
          </cell>
          <cell r="AF499">
            <v>0</v>
          </cell>
        </row>
        <row r="500">
          <cell r="B500" t="str">
            <v>CO-KE-981501-2</v>
          </cell>
          <cell r="C500" t="str">
            <v>CO-981501-2</v>
          </cell>
          <cell r="D500" t="str">
            <v>CO-KE</v>
          </cell>
          <cell r="E500" t="str">
            <v>PRI-CO-KE</v>
          </cell>
          <cell r="F500" t="str">
            <v>PRI-KE</v>
          </cell>
          <cell r="G500" t="str">
            <v>981501-2</v>
          </cell>
          <cell r="H500" t="str">
            <v>PRI</v>
          </cell>
          <cell r="I500">
            <v>1999</v>
          </cell>
          <cell r="J500" t="str">
            <v>R</v>
          </cell>
          <cell r="K500" t="str">
            <v>CO</v>
          </cell>
          <cell r="L500" t="str">
            <v>KE</v>
          </cell>
          <cell r="Y500">
            <v>0</v>
          </cell>
          <cell r="Z500">
            <v>0</v>
          </cell>
          <cell r="AA500">
            <v>0</v>
          </cell>
          <cell r="AB500">
            <v>0</v>
          </cell>
          <cell r="AC500">
            <v>0</v>
          </cell>
          <cell r="AD500">
            <v>0</v>
          </cell>
          <cell r="AE500">
            <v>0</v>
          </cell>
          <cell r="AF500">
            <v>0</v>
          </cell>
        </row>
        <row r="501">
          <cell r="B501" t="str">
            <v>CO-KN-981501-2</v>
          </cell>
          <cell r="C501" t="str">
            <v>CO-981501-2</v>
          </cell>
          <cell r="D501" t="str">
            <v>CO-KN</v>
          </cell>
          <cell r="E501" t="str">
            <v>PRI-CO-KN</v>
          </cell>
          <cell r="F501" t="str">
            <v>PRI-KN</v>
          </cell>
          <cell r="G501" t="str">
            <v>981501-2</v>
          </cell>
          <cell r="H501" t="str">
            <v>PRI</v>
          </cell>
          <cell r="I501">
            <v>1999</v>
          </cell>
          <cell r="J501" t="str">
            <v>R</v>
          </cell>
          <cell r="K501" t="str">
            <v>CO</v>
          </cell>
          <cell r="L501" t="str">
            <v>KN</v>
          </cell>
          <cell r="Y501">
            <v>0</v>
          </cell>
          <cell r="Z501">
            <v>0</v>
          </cell>
          <cell r="AA501">
            <v>0</v>
          </cell>
          <cell r="AB501">
            <v>0</v>
          </cell>
          <cell r="AC501">
            <v>0</v>
          </cell>
          <cell r="AD501">
            <v>0</v>
          </cell>
          <cell r="AE501">
            <v>0</v>
          </cell>
          <cell r="AF501">
            <v>0</v>
          </cell>
        </row>
        <row r="502">
          <cell r="B502" t="str">
            <v>IN-KE-981501-2</v>
          </cell>
          <cell r="C502" t="str">
            <v>IN-981501-2</v>
          </cell>
          <cell r="D502" t="str">
            <v>IN-KE</v>
          </cell>
          <cell r="E502" t="str">
            <v>PRI-IN-KE</v>
          </cell>
          <cell r="F502" t="str">
            <v>PRI-KE</v>
          </cell>
          <cell r="G502" t="str">
            <v>981501-2</v>
          </cell>
          <cell r="H502" t="str">
            <v>PRI</v>
          </cell>
          <cell r="I502">
            <v>1999</v>
          </cell>
          <cell r="J502" t="str">
            <v>R</v>
          </cell>
          <cell r="K502" t="str">
            <v>IN</v>
          </cell>
          <cell r="L502" t="str">
            <v>KE</v>
          </cell>
          <cell r="Y502">
            <v>0</v>
          </cell>
          <cell r="Z502">
            <v>0</v>
          </cell>
          <cell r="AA502">
            <v>0</v>
          </cell>
          <cell r="AB502">
            <v>0</v>
          </cell>
          <cell r="AC502">
            <v>0</v>
          </cell>
          <cell r="AD502">
            <v>0</v>
          </cell>
          <cell r="AE502">
            <v>0</v>
          </cell>
          <cell r="AF502">
            <v>0</v>
          </cell>
        </row>
        <row r="503">
          <cell r="B503" t="str">
            <v>IN-KN-981501-2</v>
          </cell>
          <cell r="C503" t="str">
            <v>IN-981501-2</v>
          </cell>
          <cell r="D503" t="str">
            <v>IN-KN</v>
          </cell>
          <cell r="E503" t="str">
            <v>PRI-IN-KN</v>
          </cell>
          <cell r="F503" t="str">
            <v>PRI-KN</v>
          </cell>
          <cell r="G503" t="str">
            <v>981501-2</v>
          </cell>
          <cell r="H503" t="str">
            <v>PRI</v>
          </cell>
          <cell r="I503">
            <v>1999</v>
          </cell>
          <cell r="J503" t="str">
            <v>R</v>
          </cell>
          <cell r="K503" t="str">
            <v>IN</v>
          </cell>
          <cell r="L503" t="str">
            <v>KN</v>
          </cell>
          <cell r="Y503">
            <v>0</v>
          </cell>
          <cell r="Z503">
            <v>0</v>
          </cell>
          <cell r="AA503">
            <v>0</v>
          </cell>
          <cell r="AB503">
            <v>0</v>
          </cell>
          <cell r="AC503">
            <v>0</v>
          </cell>
          <cell r="AD503">
            <v>0</v>
          </cell>
          <cell r="AE503">
            <v>0</v>
          </cell>
          <cell r="AF503">
            <v>0</v>
          </cell>
        </row>
      </sheetData>
      <sheetData sheetId="6" refreshError="1">
        <row r="4">
          <cell r="B4">
            <v>930801</v>
          </cell>
          <cell r="C4" t="str">
            <v>Presa IV-B a Cota 2134 y Obras</v>
          </cell>
          <cell r="D4">
            <v>298025.61</v>
          </cell>
          <cell r="E4">
            <v>375183.77</v>
          </cell>
          <cell r="F4">
            <v>0</v>
          </cell>
          <cell r="G4">
            <v>0</v>
          </cell>
          <cell r="H4">
            <v>0</v>
          </cell>
          <cell r="I4">
            <v>0</v>
          </cell>
          <cell r="J4">
            <v>0</v>
          </cell>
          <cell r="K4">
            <v>0</v>
          </cell>
          <cell r="L4">
            <v>0</v>
          </cell>
          <cell r="M4">
            <v>0</v>
          </cell>
          <cell r="N4">
            <v>0</v>
          </cell>
          <cell r="O4">
            <v>0</v>
          </cell>
          <cell r="P4">
            <v>673209.38</v>
          </cell>
          <cell r="Q4">
            <v>0</v>
          </cell>
          <cell r="R4">
            <v>0</v>
          </cell>
          <cell r="S4">
            <v>0</v>
          </cell>
          <cell r="T4">
            <v>673209</v>
          </cell>
          <cell r="U4">
            <v>0</v>
          </cell>
          <cell r="V4">
            <v>0</v>
          </cell>
          <cell r="W4">
            <v>0</v>
          </cell>
          <cell r="X4">
            <v>0</v>
          </cell>
          <cell r="Y4">
            <v>0</v>
          </cell>
          <cell r="Z4">
            <v>42605</v>
          </cell>
          <cell r="AA4">
            <v>42605</v>
          </cell>
          <cell r="AB4">
            <v>42605</v>
          </cell>
          <cell r="AC4">
            <v>0</v>
          </cell>
          <cell r="AD4">
            <v>0</v>
          </cell>
          <cell r="AE4">
            <v>0</v>
          </cell>
          <cell r="AF4">
            <v>673209.38</v>
          </cell>
        </row>
        <row r="5">
          <cell r="B5">
            <v>940102</v>
          </cell>
          <cell r="C5" t="str">
            <v>Embalse Ovejería</v>
          </cell>
          <cell r="D5">
            <v>2458666.14</v>
          </cell>
          <cell r="E5">
            <v>4861789.6399999997</v>
          </cell>
          <cell r="F5">
            <v>0</v>
          </cell>
          <cell r="G5">
            <v>0</v>
          </cell>
          <cell r="H5">
            <v>0</v>
          </cell>
          <cell r="I5">
            <v>0</v>
          </cell>
          <cell r="J5">
            <v>0</v>
          </cell>
          <cell r="K5">
            <v>0</v>
          </cell>
          <cell r="L5">
            <v>0</v>
          </cell>
          <cell r="M5">
            <v>0</v>
          </cell>
          <cell r="N5">
            <v>0</v>
          </cell>
          <cell r="O5">
            <v>0</v>
          </cell>
          <cell r="P5">
            <v>7320455.7799999993</v>
          </cell>
          <cell r="Q5">
            <v>0</v>
          </cell>
          <cell r="R5">
            <v>0</v>
          </cell>
          <cell r="S5">
            <v>0</v>
          </cell>
          <cell r="T5">
            <v>7320456</v>
          </cell>
          <cell r="U5">
            <v>0</v>
          </cell>
          <cell r="V5">
            <v>0</v>
          </cell>
          <cell r="W5">
            <v>0</v>
          </cell>
          <cell r="X5">
            <v>0</v>
          </cell>
          <cell r="Y5">
            <v>0</v>
          </cell>
          <cell r="Z5">
            <v>219910.22</v>
          </cell>
          <cell r="AA5">
            <v>219910.22</v>
          </cell>
          <cell r="AB5">
            <v>219910.22</v>
          </cell>
          <cell r="AC5">
            <v>0</v>
          </cell>
          <cell r="AD5">
            <v>0</v>
          </cell>
          <cell r="AE5">
            <v>0</v>
          </cell>
          <cell r="AF5">
            <v>7320455.7799999993</v>
          </cell>
        </row>
        <row r="6">
          <cell r="B6">
            <v>940103</v>
          </cell>
          <cell r="C6" t="str">
            <v>Expansión Andina - 64 KTPD</v>
          </cell>
          <cell r="D6">
            <v>3330907.11</v>
          </cell>
          <cell r="E6">
            <v>924463.28</v>
          </cell>
          <cell r="F6">
            <v>0</v>
          </cell>
          <cell r="G6">
            <v>0</v>
          </cell>
          <cell r="H6">
            <v>0</v>
          </cell>
          <cell r="I6">
            <v>0</v>
          </cell>
          <cell r="J6">
            <v>0</v>
          </cell>
          <cell r="K6">
            <v>0</v>
          </cell>
          <cell r="L6">
            <v>0</v>
          </cell>
          <cell r="M6">
            <v>0</v>
          </cell>
          <cell r="N6">
            <v>0</v>
          </cell>
          <cell r="O6">
            <v>0</v>
          </cell>
          <cell r="P6">
            <v>4255370.3899999997</v>
          </cell>
          <cell r="Q6">
            <v>0</v>
          </cell>
          <cell r="R6">
            <v>0</v>
          </cell>
          <cell r="S6">
            <v>0</v>
          </cell>
          <cell r="T6">
            <v>4255370</v>
          </cell>
          <cell r="U6">
            <v>0</v>
          </cell>
          <cell r="V6">
            <v>0</v>
          </cell>
          <cell r="W6">
            <v>0</v>
          </cell>
          <cell r="X6">
            <v>0</v>
          </cell>
          <cell r="Y6">
            <v>0</v>
          </cell>
          <cell r="Z6">
            <v>370945</v>
          </cell>
          <cell r="AA6">
            <v>370945</v>
          </cell>
          <cell r="AB6">
            <v>370945</v>
          </cell>
          <cell r="AC6">
            <v>0</v>
          </cell>
          <cell r="AD6">
            <v>0</v>
          </cell>
          <cell r="AE6">
            <v>0</v>
          </cell>
          <cell r="AF6">
            <v>4255370.3899999997</v>
          </cell>
        </row>
        <row r="7">
          <cell r="B7">
            <v>950807</v>
          </cell>
          <cell r="C7" t="str">
            <v>Proceso LR</v>
          </cell>
          <cell r="D7">
            <v>10399.02</v>
          </cell>
          <cell r="E7">
            <v>104999.2</v>
          </cell>
          <cell r="F7">
            <v>0</v>
          </cell>
          <cell r="G7">
            <v>0</v>
          </cell>
          <cell r="H7">
            <v>0</v>
          </cell>
          <cell r="I7">
            <v>0</v>
          </cell>
          <cell r="J7">
            <v>0</v>
          </cell>
          <cell r="K7">
            <v>0</v>
          </cell>
          <cell r="L7">
            <v>0</v>
          </cell>
          <cell r="M7">
            <v>0</v>
          </cell>
          <cell r="N7">
            <v>0</v>
          </cell>
          <cell r="O7">
            <v>0</v>
          </cell>
          <cell r="P7">
            <v>115398.22</v>
          </cell>
          <cell r="Q7">
            <v>0</v>
          </cell>
          <cell r="R7">
            <v>0</v>
          </cell>
          <cell r="S7">
            <v>0</v>
          </cell>
          <cell r="T7">
            <v>115398</v>
          </cell>
          <cell r="U7">
            <v>0</v>
          </cell>
          <cell r="V7">
            <v>0</v>
          </cell>
          <cell r="W7">
            <v>0</v>
          </cell>
          <cell r="X7">
            <v>0</v>
          </cell>
          <cell r="Y7">
            <v>0</v>
          </cell>
          <cell r="Z7">
            <v>7733</v>
          </cell>
          <cell r="AA7">
            <v>7733</v>
          </cell>
          <cell r="AB7">
            <v>7733</v>
          </cell>
          <cell r="AC7">
            <v>0</v>
          </cell>
          <cell r="AD7">
            <v>0</v>
          </cell>
          <cell r="AE7">
            <v>0</v>
          </cell>
          <cell r="AF7">
            <v>115398.22</v>
          </cell>
        </row>
        <row r="8">
          <cell r="B8">
            <v>961001</v>
          </cell>
          <cell r="C8" t="str">
            <v>Desarrollo Mina Período 1996 -</v>
          </cell>
          <cell r="D8">
            <v>22797.71</v>
          </cell>
          <cell r="E8">
            <v>430471.29</v>
          </cell>
          <cell r="F8">
            <v>0</v>
          </cell>
          <cell r="G8">
            <v>0</v>
          </cell>
          <cell r="H8">
            <v>0</v>
          </cell>
          <cell r="I8">
            <v>0</v>
          </cell>
          <cell r="J8">
            <v>0</v>
          </cell>
          <cell r="K8">
            <v>0</v>
          </cell>
          <cell r="L8">
            <v>0</v>
          </cell>
          <cell r="M8">
            <v>0</v>
          </cell>
          <cell r="N8">
            <v>0</v>
          </cell>
          <cell r="O8">
            <v>0</v>
          </cell>
          <cell r="P8">
            <v>453269</v>
          </cell>
          <cell r="Q8">
            <v>0</v>
          </cell>
          <cell r="R8">
            <v>0</v>
          </cell>
          <cell r="S8">
            <v>0</v>
          </cell>
          <cell r="T8">
            <v>453269</v>
          </cell>
          <cell r="U8">
            <v>0</v>
          </cell>
          <cell r="V8">
            <v>0</v>
          </cell>
          <cell r="W8">
            <v>0</v>
          </cell>
          <cell r="X8">
            <v>0</v>
          </cell>
          <cell r="Y8">
            <v>0</v>
          </cell>
          <cell r="Z8">
            <v>40064</v>
          </cell>
          <cell r="AA8">
            <v>40064</v>
          </cell>
          <cell r="AB8">
            <v>40064</v>
          </cell>
          <cell r="AC8">
            <v>0</v>
          </cell>
          <cell r="AD8">
            <v>0</v>
          </cell>
          <cell r="AE8">
            <v>0</v>
          </cell>
          <cell r="AF8">
            <v>453269</v>
          </cell>
        </row>
        <row r="9">
          <cell r="B9">
            <v>970805</v>
          </cell>
          <cell r="C9" t="str">
            <v>Protección Contra Incendio Sal</v>
          </cell>
          <cell r="D9">
            <v>20463.02</v>
          </cell>
          <cell r="E9">
            <v>22992.92</v>
          </cell>
          <cell r="F9">
            <v>0</v>
          </cell>
          <cell r="G9">
            <v>0</v>
          </cell>
          <cell r="H9">
            <v>0</v>
          </cell>
          <cell r="I9">
            <v>0</v>
          </cell>
          <cell r="J9">
            <v>0</v>
          </cell>
          <cell r="K9">
            <v>0</v>
          </cell>
          <cell r="L9">
            <v>0</v>
          </cell>
          <cell r="M9">
            <v>0</v>
          </cell>
          <cell r="N9">
            <v>0</v>
          </cell>
          <cell r="O9">
            <v>0</v>
          </cell>
          <cell r="P9">
            <v>43455.94</v>
          </cell>
          <cell r="Q9">
            <v>0</v>
          </cell>
          <cell r="R9">
            <v>0</v>
          </cell>
          <cell r="S9">
            <v>0</v>
          </cell>
          <cell r="T9">
            <v>43456</v>
          </cell>
          <cell r="U9">
            <v>0</v>
          </cell>
          <cell r="V9">
            <v>0</v>
          </cell>
          <cell r="W9">
            <v>0</v>
          </cell>
          <cell r="X9">
            <v>0</v>
          </cell>
          <cell r="Y9">
            <v>0</v>
          </cell>
          <cell r="Z9">
            <v>1477</v>
          </cell>
          <cell r="AA9">
            <v>1477</v>
          </cell>
          <cell r="AB9">
            <v>1477</v>
          </cell>
          <cell r="AC9">
            <v>0</v>
          </cell>
          <cell r="AD9">
            <v>0</v>
          </cell>
          <cell r="AE9">
            <v>0</v>
          </cell>
          <cell r="AF9">
            <v>43455.94</v>
          </cell>
        </row>
        <row r="10">
          <cell r="B10">
            <v>980101</v>
          </cell>
          <cell r="C10" t="str">
            <v>Explotación Rajos Proyecto Exp</v>
          </cell>
          <cell r="D10">
            <v>19584.53</v>
          </cell>
          <cell r="E10">
            <v>131778.21</v>
          </cell>
          <cell r="F10">
            <v>0</v>
          </cell>
          <cell r="G10">
            <v>0</v>
          </cell>
          <cell r="H10">
            <v>0</v>
          </cell>
          <cell r="I10">
            <v>0</v>
          </cell>
          <cell r="J10">
            <v>0</v>
          </cell>
          <cell r="K10">
            <v>0</v>
          </cell>
          <cell r="L10">
            <v>0</v>
          </cell>
          <cell r="M10">
            <v>0</v>
          </cell>
          <cell r="N10">
            <v>0</v>
          </cell>
          <cell r="O10">
            <v>0</v>
          </cell>
          <cell r="P10">
            <v>151362.74</v>
          </cell>
          <cell r="Q10">
            <v>0</v>
          </cell>
          <cell r="R10">
            <v>0</v>
          </cell>
          <cell r="S10">
            <v>0</v>
          </cell>
          <cell r="T10">
            <v>151363</v>
          </cell>
          <cell r="U10">
            <v>0</v>
          </cell>
          <cell r="V10">
            <v>0</v>
          </cell>
          <cell r="W10">
            <v>0</v>
          </cell>
          <cell r="X10">
            <v>0</v>
          </cell>
          <cell r="Y10">
            <v>0</v>
          </cell>
          <cell r="Z10">
            <v>50061</v>
          </cell>
          <cell r="AA10">
            <v>50061</v>
          </cell>
          <cell r="AB10">
            <v>50061</v>
          </cell>
          <cell r="AC10">
            <v>0</v>
          </cell>
          <cell r="AD10">
            <v>0</v>
          </cell>
          <cell r="AE10">
            <v>0</v>
          </cell>
          <cell r="AF10">
            <v>151362.74</v>
          </cell>
        </row>
        <row r="11">
          <cell r="B11">
            <v>980502</v>
          </cell>
          <cell r="C11" t="str">
            <v>Modernización Sistema de Infor</v>
          </cell>
          <cell r="D11">
            <v>5401.09</v>
          </cell>
          <cell r="E11">
            <v>6702.73</v>
          </cell>
          <cell r="F11">
            <v>0</v>
          </cell>
          <cell r="G11">
            <v>0</v>
          </cell>
          <cell r="H11">
            <v>0</v>
          </cell>
          <cell r="I11">
            <v>0</v>
          </cell>
          <cell r="J11">
            <v>0</v>
          </cell>
          <cell r="K11">
            <v>0</v>
          </cell>
          <cell r="L11">
            <v>0</v>
          </cell>
          <cell r="M11">
            <v>0</v>
          </cell>
          <cell r="N11">
            <v>0</v>
          </cell>
          <cell r="O11">
            <v>0</v>
          </cell>
          <cell r="P11">
            <v>12103.82</v>
          </cell>
          <cell r="Q11">
            <v>0</v>
          </cell>
          <cell r="R11">
            <v>0</v>
          </cell>
          <cell r="S11">
            <v>0</v>
          </cell>
          <cell r="T11">
            <v>12104</v>
          </cell>
          <cell r="U11">
            <v>0</v>
          </cell>
          <cell r="V11">
            <v>0</v>
          </cell>
          <cell r="W11">
            <v>0</v>
          </cell>
          <cell r="X11">
            <v>0</v>
          </cell>
          <cell r="Y11">
            <v>0</v>
          </cell>
          <cell r="Z11">
            <v>717.2</v>
          </cell>
          <cell r="AA11">
            <v>717.2</v>
          </cell>
          <cell r="AB11">
            <v>717.2</v>
          </cell>
          <cell r="AC11">
            <v>0</v>
          </cell>
          <cell r="AD11">
            <v>0</v>
          </cell>
          <cell r="AE11">
            <v>0</v>
          </cell>
          <cell r="AF11">
            <v>12103.82</v>
          </cell>
        </row>
        <row r="12">
          <cell r="B12">
            <v>980503</v>
          </cell>
          <cell r="C12" t="str">
            <v>Remoción Metales Magneticos Ch</v>
          </cell>
          <cell r="D12">
            <v>22582.82</v>
          </cell>
          <cell r="E12">
            <v>145.77000000000001</v>
          </cell>
          <cell r="F12">
            <v>0</v>
          </cell>
          <cell r="G12">
            <v>0</v>
          </cell>
          <cell r="H12">
            <v>0</v>
          </cell>
          <cell r="I12">
            <v>0</v>
          </cell>
          <cell r="J12">
            <v>0</v>
          </cell>
          <cell r="K12">
            <v>0</v>
          </cell>
          <cell r="L12">
            <v>0</v>
          </cell>
          <cell r="M12">
            <v>0</v>
          </cell>
          <cell r="N12">
            <v>0</v>
          </cell>
          <cell r="O12">
            <v>0</v>
          </cell>
          <cell r="P12">
            <v>22728.59</v>
          </cell>
          <cell r="Q12">
            <v>0</v>
          </cell>
          <cell r="R12">
            <v>0</v>
          </cell>
          <cell r="S12">
            <v>0</v>
          </cell>
          <cell r="T12">
            <v>22729</v>
          </cell>
          <cell r="U12">
            <v>0</v>
          </cell>
          <cell r="V12">
            <v>0</v>
          </cell>
          <cell r="W12">
            <v>0</v>
          </cell>
          <cell r="X12">
            <v>0</v>
          </cell>
          <cell r="Y12">
            <v>0</v>
          </cell>
          <cell r="Z12">
            <v>224</v>
          </cell>
          <cell r="AA12">
            <v>224</v>
          </cell>
          <cell r="AB12">
            <v>224</v>
          </cell>
          <cell r="AC12">
            <v>0</v>
          </cell>
          <cell r="AD12">
            <v>0</v>
          </cell>
          <cell r="AE12">
            <v>0</v>
          </cell>
          <cell r="AF12">
            <v>22728.59</v>
          </cell>
        </row>
        <row r="13">
          <cell r="B13">
            <v>980602</v>
          </cell>
          <cell r="C13" t="str">
            <v>Adquisición Equipos Snowcat</v>
          </cell>
          <cell r="D13">
            <v>1098.9000000000001</v>
          </cell>
          <cell r="E13">
            <v>2003.22</v>
          </cell>
          <cell r="F13">
            <v>0</v>
          </cell>
          <cell r="G13">
            <v>0</v>
          </cell>
          <cell r="H13">
            <v>0</v>
          </cell>
          <cell r="I13">
            <v>0</v>
          </cell>
          <cell r="J13">
            <v>0</v>
          </cell>
          <cell r="K13">
            <v>0</v>
          </cell>
          <cell r="L13">
            <v>0</v>
          </cell>
          <cell r="M13">
            <v>0</v>
          </cell>
          <cell r="N13">
            <v>0</v>
          </cell>
          <cell r="O13">
            <v>0</v>
          </cell>
          <cell r="P13">
            <v>3102.12</v>
          </cell>
          <cell r="Q13">
            <v>0</v>
          </cell>
          <cell r="R13">
            <v>0</v>
          </cell>
          <cell r="S13">
            <v>0</v>
          </cell>
          <cell r="T13">
            <v>3102</v>
          </cell>
          <cell r="U13">
            <v>0</v>
          </cell>
          <cell r="V13">
            <v>0</v>
          </cell>
          <cell r="W13">
            <v>0</v>
          </cell>
          <cell r="X13">
            <v>0</v>
          </cell>
          <cell r="Y13">
            <v>0</v>
          </cell>
          <cell r="Z13">
            <v>570</v>
          </cell>
          <cell r="AA13">
            <v>570</v>
          </cell>
          <cell r="AB13">
            <v>570</v>
          </cell>
          <cell r="AC13">
            <v>0</v>
          </cell>
          <cell r="AD13">
            <v>0</v>
          </cell>
          <cell r="AE13">
            <v>0</v>
          </cell>
          <cell r="AF13">
            <v>3102.12</v>
          </cell>
        </row>
        <row r="14">
          <cell r="B14">
            <v>980808</v>
          </cell>
          <cell r="C14" t="str">
            <v>Pozo Ciego Contención Derrames</v>
          </cell>
          <cell r="D14">
            <v>49192.24</v>
          </cell>
          <cell r="E14">
            <v>-12181.5</v>
          </cell>
          <cell r="F14">
            <v>0</v>
          </cell>
          <cell r="G14">
            <v>0</v>
          </cell>
          <cell r="H14">
            <v>0</v>
          </cell>
          <cell r="I14">
            <v>0</v>
          </cell>
          <cell r="J14">
            <v>0</v>
          </cell>
          <cell r="K14">
            <v>0</v>
          </cell>
          <cell r="L14">
            <v>0</v>
          </cell>
          <cell r="M14">
            <v>0</v>
          </cell>
          <cell r="N14">
            <v>0</v>
          </cell>
          <cell r="O14">
            <v>0</v>
          </cell>
          <cell r="P14">
            <v>37010.74</v>
          </cell>
          <cell r="Q14">
            <v>0</v>
          </cell>
          <cell r="R14">
            <v>0</v>
          </cell>
          <cell r="S14">
            <v>0</v>
          </cell>
          <cell r="T14">
            <v>37011</v>
          </cell>
          <cell r="U14">
            <v>0</v>
          </cell>
          <cell r="V14">
            <v>0</v>
          </cell>
          <cell r="W14">
            <v>0</v>
          </cell>
          <cell r="X14">
            <v>0</v>
          </cell>
          <cell r="Y14">
            <v>0</v>
          </cell>
          <cell r="Z14">
            <v>254.6</v>
          </cell>
          <cell r="AA14">
            <v>254.6</v>
          </cell>
          <cell r="AB14">
            <v>254.6</v>
          </cell>
          <cell r="AC14">
            <v>0</v>
          </cell>
          <cell r="AD14">
            <v>0</v>
          </cell>
          <cell r="AE14">
            <v>0</v>
          </cell>
          <cell r="AF14">
            <v>37010.74</v>
          </cell>
        </row>
        <row r="15">
          <cell r="B15">
            <v>980809</v>
          </cell>
          <cell r="C15" t="str">
            <v>Obras de Emergencia Sequía Año</v>
          </cell>
          <cell r="D15">
            <v>49192.24</v>
          </cell>
          <cell r="E15">
            <v>-12181.5</v>
          </cell>
          <cell r="F15">
            <v>0</v>
          </cell>
          <cell r="G15">
            <v>0</v>
          </cell>
          <cell r="H15">
            <v>0</v>
          </cell>
          <cell r="I15">
            <v>0</v>
          </cell>
          <cell r="J15">
            <v>0</v>
          </cell>
          <cell r="K15">
            <v>0</v>
          </cell>
          <cell r="L15">
            <v>0</v>
          </cell>
          <cell r="M15">
            <v>0</v>
          </cell>
          <cell r="N15">
            <v>0</v>
          </cell>
          <cell r="O15">
            <v>0</v>
          </cell>
          <cell r="P15">
            <v>37010.74</v>
          </cell>
          <cell r="Q15">
            <v>0</v>
          </cell>
          <cell r="R15">
            <v>0</v>
          </cell>
          <cell r="S15">
            <v>0</v>
          </cell>
          <cell r="T15">
            <v>37011</v>
          </cell>
          <cell r="U15">
            <v>0</v>
          </cell>
          <cell r="V15">
            <v>0</v>
          </cell>
          <cell r="W15">
            <v>0</v>
          </cell>
          <cell r="X15">
            <v>0</v>
          </cell>
          <cell r="Y15">
            <v>0</v>
          </cell>
          <cell r="Z15">
            <v>2164</v>
          </cell>
          <cell r="AA15">
            <v>2164</v>
          </cell>
          <cell r="AB15">
            <v>2164</v>
          </cell>
          <cell r="AC15">
            <v>0</v>
          </cell>
          <cell r="AD15">
            <v>0</v>
          </cell>
          <cell r="AE15">
            <v>0</v>
          </cell>
          <cell r="AF15">
            <v>37010.74</v>
          </cell>
        </row>
        <row r="16">
          <cell r="B16">
            <v>981004</v>
          </cell>
          <cell r="C16" t="str">
            <v>Automatización Control Sistema</v>
          </cell>
          <cell r="D16">
            <v>56.47</v>
          </cell>
          <cell r="E16">
            <v>3871.5</v>
          </cell>
          <cell r="F16">
            <v>0</v>
          </cell>
          <cell r="G16">
            <v>0</v>
          </cell>
          <cell r="H16">
            <v>0</v>
          </cell>
          <cell r="I16">
            <v>0</v>
          </cell>
          <cell r="J16">
            <v>0</v>
          </cell>
          <cell r="K16">
            <v>0</v>
          </cell>
          <cell r="L16">
            <v>0</v>
          </cell>
          <cell r="M16">
            <v>0</v>
          </cell>
          <cell r="N16">
            <v>0</v>
          </cell>
          <cell r="O16">
            <v>0</v>
          </cell>
          <cell r="P16">
            <v>3927.97</v>
          </cell>
          <cell r="Q16">
            <v>0</v>
          </cell>
          <cell r="R16">
            <v>0</v>
          </cell>
          <cell r="S16">
            <v>0</v>
          </cell>
          <cell r="T16">
            <v>3928</v>
          </cell>
          <cell r="U16">
            <v>0</v>
          </cell>
          <cell r="V16">
            <v>0</v>
          </cell>
          <cell r="W16">
            <v>0</v>
          </cell>
          <cell r="X16">
            <v>0</v>
          </cell>
          <cell r="Y16">
            <v>0</v>
          </cell>
          <cell r="Z16">
            <v>781</v>
          </cell>
          <cell r="AA16">
            <v>781</v>
          </cell>
          <cell r="AB16">
            <v>781</v>
          </cell>
          <cell r="AC16">
            <v>0</v>
          </cell>
          <cell r="AD16">
            <v>0</v>
          </cell>
          <cell r="AE16">
            <v>0</v>
          </cell>
          <cell r="AF16">
            <v>3927.97</v>
          </cell>
        </row>
        <row r="17">
          <cell r="B17" t="str">
            <v>A99M401</v>
          </cell>
          <cell r="C17" t="str">
            <v>Adquisición Camiones 50 Ton Mi</v>
          </cell>
          <cell r="D17">
            <v>0</v>
          </cell>
          <cell r="E17">
            <v>16798.919999999998</v>
          </cell>
          <cell r="F17">
            <v>0</v>
          </cell>
          <cell r="G17">
            <v>0</v>
          </cell>
          <cell r="H17">
            <v>0</v>
          </cell>
          <cell r="I17">
            <v>0</v>
          </cell>
          <cell r="J17">
            <v>0</v>
          </cell>
          <cell r="K17">
            <v>0</v>
          </cell>
          <cell r="L17">
            <v>0</v>
          </cell>
          <cell r="M17">
            <v>0</v>
          </cell>
          <cell r="N17">
            <v>0</v>
          </cell>
          <cell r="O17">
            <v>0</v>
          </cell>
          <cell r="P17">
            <v>16798.919999999998</v>
          </cell>
          <cell r="Q17">
            <v>0</v>
          </cell>
          <cell r="R17">
            <v>0</v>
          </cell>
          <cell r="S17">
            <v>0</v>
          </cell>
          <cell r="T17">
            <v>16799</v>
          </cell>
          <cell r="U17">
            <v>0</v>
          </cell>
          <cell r="V17">
            <v>0</v>
          </cell>
          <cell r="W17">
            <v>0</v>
          </cell>
          <cell r="X17">
            <v>0</v>
          </cell>
          <cell r="Y17">
            <v>0</v>
          </cell>
          <cell r="Z17">
            <v>1352</v>
          </cell>
          <cell r="AA17">
            <v>1352</v>
          </cell>
          <cell r="AB17">
            <v>1352</v>
          </cell>
          <cell r="AC17">
            <v>0</v>
          </cell>
          <cell r="AD17">
            <v>0</v>
          </cell>
          <cell r="AE17">
            <v>0</v>
          </cell>
          <cell r="AF17">
            <v>16798.919999999998</v>
          </cell>
        </row>
        <row r="18">
          <cell r="B18" t="str">
            <v>A99M402</v>
          </cell>
          <cell r="C18" t="str">
            <v>Adquisición LHD 7 yd3 Mina Sub</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1169</v>
          </cell>
          <cell r="AA18">
            <v>1169</v>
          </cell>
          <cell r="AB18">
            <v>1169</v>
          </cell>
          <cell r="AC18">
            <v>0</v>
          </cell>
          <cell r="AD18">
            <v>0</v>
          </cell>
          <cell r="AE18">
            <v>0</v>
          </cell>
          <cell r="AF18">
            <v>0</v>
          </cell>
        </row>
        <row r="19">
          <cell r="B19" t="str">
            <v>A99M403</v>
          </cell>
          <cell r="C19" t="str">
            <v>Adquisición Martillos Fijos Te</v>
          </cell>
          <cell r="D19">
            <v>0</v>
          </cell>
          <cell r="E19">
            <v>0</v>
          </cell>
          <cell r="P19">
            <v>0</v>
          </cell>
          <cell r="Q19">
            <v>0</v>
          </cell>
          <cell r="R19">
            <v>0</v>
          </cell>
          <cell r="S19">
            <v>0</v>
          </cell>
          <cell r="T19">
            <v>0</v>
          </cell>
          <cell r="U19">
            <v>0</v>
          </cell>
          <cell r="V19">
            <v>0</v>
          </cell>
          <cell r="W19">
            <v>0</v>
          </cell>
          <cell r="X19">
            <v>0</v>
          </cell>
          <cell r="Y19">
            <v>0</v>
          </cell>
          <cell r="Z19">
            <v>458</v>
          </cell>
          <cell r="AA19">
            <v>458</v>
          </cell>
          <cell r="AB19">
            <v>458</v>
          </cell>
          <cell r="AC19">
            <v>0</v>
          </cell>
          <cell r="AD19">
            <v>0</v>
          </cell>
          <cell r="AE19">
            <v>0</v>
          </cell>
          <cell r="AF19">
            <v>0</v>
          </cell>
        </row>
        <row r="20">
          <cell r="B20" t="str">
            <v>A99M406</v>
          </cell>
          <cell r="C20" t="str">
            <v>Mecanización Perforación Reduc</v>
          </cell>
          <cell r="D20">
            <v>0</v>
          </cell>
          <cell r="E20">
            <v>0</v>
          </cell>
          <cell r="P20">
            <v>0</v>
          </cell>
          <cell r="Q20">
            <v>0</v>
          </cell>
          <cell r="R20">
            <v>0</v>
          </cell>
          <cell r="S20">
            <v>0</v>
          </cell>
          <cell r="T20">
            <v>0</v>
          </cell>
          <cell r="U20">
            <v>0</v>
          </cell>
          <cell r="V20">
            <v>0</v>
          </cell>
          <cell r="W20">
            <v>0</v>
          </cell>
          <cell r="X20">
            <v>0</v>
          </cell>
          <cell r="Y20">
            <v>0</v>
          </cell>
          <cell r="Z20">
            <v>181</v>
          </cell>
          <cell r="AA20">
            <v>181</v>
          </cell>
          <cell r="AB20">
            <v>181</v>
          </cell>
          <cell r="AC20">
            <v>0</v>
          </cell>
          <cell r="AD20">
            <v>0</v>
          </cell>
          <cell r="AE20">
            <v>0</v>
          </cell>
          <cell r="AF20">
            <v>0</v>
          </cell>
        </row>
        <row r="21">
          <cell r="B21" t="str">
            <v>A99M301</v>
          </cell>
          <cell r="C21" t="str">
            <v>Cambio Pesómetro Puerto Ventan</v>
          </cell>
          <cell r="D21">
            <v>0</v>
          </cell>
          <cell r="E21">
            <v>0</v>
          </cell>
          <cell r="P21">
            <v>0</v>
          </cell>
          <cell r="Q21">
            <v>0</v>
          </cell>
          <cell r="R21">
            <v>0</v>
          </cell>
          <cell r="S21">
            <v>0</v>
          </cell>
          <cell r="T21">
            <v>0</v>
          </cell>
          <cell r="U21">
            <v>0</v>
          </cell>
          <cell r="V21">
            <v>0</v>
          </cell>
          <cell r="W21">
            <v>0</v>
          </cell>
          <cell r="X21">
            <v>0</v>
          </cell>
          <cell r="Y21">
            <v>0</v>
          </cell>
          <cell r="Z21">
            <v>88.3</v>
          </cell>
          <cell r="AA21">
            <v>88.3</v>
          </cell>
          <cell r="AB21">
            <v>88.3</v>
          </cell>
          <cell r="AC21">
            <v>0</v>
          </cell>
          <cell r="AD21">
            <v>0</v>
          </cell>
          <cell r="AE21">
            <v>0</v>
          </cell>
          <cell r="AF21">
            <v>0</v>
          </cell>
        </row>
        <row r="22">
          <cell r="B22" t="str">
            <v>A99M302</v>
          </cell>
          <cell r="C22" t="str">
            <v>Mecanización Carguio Polvorazo</v>
          </cell>
          <cell r="D22">
            <v>0</v>
          </cell>
          <cell r="E22">
            <v>0</v>
          </cell>
          <cell r="P22">
            <v>0</v>
          </cell>
          <cell r="Q22">
            <v>0</v>
          </cell>
          <cell r="R22">
            <v>0</v>
          </cell>
          <cell r="S22">
            <v>0</v>
          </cell>
          <cell r="T22">
            <v>0</v>
          </cell>
          <cell r="U22">
            <v>0</v>
          </cell>
          <cell r="V22">
            <v>0</v>
          </cell>
          <cell r="W22">
            <v>0</v>
          </cell>
          <cell r="X22">
            <v>0</v>
          </cell>
          <cell r="Y22">
            <v>0</v>
          </cell>
          <cell r="Z22">
            <v>197</v>
          </cell>
          <cell r="AA22">
            <v>197</v>
          </cell>
          <cell r="AB22">
            <v>197</v>
          </cell>
          <cell r="AC22">
            <v>0</v>
          </cell>
          <cell r="AD22">
            <v>0</v>
          </cell>
          <cell r="AE22">
            <v>0</v>
          </cell>
          <cell r="AF22">
            <v>0</v>
          </cell>
        </row>
        <row r="23">
          <cell r="B23" t="str">
            <v>981002-1</v>
          </cell>
          <cell r="C23" t="str">
            <v>Implementación Sistema Automát</v>
          </cell>
          <cell r="D23">
            <v>8207.64</v>
          </cell>
          <cell r="E23">
            <v>2035.88</v>
          </cell>
          <cell r="F23">
            <v>0</v>
          </cell>
          <cell r="G23">
            <v>0</v>
          </cell>
          <cell r="H23">
            <v>0</v>
          </cell>
          <cell r="I23">
            <v>0</v>
          </cell>
          <cell r="J23">
            <v>0</v>
          </cell>
          <cell r="K23">
            <v>0</v>
          </cell>
          <cell r="L23">
            <v>0</v>
          </cell>
          <cell r="M23">
            <v>0</v>
          </cell>
          <cell r="N23">
            <v>0</v>
          </cell>
          <cell r="O23">
            <v>0</v>
          </cell>
          <cell r="P23">
            <v>10243.52</v>
          </cell>
          <cell r="Q23">
            <v>0</v>
          </cell>
          <cell r="R23">
            <v>0</v>
          </cell>
          <cell r="S23">
            <v>0</v>
          </cell>
          <cell r="T23">
            <v>10244</v>
          </cell>
          <cell r="U23">
            <v>0</v>
          </cell>
          <cell r="V23">
            <v>0</v>
          </cell>
          <cell r="W23">
            <v>0</v>
          </cell>
          <cell r="X23">
            <v>0</v>
          </cell>
          <cell r="Y23">
            <v>0</v>
          </cell>
          <cell r="Z23">
            <v>535</v>
          </cell>
          <cell r="AA23">
            <v>535</v>
          </cell>
          <cell r="AB23">
            <v>535</v>
          </cell>
          <cell r="AC23">
            <v>0</v>
          </cell>
          <cell r="AD23">
            <v>0</v>
          </cell>
          <cell r="AE23">
            <v>0</v>
          </cell>
          <cell r="AF23">
            <v>10243.52</v>
          </cell>
        </row>
        <row r="24">
          <cell r="B24" t="str">
            <v>981501-1</v>
          </cell>
          <cell r="C24" t="str">
            <v xml:space="preserve">Exploración Sector Don Luis </v>
          </cell>
          <cell r="D24">
            <v>166491.88</v>
          </cell>
          <cell r="E24">
            <v>115050.75</v>
          </cell>
          <cell r="F24">
            <v>0</v>
          </cell>
          <cell r="G24">
            <v>0</v>
          </cell>
          <cell r="H24">
            <v>0</v>
          </cell>
          <cell r="I24">
            <v>0</v>
          </cell>
          <cell r="J24">
            <v>0</v>
          </cell>
          <cell r="K24">
            <v>0</v>
          </cell>
          <cell r="L24">
            <v>0</v>
          </cell>
          <cell r="M24">
            <v>0</v>
          </cell>
          <cell r="N24">
            <v>0</v>
          </cell>
          <cell r="O24">
            <v>0</v>
          </cell>
          <cell r="P24">
            <v>281542.63</v>
          </cell>
          <cell r="Q24">
            <v>0</v>
          </cell>
          <cell r="R24">
            <v>0</v>
          </cell>
          <cell r="S24">
            <v>0</v>
          </cell>
          <cell r="T24">
            <v>281543</v>
          </cell>
          <cell r="U24">
            <v>0</v>
          </cell>
          <cell r="V24">
            <v>0</v>
          </cell>
          <cell r="W24">
            <v>0</v>
          </cell>
          <cell r="X24">
            <v>0</v>
          </cell>
          <cell r="Y24">
            <v>0</v>
          </cell>
          <cell r="Z24">
            <v>3251</v>
          </cell>
          <cell r="AA24">
            <v>3251</v>
          </cell>
          <cell r="AB24">
            <v>3251</v>
          </cell>
          <cell r="AC24">
            <v>0</v>
          </cell>
          <cell r="AD24">
            <v>0</v>
          </cell>
          <cell r="AE24">
            <v>0</v>
          </cell>
          <cell r="AF24">
            <v>281542.63</v>
          </cell>
        </row>
        <row r="25">
          <cell r="B25" t="str">
            <v>981501-2</v>
          </cell>
          <cell r="C25" t="str">
            <v>Exploración Cuerpos de Alta Le</v>
          </cell>
          <cell r="P25">
            <v>0</v>
          </cell>
          <cell r="Q25">
            <v>0</v>
          </cell>
          <cell r="R25">
            <v>0</v>
          </cell>
          <cell r="S25">
            <v>0</v>
          </cell>
          <cell r="T25">
            <v>0</v>
          </cell>
          <cell r="U25">
            <v>0</v>
          </cell>
          <cell r="V25">
            <v>0</v>
          </cell>
          <cell r="W25">
            <v>0</v>
          </cell>
          <cell r="X25">
            <v>0</v>
          </cell>
          <cell r="Y25">
            <v>0</v>
          </cell>
          <cell r="Z25">
            <v>791</v>
          </cell>
          <cell r="AA25">
            <v>791</v>
          </cell>
          <cell r="AB25">
            <v>791</v>
          </cell>
          <cell r="AC25">
            <v>0</v>
          </cell>
          <cell r="AD25">
            <v>0</v>
          </cell>
          <cell r="AE25">
            <v>0</v>
          </cell>
          <cell r="AF25">
            <v>0</v>
          </cell>
        </row>
      </sheetData>
      <sheetData sheetId="7" refreshError="1">
        <row r="6">
          <cell r="B6" t="str">
            <v>DAF-910802</v>
          </cell>
          <cell r="C6">
            <v>910802</v>
          </cell>
          <cell r="D6" t="str">
            <v>DAF</v>
          </cell>
          <cell r="F6" t="str">
            <v/>
          </cell>
        </row>
        <row r="7">
          <cell r="B7" t="str">
            <v>DUC-910802</v>
          </cell>
          <cell r="C7">
            <v>910802</v>
          </cell>
          <cell r="D7" t="str">
            <v>DUC</v>
          </cell>
        </row>
        <row r="8">
          <cell r="B8" t="str">
            <v>OTD-910802</v>
          </cell>
          <cell r="C8">
            <v>910802</v>
          </cell>
          <cell r="D8" t="str">
            <v>OTD</v>
          </cell>
        </row>
        <row r="9">
          <cell r="B9" t="str">
            <v>AHO-910802</v>
          </cell>
          <cell r="C9">
            <v>910802</v>
          </cell>
          <cell r="D9" t="str">
            <v>AHO</v>
          </cell>
        </row>
        <row r="10">
          <cell r="B10" t="str">
            <v>DAF-950807</v>
          </cell>
          <cell r="C10">
            <v>950807</v>
          </cell>
          <cell r="D10" t="str">
            <v>DAF</v>
          </cell>
        </row>
        <row r="11">
          <cell r="B11" t="str">
            <v>DUC-950807</v>
          </cell>
          <cell r="C11">
            <v>950807</v>
          </cell>
          <cell r="D11" t="str">
            <v>DUC</v>
          </cell>
        </row>
        <row r="12">
          <cell r="B12" t="str">
            <v>OTD-950807</v>
          </cell>
          <cell r="C12">
            <v>950807</v>
          </cell>
          <cell r="D12" t="str">
            <v>OTD</v>
          </cell>
        </row>
        <row r="13">
          <cell r="B13" t="str">
            <v>AHO-950807</v>
          </cell>
          <cell r="C13">
            <v>950807</v>
          </cell>
          <cell r="D13" t="str">
            <v>AHO</v>
          </cell>
        </row>
        <row r="14">
          <cell r="B14" t="str">
            <v>DAF-980808</v>
          </cell>
          <cell r="C14">
            <v>980808</v>
          </cell>
          <cell r="D14" t="str">
            <v>DAF</v>
          </cell>
        </row>
        <row r="15">
          <cell r="B15" t="str">
            <v>DUC-980808</v>
          </cell>
          <cell r="C15">
            <v>980808</v>
          </cell>
          <cell r="D15" t="str">
            <v>DUC</v>
          </cell>
        </row>
        <row r="16">
          <cell r="B16" t="str">
            <v>OTD-980808</v>
          </cell>
          <cell r="C16">
            <v>980808</v>
          </cell>
          <cell r="D16" t="str">
            <v>OTD</v>
          </cell>
        </row>
        <row r="17">
          <cell r="B17" t="str">
            <v>AHO-980808</v>
          </cell>
          <cell r="C17">
            <v>980808</v>
          </cell>
          <cell r="D17" t="str">
            <v>AHO</v>
          </cell>
        </row>
        <row r="18">
          <cell r="B18" t="str">
            <v>DAF-980809</v>
          </cell>
          <cell r="C18">
            <v>980809</v>
          </cell>
          <cell r="D18" t="str">
            <v>DAF</v>
          </cell>
        </row>
        <row r="19">
          <cell r="B19" t="str">
            <v>DUC-980809</v>
          </cell>
          <cell r="C19">
            <v>980809</v>
          </cell>
          <cell r="D19" t="str">
            <v>DUC</v>
          </cell>
        </row>
        <row r="20">
          <cell r="B20" t="str">
            <v>OTD-980809</v>
          </cell>
          <cell r="C20">
            <v>980809</v>
          </cell>
          <cell r="D20" t="str">
            <v>OTD</v>
          </cell>
        </row>
        <row r="21">
          <cell r="B21" t="str">
            <v>AHO-980809</v>
          </cell>
          <cell r="C21">
            <v>980809</v>
          </cell>
          <cell r="D21" t="str">
            <v>AHO</v>
          </cell>
        </row>
        <row r="22">
          <cell r="B22" t="str">
            <v>DAF-A01M401</v>
          </cell>
          <cell r="C22" t="str">
            <v>A01M401</v>
          </cell>
          <cell r="D22" t="str">
            <v>DAF</v>
          </cell>
          <cell r="E22" t="str">
            <v>Atraso inicio obras mineras</v>
          </cell>
        </row>
        <row r="23">
          <cell r="B23" t="str">
            <v>DUC-981501-1</v>
          </cell>
          <cell r="C23" t="str">
            <v>981501-1</v>
          </cell>
          <cell r="D23" t="str">
            <v>DUC</v>
          </cell>
        </row>
        <row r="24">
          <cell r="B24" t="str">
            <v>OTD-981501-1</v>
          </cell>
          <cell r="C24" t="str">
            <v>981501-1</v>
          </cell>
          <cell r="D24" t="str">
            <v>OTD</v>
          </cell>
        </row>
        <row r="25">
          <cell r="B25" t="str">
            <v>AHO-981501-1</v>
          </cell>
          <cell r="C25" t="str">
            <v>981501-1</v>
          </cell>
          <cell r="D25" t="str">
            <v>AHO</v>
          </cell>
        </row>
        <row r="26">
          <cell r="B26" t="str">
            <v>DAF-981501-2</v>
          </cell>
          <cell r="C26" t="str">
            <v>981501-2</v>
          </cell>
          <cell r="D26" t="str">
            <v>DAF</v>
          </cell>
        </row>
        <row r="27">
          <cell r="B27" t="str">
            <v>DUC-981501-2</v>
          </cell>
          <cell r="C27" t="str">
            <v>981501-2</v>
          </cell>
          <cell r="D27" t="str">
            <v>DUC</v>
          </cell>
        </row>
        <row r="28">
          <cell r="B28" t="str">
            <v>OTD-981501-2</v>
          </cell>
          <cell r="C28" t="str">
            <v>981501-2</v>
          </cell>
          <cell r="D28" t="str">
            <v>OTD</v>
          </cell>
        </row>
        <row r="29">
          <cell r="B29" t="str">
            <v>AHO-981501-2</v>
          </cell>
          <cell r="C29" t="str">
            <v>981501-2</v>
          </cell>
          <cell r="D29" t="str">
            <v>AHO</v>
          </cell>
        </row>
        <row r="30">
          <cell r="B30" t="str">
            <v>DAF-A00M417</v>
          </cell>
          <cell r="C30" t="str">
            <v>A00M417</v>
          </cell>
          <cell r="D30" t="str">
            <v>DAF</v>
          </cell>
        </row>
        <row r="31">
          <cell r="B31" t="str">
            <v>DUC-A00M417</v>
          </cell>
          <cell r="C31" t="str">
            <v>A00M417</v>
          </cell>
          <cell r="D31" t="str">
            <v>DUC</v>
          </cell>
        </row>
        <row r="32">
          <cell r="B32" t="str">
            <v>OTD-A00M417</v>
          </cell>
          <cell r="C32" t="str">
            <v>A00M417</v>
          </cell>
          <cell r="D32" t="str">
            <v>OTD</v>
          </cell>
          <cell r="E32" t="str">
            <v>Mayor costo de obras Cable Enterrado y Aereo por modificaciones de terreno. Mayor costo transporte de suministros no considerado.</v>
          </cell>
          <cell r="F32" t="str">
            <v>Mayor costo de obras Cable Enterrado y Aereo por modificaciones de terreno. Mayor costo transporte de suministros no considerado.</v>
          </cell>
        </row>
        <row r="33">
          <cell r="B33" t="str">
            <v>AHO-A00M417</v>
          </cell>
          <cell r="C33" t="str">
            <v>A00M417</v>
          </cell>
          <cell r="D33" t="str">
            <v>AHO</v>
          </cell>
          <cell r="F33" t="str">
            <v xml:space="preserve">Abono Liquidación Seguro Siniestro </v>
          </cell>
        </row>
        <row r="34">
          <cell r="B34" t="str">
            <v>DAF-981002-1</v>
          </cell>
          <cell r="C34" t="str">
            <v>981002-1</v>
          </cell>
          <cell r="D34" t="str">
            <v>DAF</v>
          </cell>
        </row>
        <row r="35">
          <cell r="B35" t="str">
            <v>DUC-981002-1</v>
          </cell>
          <cell r="C35" t="str">
            <v>981002-1</v>
          </cell>
          <cell r="D35" t="str">
            <v>DUC</v>
          </cell>
        </row>
        <row r="36">
          <cell r="B36" t="str">
            <v>OTD-981002-1</v>
          </cell>
          <cell r="C36" t="str">
            <v>981002-1</v>
          </cell>
          <cell r="D36" t="str">
            <v>OTD</v>
          </cell>
        </row>
        <row r="37">
          <cell r="B37" t="str">
            <v>AHO-981002-1</v>
          </cell>
          <cell r="C37" t="str">
            <v>981002-1</v>
          </cell>
          <cell r="D37" t="str">
            <v>AHO</v>
          </cell>
        </row>
        <row r="38">
          <cell r="B38" t="str">
            <v>DAF-930801</v>
          </cell>
          <cell r="C38">
            <v>930801</v>
          </cell>
          <cell r="D38" t="str">
            <v>DAF</v>
          </cell>
        </row>
        <row r="39">
          <cell r="B39" t="str">
            <v>DUC-930801</v>
          </cell>
          <cell r="C39">
            <v>930801</v>
          </cell>
          <cell r="D39" t="str">
            <v>DUC</v>
          </cell>
        </row>
        <row r="40">
          <cell r="B40" t="str">
            <v>OTD-930801</v>
          </cell>
          <cell r="C40">
            <v>930801</v>
          </cell>
          <cell r="D40" t="str">
            <v>OTD</v>
          </cell>
          <cell r="E40" t="str">
            <v>Postergación Instrumentación Presa API futuro (-250);Otros (-48).</v>
          </cell>
        </row>
        <row r="41">
          <cell r="B41" t="str">
            <v>AHO-930801</v>
          </cell>
          <cell r="C41">
            <v>930801</v>
          </cell>
          <cell r="D41" t="str">
            <v>AHO</v>
          </cell>
          <cell r="F41" t="str">
            <v>Postergación Instrumentación Presa API futuro (-250);Otros (-48).</v>
          </cell>
        </row>
        <row r="42">
          <cell r="B42" t="str">
            <v>DAF-940102</v>
          </cell>
          <cell r="C42">
            <v>940102</v>
          </cell>
          <cell r="D42" t="str">
            <v>DAF</v>
          </cell>
        </row>
        <row r="43">
          <cell r="B43" t="str">
            <v>DUC-940102</v>
          </cell>
          <cell r="C43">
            <v>940102</v>
          </cell>
          <cell r="D43" t="str">
            <v>DUC</v>
          </cell>
        </row>
        <row r="44">
          <cell r="B44" t="str">
            <v>OTD-940102</v>
          </cell>
          <cell r="C44">
            <v>940102</v>
          </cell>
          <cell r="D44" t="str">
            <v>OTD</v>
          </cell>
          <cell r="F44" t="str">
            <v>Mayor gasto en Adm. y Costos del Dueño (420); Mayor gasto Terminación Túneles Ppales. (78); Otros (-35).</v>
          </cell>
        </row>
        <row r="45">
          <cell r="B45" t="str">
            <v>AHO-940102</v>
          </cell>
          <cell r="C45">
            <v>940102</v>
          </cell>
          <cell r="D45" t="str">
            <v>AHO</v>
          </cell>
        </row>
        <row r="46">
          <cell r="B46" t="str">
            <v>DAF-940103</v>
          </cell>
          <cell r="C46">
            <v>940103</v>
          </cell>
          <cell r="D46" t="str">
            <v>DAF</v>
          </cell>
        </row>
        <row r="47">
          <cell r="B47" t="str">
            <v>DUC-940103</v>
          </cell>
          <cell r="C47">
            <v>940103</v>
          </cell>
          <cell r="D47" t="str">
            <v>DUC</v>
          </cell>
        </row>
        <row r="48">
          <cell r="B48" t="str">
            <v>OTD-940103</v>
          </cell>
          <cell r="C48">
            <v>940103</v>
          </cell>
          <cell r="D48" t="str">
            <v>OTD</v>
          </cell>
          <cell r="E48" t="str">
            <v xml:space="preserve">Gastos Adm. no revers. a Op. (782); Venta no realizada de Switchgear (276);Mayores costos y obras remanentes no prog. (2238); Otros (-523) </v>
          </cell>
          <cell r="F48" t="str">
            <v xml:space="preserve">Gastos Adm. no revers. a Op. (782); Venta no realizada de Switchgear (276);Mayores costos y obras remanentes no prog. (2238); Otros (-523) </v>
          </cell>
        </row>
        <row r="49">
          <cell r="B49" t="str">
            <v>AHO-940103</v>
          </cell>
          <cell r="C49">
            <v>940103</v>
          </cell>
          <cell r="D49" t="str">
            <v>AHO</v>
          </cell>
        </row>
        <row r="50">
          <cell r="B50" t="str">
            <v>DAF-961001</v>
          </cell>
          <cell r="C50">
            <v>961001</v>
          </cell>
          <cell r="D50" t="str">
            <v>DAF</v>
          </cell>
        </row>
        <row r="51">
          <cell r="B51" t="str">
            <v>DUC-961001</v>
          </cell>
          <cell r="C51">
            <v>961001</v>
          </cell>
          <cell r="D51" t="str">
            <v>DUC</v>
          </cell>
        </row>
        <row r="52">
          <cell r="B52" t="str">
            <v>OTD-961001</v>
          </cell>
          <cell r="C52">
            <v>961001</v>
          </cell>
          <cell r="D52" t="str">
            <v>OTD</v>
          </cell>
        </row>
        <row r="53">
          <cell r="B53" t="str">
            <v>AHO-961001</v>
          </cell>
          <cell r="C53">
            <v>961001</v>
          </cell>
          <cell r="D53" t="str">
            <v>AHO</v>
          </cell>
        </row>
        <row r="54">
          <cell r="B54" t="str">
            <v>DAF-A01M416</v>
          </cell>
          <cell r="C54" t="str">
            <v>A01M416</v>
          </cell>
          <cell r="D54" t="str">
            <v>DAF</v>
          </cell>
          <cell r="E54" t="str">
            <v>Atraso de Obras, postergadas para post-invierno</v>
          </cell>
        </row>
        <row r="55">
          <cell r="B55" t="str">
            <v>OTD-A01M416</v>
          </cell>
          <cell r="C55" t="str">
            <v>A01M416</v>
          </cell>
          <cell r="D55" t="str">
            <v>OTD</v>
          </cell>
          <cell r="E55" t="str">
            <v>Menor costo adquisición cañerías</v>
          </cell>
        </row>
        <row r="56">
          <cell r="B56" t="str">
            <v>AHO-A01M416</v>
          </cell>
          <cell r="C56" t="str">
            <v>A01M416</v>
          </cell>
          <cell r="D56" t="str">
            <v>AHO</v>
          </cell>
          <cell r="F56" t="str">
            <v>Ahorros por menor costo adquisición y montaje cañerías</v>
          </cell>
        </row>
        <row r="57">
          <cell r="B57" t="str">
            <v>AHO-A01M416</v>
          </cell>
          <cell r="C57" t="str">
            <v>A01M416</v>
          </cell>
          <cell r="D57" t="str">
            <v>AHO</v>
          </cell>
        </row>
        <row r="58">
          <cell r="B58" t="str">
            <v>DAF-970503</v>
          </cell>
          <cell r="C58">
            <v>970503</v>
          </cell>
          <cell r="D58" t="str">
            <v>DAF</v>
          </cell>
        </row>
        <row r="59">
          <cell r="B59" t="str">
            <v>DUC-970503</v>
          </cell>
          <cell r="C59">
            <v>970503</v>
          </cell>
          <cell r="D59" t="str">
            <v>DUC</v>
          </cell>
        </row>
        <row r="60">
          <cell r="B60" t="str">
            <v>OTD-970503</v>
          </cell>
          <cell r="C60">
            <v>970503</v>
          </cell>
          <cell r="D60" t="str">
            <v>OTD</v>
          </cell>
        </row>
        <row r="61">
          <cell r="B61" t="str">
            <v>AHO-970503</v>
          </cell>
          <cell r="C61">
            <v>970503</v>
          </cell>
          <cell r="D61" t="str">
            <v>AHO</v>
          </cell>
        </row>
        <row r="62">
          <cell r="B62" t="str">
            <v>DAF-970504</v>
          </cell>
          <cell r="C62">
            <v>970504</v>
          </cell>
          <cell r="D62" t="str">
            <v>DAF</v>
          </cell>
        </row>
        <row r="63">
          <cell r="B63" t="str">
            <v>DUC-970504</v>
          </cell>
          <cell r="C63">
            <v>970504</v>
          </cell>
          <cell r="D63" t="str">
            <v>DUC</v>
          </cell>
        </row>
        <row r="64">
          <cell r="B64" t="str">
            <v>OTD-970504</v>
          </cell>
          <cell r="C64">
            <v>970504</v>
          </cell>
          <cell r="D64" t="str">
            <v>OTD</v>
          </cell>
        </row>
        <row r="65">
          <cell r="B65" t="str">
            <v>AHO-970504</v>
          </cell>
          <cell r="C65">
            <v>970504</v>
          </cell>
          <cell r="D65" t="str">
            <v>AHO</v>
          </cell>
        </row>
        <row r="66">
          <cell r="B66" t="str">
            <v>DAF-970602</v>
          </cell>
          <cell r="C66">
            <v>970602</v>
          </cell>
          <cell r="D66" t="str">
            <v>DAF</v>
          </cell>
        </row>
        <row r="67">
          <cell r="B67" t="str">
            <v>DUC-970602</v>
          </cell>
          <cell r="C67">
            <v>970602</v>
          </cell>
          <cell r="D67" t="str">
            <v>DUC</v>
          </cell>
        </row>
        <row r="68">
          <cell r="B68" t="str">
            <v>OTD-970602</v>
          </cell>
          <cell r="C68">
            <v>970602</v>
          </cell>
          <cell r="D68" t="str">
            <v>OTD</v>
          </cell>
        </row>
        <row r="69">
          <cell r="B69" t="str">
            <v>AHO-970602</v>
          </cell>
          <cell r="C69">
            <v>970602</v>
          </cell>
          <cell r="D69" t="str">
            <v>AHO</v>
          </cell>
        </row>
        <row r="70">
          <cell r="B70" t="str">
            <v>DAF-970603</v>
          </cell>
          <cell r="C70">
            <v>970603</v>
          </cell>
          <cell r="D70" t="str">
            <v>DAF</v>
          </cell>
        </row>
        <row r="71">
          <cell r="B71" t="str">
            <v>DUC-970603</v>
          </cell>
          <cell r="C71">
            <v>970603</v>
          </cell>
          <cell r="D71" t="str">
            <v>DUC</v>
          </cell>
        </row>
        <row r="72">
          <cell r="B72" t="str">
            <v>OTD-970603</v>
          </cell>
          <cell r="C72">
            <v>970603</v>
          </cell>
          <cell r="D72" t="str">
            <v>OTD</v>
          </cell>
        </row>
        <row r="73">
          <cell r="B73" t="str">
            <v>AHO-970603</v>
          </cell>
          <cell r="C73">
            <v>970603</v>
          </cell>
          <cell r="D73" t="str">
            <v>AHO</v>
          </cell>
        </row>
        <row r="74">
          <cell r="B74" t="str">
            <v>DAF-970802</v>
          </cell>
          <cell r="C74">
            <v>970802</v>
          </cell>
          <cell r="D74" t="str">
            <v>DAF</v>
          </cell>
        </row>
        <row r="75">
          <cell r="B75" t="str">
            <v>DUC-970802</v>
          </cell>
          <cell r="C75">
            <v>970802</v>
          </cell>
          <cell r="D75" t="str">
            <v>DUC</v>
          </cell>
        </row>
        <row r="76">
          <cell r="B76" t="str">
            <v>OTD-970802</v>
          </cell>
          <cell r="C76">
            <v>970802</v>
          </cell>
          <cell r="D76" t="str">
            <v>OTD</v>
          </cell>
        </row>
        <row r="77">
          <cell r="B77" t="str">
            <v>AHO-970802</v>
          </cell>
          <cell r="C77">
            <v>970802</v>
          </cell>
          <cell r="D77" t="str">
            <v>AHO</v>
          </cell>
        </row>
        <row r="78">
          <cell r="B78" t="str">
            <v>DAF-970805</v>
          </cell>
          <cell r="C78">
            <v>970805</v>
          </cell>
          <cell r="D78" t="str">
            <v>DAF</v>
          </cell>
        </row>
        <row r="79">
          <cell r="B79" t="str">
            <v>DUC-970805</v>
          </cell>
          <cell r="C79">
            <v>970805</v>
          </cell>
          <cell r="D79" t="str">
            <v>DUC</v>
          </cell>
        </row>
        <row r="80">
          <cell r="B80" t="str">
            <v>OTD-970805</v>
          </cell>
          <cell r="C80">
            <v>970805</v>
          </cell>
          <cell r="D80" t="str">
            <v>OTD</v>
          </cell>
        </row>
        <row r="81">
          <cell r="B81" t="str">
            <v>AHO-970805</v>
          </cell>
          <cell r="C81">
            <v>970805</v>
          </cell>
          <cell r="D81" t="str">
            <v>AHO</v>
          </cell>
        </row>
        <row r="82">
          <cell r="B82" t="str">
            <v>DAF-970809</v>
          </cell>
          <cell r="C82">
            <v>970809</v>
          </cell>
          <cell r="D82" t="str">
            <v>DAF</v>
          </cell>
        </row>
        <row r="83">
          <cell r="B83" t="str">
            <v>DUC-970809</v>
          </cell>
          <cell r="C83">
            <v>970809</v>
          </cell>
          <cell r="D83" t="str">
            <v>DUC</v>
          </cell>
        </row>
        <row r="84">
          <cell r="B84" t="str">
            <v>OTD-970809</v>
          </cell>
          <cell r="C84">
            <v>970809</v>
          </cell>
          <cell r="D84" t="str">
            <v>OTD</v>
          </cell>
        </row>
        <row r="85">
          <cell r="B85" t="str">
            <v>AHO-970809</v>
          </cell>
          <cell r="C85">
            <v>970809</v>
          </cell>
          <cell r="D85" t="str">
            <v>AHO</v>
          </cell>
        </row>
        <row r="86">
          <cell r="B86" t="str">
            <v>DAF-970811</v>
          </cell>
          <cell r="C86">
            <v>970811</v>
          </cell>
          <cell r="D86" t="str">
            <v>DAF</v>
          </cell>
        </row>
        <row r="87">
          <cell r="B87" t="str">
            <v>DUC-970811</v>
          </cell>
          <cell r="C87">
            <v>970811</v>
          </cell>
          <cell r="D87" t="str">
            <v>DUC</v>
          </cell>
        </row>
        <row r="88">
          <cell r="B88" t="str">
            <v>OTD-970811</v>
          </cell>
          <cell r="C88">
            <v>970811</v>
          </cell>
          <cell r="D88" t="str">
            <v>OTD</v>
          </cell>
        </row>
        <row r="89">
          <cell r="B89" t="str">
            <v>AHO-970811</v>
          </cell>
          <cell r="C89">
            <v>970811</v>
          </cell>
          <cell r="D89" t="str">
            <v>AHO</v>
          </cell>
        </row>
        <row r="90">
          <cell r="B90" t="str">
            <v>DAF-971001</v>
          </cell>
          <cell r="C90">
            <v>971001</v>
          </cell>
          <cell r="D90" t="str">
            <v>DAF</v>
          </cell>
        </row>
        <row r="91">
          <cell r="B91" t="str">
            <v>DUC-971001</v>
          </cell>
          <cell r="C91">
            <v>971001</v>
          </cell>
          <cell r="D91" t="str">
            <v>DUC</v>
          </cell>
        </row>
        <row r="92">
          <cell r="B92" t="str">
            <v>OTD-971001</v>
          </cell>
          <cell r="C92">
            <v>971001</v>
          </cell>
          <cell r="D92" t="str">
            <v>OTD</v>
          </cell>
        </row>
        <row r="93">
          <cell r="B93" t="str">
            <v>AHO-971001</v>
          </cell>
          <cell r="C93">
            <v>971001</v>
          </cell>
          <cell r="D93" t="str">
            <v>AHO</v>
          </cell>
        </row>
        <row r="94">
          <cell r="B94" t="str">
            <v>DAF-971002</v>
          </cell>
          <cell r="C94">
            <v>971002</v>
          </cell>
          <cell r="D94" t="str">
            <v>DAF</v>
          </cell>
        </row>
        <row r="95">
          <cell r="B95" t="str">
            <v>DUC-971002</v>
          </cell>
          <cell r="C95">
            <v>971002</v>
          </cell>
          <cell r="D95" t="str">
            <v>DUC</v>
          </cell>
        </row>
        <row r="96">
          <cell r="B96" t="str">
            <v>OTD-971002</v>
          </cell>
          <cell r="C96">
            <v>971002</v>
          </cell>
          <cell r="D96" t="str">
            <v>OTD</v>
          </cell>
        </row>
        <row r="97">
          <cell r="B97" t="str">
            <v>AHO-971002</v>
          </cell>
          <cell r="C97">
            <v>971002</v>
          </cell>
          <cell r="D97" t="str">
            <v>AHO</v>
          </cell>
        </row>
        <row r="98">
          <cell r="B98" t="str">
            <v>DAF-980101</v>
          </cell>
          <cell r="C98">
            <v>980101</v>
          </cell>
          <cell r="D98" t="str">
            <v>DAF</v>
          </cell>
        </row>
        <row r="99">
          <cell r="B99" t="str">
            <v>DUC-980101</v>
          </cell>
          <cell r="C99">
            <v>980101</v>
          </cell>
          <cell r="D99" t="str">
            <v>DUC</v>
          </cell>
        </row>
        <row r="100">
          <cell r="B100" t="str">
            <v>OTD-980101</v>
          </cell>
          <cell r="C100">
            <v>980101</v>
          </cell>
          <cell r="D100" t="str">
            <v>OTD</v>
          </cell>
        </row>
        <row r="101">
          <cell r="B101" t="str">
            <v>AHO-980101</v>
          </cell>
          <cell r="C101">
            <v>980101</v>
          </cell>
          <cell r="D101" t="str">
            <v>AHO</v>
          </cell>
        </row>
        <row r="102">
          <cell r="B102" t="str">
            <v>DAF-980502</v>
          </cell>
          <cell r="C102">
            <v>980502</v>
          </cell>
          <cell r="D102" t="str">
            <v>DAF</v>
          </cell>
        </row>
        <row r="103">
          <cell r="B103" t="str">
            <v>DUC-980502</v>
          </cell>
          <cell r="C103">
            <v>980502</v>
          </cell>
          <cell r="D103" t="str">
            <v>DUC</v>
          </cell>
        </row>
        <row r="104">
          <cell r="B104" t="str">
            <v>OTD-980502</v>
          </cell>
          <cell r="C104">
            <v>980502</v>
          </cell>
          <cell r="D104" t="str">
            <v>OTD</v>
          </cell>
        </row>
        <row r="105">
          <cell r="B105" t="str">
            <v>AHO-980502</v>
          </cell>
          <cell r="C105">
            <v>980502</v>
          </cell>
          <cell r="D105" t="str">
            <v>AHO</v>
          </cell>
        </row>
        <row r="106">
          <cell r="B106" t="str">
            <v>DAF-980503</v>
          </cell>
          <cell r="C106">
            <v>980503</v>
          </cell>
          <cell r="D106" t="str">
            <v>DAF</v>
          </cell>
        </row>
        <row r="107">
          <cell r="B107" t="str">
            <v>DUC-980503</v>
          </cell>
          <cell r="C107">
            <v>980503</v>
          </cell>
          <cell r="D107" t="str">
            <v>DUC</v>
          </cell>
        </row>
        <row r="108">
          <cell r="B108" t="str">
            <v>OTD-980503</v>
          </cell>
          <cell r="C108">
            <v>980503</v>
          </cell>
          <cell r="D108" t="str">
            <v>OTD</v>
          </cell>
        </row>
        <row r="109">
          <cell r="B109" t="str">
            <v>AHO-980503</v>
          </cell>
          <cell r="C109">
            <v>980503</v>
          </cell>
          <cell r="D109" t="str">
            <v>AHO</v>
          </cell>
        </row>
        <row r="110">
          <cell r="B110" t="str">
            <v>DAF-980504</v>
          </cell>
          <cell r="C110">
            <v>980504</v>
          </cell>
          <cell r="D110" t="str">
            <v>DAF</v>
          </cell>
        </row>
        <row r="111">
          <cell r="B111" t="str">
            <v>DUC-980504</v>
          </cell>
          <cell r="C111">
            <v>980504</v>
          </cell>
          <cell r="D111" t="str">
            <v>DUC</v>
          </cell>
        </row>
        <row r="112">
          <cell r="B112" t="str">
            <v>OTD-980504</v>
          </cell>
          <cell r="C112">
            <v>980504</v>
          </cell>
          <cell r="D112" t="str">
            <v>OTD</v>
          </cell>
        </row>
        <row r="113">
          <cell r="B113" t="str">
            <v>AHO-980504</v>
          </cell>
          <cell r="C113">
            <v>980504</v>
          </cell>
          <cell r="D113" t="str">
            <v>AHO</v>
          </cell>
        </row>
        <row r="114">
          <cell r="B114" t="str">
            <v>DAF-980601</v>
          </cell>
          <cell r="C114">
            <v>980601</v>
          </cell>
          <cell r="D114" t="str">
            <v>DAF</v>
          </cell>
        </row>
        <row r="115">
          <cell r="B115" t="str">
            <v>DUC-980601</v>
          </cell>
          <cell r="C115">
            <v>980601</v>
          </cell>
          <cell r="D115" t="str">
            <v>DUC</v>
          </cell>
        </row>
        <row r="116">
          <cell r="B116" t="str">
            <v>OTD-980601</v>
          </cell>
          <cell r="C116">
            <v>980601</v>
          </cell>
          <cell r="D116" t="str">
            <v>OTD</v>
          </cell>
        </row>
        <row r="117">
          <cell r="B117" t="str">
            <v>AHO-980601</v>
          </cell>
          <cell r="C117">
            <v>980601</v>
          </cell>
          <cell r="D117" t="str">
            <v>AHO</v>
          </cell>
        </row>
        <row r="118">
          <cell r="B118" t="str">
            <v>DAF-980602</v>
          </cell>
          <cell r="C118">
            <v>980602</v>
          </cell>
          <cell r="D118" t="str">
            <v>DAF</v>
          </cell>
        </row>
        <row r="119">
          <cell r="B119" t="str">
            <v>DUC-980602</v>
          </cell>
          <cell r="C119">
            <v>980602</v>
          </cell>
          <cell r="D119" t="str">
            <v>DUC</v>
          </cell>
        </row>
        <row r="120">
          <cell r="B120" t="str">
            <v>OTD-980602</v>
          </cell>
          <cell r="C120">
            <v>980602</v>
          </cell>
          <cell r="D120" t="str">
            <v>OTD</v>
          </cell>
        </row>
        <row r="121">
          <cell r="B121" t="str">
            <v>AHO-980602</v>
          </cell>
          <cell r="C121">
            <v>980602</v>
          </cell>
          <cell r="D121" t="str">
            <v>AHO</v>
          </cell>
        </row>
        <row r="122">
          <cell r="B122" t="str">
            <v>DAF-980604</v>
          </cell>
          <cell r="C122">
            <v>980604</v>
          </cell>
          <cell r="D122" t="str">
            <v>DAF</v>
          </cell>
        </row>
        <row r="123">
          <cell r="B123" t="str">
            <v>DUC-980604</v>
          </cell>
          <cell r="C123">
            <v>980604</v>
          </cell>
          <cell r="D123" t="str">
            <v>DUC</v>
          </cell>
        </row>
        <row r="124">
          <cell r="B124" t="str">
            <v>OTD-980604</v>
          </cell>
          <cell r="C124">
            <v>980604</v>
          </cell>
          <cell r="D124" t="str">
            <v>OTD</v>
          </cell>
        </row>
        <row r="125">
          <cell r="B125" t="str">
            <v>AHO-980604</v>
          </cell>
          <cell r="C125">
            <v>980604</v>
          </cell>
          <cell r="D125" t="str">
            <v>AHO</v>
          </cell>
        </row>
        <row r="126">
          <cell r="B126" t="str">
            <v>DAF-980605</v>
          </cell>
          <cell r="C126">
            <v>980605</v>
          </cell>
          <cell r="D126" t="str">
            <v>DAF</v>
          </cell>
        </row>
        <row r="127">
          <cell r="B127" t="str">
            <v>DUC-980605</v>
          </cell>
          <cell r="C127">
            <v>980605</v>
          </cell>
          <cell r="D127" t="str">
            <v>DUC</v>
          </cell>
        </row>
        <row r="128">
          <cell r="B128" t="str">
            <v>OTD-980605</v>
          </cell>
          <cell r="C128">
            <v>980605</v>
          </cell>
          <cell r="D128" t="str">
            <v>OTD</v>
          </cell>
        </row>
        <row r="129">
          <cell r="B129" t="str">
            <v>AHO-980605</v>
          </cell>
          <cell r="C129">
            <v>980605</v>
          </cell>
          <cell r="D129" t="str">
            <v>AHO</v>
          </cell>
        </row>
        <row r="130">
          <cell r="B130" t="str">
            <v>DAF-981001</v>
          </cell>
          <cell r="C130">
            <v>981001</v>
          </cell>
          <cell r="D130" t="str">
            <v>DAF</v>
          </cell>
        </row>
        <row r="131">
          <cell r="B131" t="str">
            <v>DUC-981001</v>
          </cell>
          <cell r="C131">
            <v>981001</v>
          </cell>
          <cell r="D131" t="str">
            <v>DUC</v>
          </cell>
        </row>
        <row r="132">
          <cell r="B132" t="str">
            <v>OTD-981001</v>
          </cell>
          <cell r="C132">
            <v>981001</v>
          </cell>
          <cell r="D132" t="str">
            <v>OTD</v>
          </cell>
        </row>
        <row r="133">
          <cell r="B133" t="str">
            <v>AHO-981001</v>
          </cell>
          <cell r="C133">
            <v>981001</v>
          </cell>
          <cell r="D133" t="str">
            <v>AHO</v>
          </cell>
        </row>
        <row r="134">
          <cell r="B134" t="str">
            <v>DAF-981003</v>
          </cell>
          <cell r="C134">
            <v>981003</v>
          </cell>
          <cell r="D134" t="str">
            <v>DAF</v>
          </cell>
        </row>
        <row r="135">
          <cell r="B135" t="str">
            <v>DUC-981003</v>
          </cell>
          <cell r="C135">
            <v>981003</v>
          </cell>
          <cell r="D135" t="str">
            <v>DUC</v>
          </cell>
        </row>
        <row r="136">
          <cell r="B136" t="str">
            <v>OTD-981003</v>
          </cell>
          <cell r="C136">
            <v>981003</v>
          </cell>
          <cell r="D136" t="str">
            <v>OTD</v>
          </cell>
        </row>
        <row r="137">
          <cell r="B137" t="str">
            <v>AHO-981003</v>
          </cell>
          <cell r="C137">
            <v>981003</v>
          </cell>
          <cell r="D137" t="str">
            <v>AHO</v>
          </cell>
        </row>
        <row r="138">
          <cell r="B138" t="str">
            <v>DAF-981004</v>
          </cell>
          <cell r="C138">
            <v>981004</v>
          </cell>
          <cell r="D138" t="str">
            <v>DAF</v>
          </cell>
          <cell r="E138" t="str">
            <v>Atrasos en la adquisición de ventiladores y otros (-31); atrasos en montaje (-110)</v>
          </cell>
        </row>
        <row r="139">
          <cell r="B139" t="str">
            <v>DUC-981004</v>
          </cell>
          <cell r="C139">
            <v>981004</v>
          </cell>
          <cell r="D139" t="str">
            <v>DUC</v>
          </cell>
        </row>
        <row r="140">
          <cell r="B140" t="str">
            <v>OTD-981004</v>
          </cell>
          <cell r="C140">
            <v>981004</v>
          </cell>
          <cell r="D140" t="str">
            <v>OTD</v>
          </cell>
        </row>
        <row r="141">
          <cell r="B141" t="str">
            <v>AHO-981004</v>
          </cell>
          <cell r="C141">
            <v>981004</v>
          </cell>
          <cell r="D141" t="str">
            <v>AHO</v>
          </cell>
        </row>
        <row r="142">
          <cell r="B142" t="str">
            <v>DAF-981005</v>
          </cell>
          <cell r="C142">
            <v>981005</v>
          </cell>
          <cell r="D142" t="str">
            <v>DAF</v>
          </cell>
        </row>
        <row r="143">
          <cell r="B143" t="str">
            <v>DUC-981005</v>
          </cell>
          <cell r="C143">
            <v>981005</v>
          </cell>
          <cell r="D143" t="str">
            <v>DUC</v>
          </cell>
        </row>
        <row r="144">
          <cell r="B144" t="str">
            <v>OTD-981005</v>
          </cell>
          <cell r="C144">
            <v>981005</v>
          </cell>
          <cell r="D144" t="str">
            <v>OTD</v>
          </cell>
        </row>
        <row r="145">
          <cell r="B145" t="str">
            <v>AHO-981005</v>
          </cell>
          <cell r="C145">
            <v>981005</v>
          </cell>
          <cell r="D145" t="str">
            <v>AHO</v>
          </cell>
        </row>
        <row r="146">
          <cell r="B146" t="str">
            <v>DAF-981006</v>
          </cell>
          <cell r="C146">
            <v>981006</v>
          </cell>
          <cell r="D146" t="str">
            <v>DAF</v>
          </cell>
        </row>
        <row r="147">
          <cell r="B147" t="str">
            <v>DUC-981006</v>
          </cell>
          <cell r="C147">
            <v>981006</v>
          </cell>
          <cell r="D147" t="str">
            <v>DUC</v>
          </cell>
        </row>
        <row r="148">
          <cell r="B148" t="str">
            <v>OTD-981006</v>
          </cell>
          <cell r="C148">
            <v>981006</v>
          </cell>
          <cell r="D148" t="str">
            <v>OTD</v>
          </cell>
        </row>
        <row r="149">
          <cell r="B149" t="str">
            <v>AHO-981006</v>
          </cell>
          <cell r="C149">
            <v>981006</v>
          </cell>
          <cell r="D149" t="str">
            <v>AHO</v>
          </cell>
        </row>
        <row r="150">
          <cell r="B150" t="str">
            <v>DAF-981007</v>
          </cell>
          <cell r="C150">
            <v>981007</v>
          </cell>
          <cell r="D150" t="str">
            <v>DAF</v>
          </cell>
        </row>
        <row r="151">
          <cell r="B151" t="str">
            <v>DUC-981007</v>
          </cell>
          <cell r="C151">
            <v>981007</v>
          </cell>
          <cell r="D151" t="str">
            <v>DUC</v>
          </cell>
        </row>
        <row r="152">
          <cell r="B152" t="str">
            <v>OTD-981007</v>
          </cell>
          <cell r="C152">
            <v>981007</v>
          </cell>
          <cell r="D152" t="str">
            <v>OTD</v>
          </cell>
        </row>
        <row r="153">
          <cell r="B153" t="str">
            <v>AHO-981007</v>
          </cell>
          <cell r="C153">
            <v>981007</v>
          </cell>
          <cell r="D153" t="str">
            <v>AHO</v>
          </cell>
        </row>
        <row r="154">
          <cell r="B154" t="str">
            <v>DAF-981012</v>
          </cell>
          <cell r="C154">
            <v>981012</v>
          </cell>
          <cell r="D154" t="str">
            <v>DAF</v>
          </cell>
        </row>
        <row r="155">
          <cell r="B155" t="str">
            <v>DUC-981012</v>
          </cell>
          <cell r="C155">
            <v>981012</v>
          </cell>
          <cell r="D155" t="str">
            <v>DUC</v>
          </cell>
        </row>
        <row r="156">
          <cell r="B156" t="str">
            <v>OTD-981012</v>
          </cell>
          <cell r="C156">
            <v>981012</v>
          </cell>
          <cell r="D156" t="str">
            <v>OTD</v>
          </cell>
        </row>
        <row r="157">
          <cell r="B157" t="str">
            <v>AHO-981012</v>
          </cell>
          <cell r="C157">
            <v>981012</v>
          </cell>
          <cell r="D157" t="str">
            <v>AHO</v>
          </cell>
        </row>
        <row r="158">
          <cell r="B158" t="str">
            <v>DAF-981013</v>
          </cell>
          <cell r="C158">
            <v>981013</v>
          </cell>
          <cell r="D158" t="str">
            <v>DAF</v>
          </cell>
        </row>
        <row r="159">
          <cell r="B159" t="str">
            <v>DUC-981013</v>
          </cell>
          <cell r="C159">
            <v>981013</v>
          </cell>
          <cell r="D159" t="str">
            <v>DUC</v>
          </cell>
        </row>
        <row r="160">
          <cell r="B160" t="str">
            <v>OTD-981013</v>
          </cell>
          <cell r="C160">
            <v>981013</v>
          </cell>
          <cell r="D160" t="str">
            <v>OTD</v>
          </cell>
        </row>
        <row r="161">
          <cell r="B161" t="str">
            <v>AHO-981013</v>
          </cell>
          <cell r="C161">
            <v>981013</v>
          </cell>
          <cell r="D161" t="str">
            <v>AHO</v>
          </cell>
        </row>
        <row r="162">
          <cell r="B162" t="str">
            <v>DAF-A99M401</v>
          </cell>
          <cell r="C162" t="str">
            <v>A99M401</v>
          </cell>
          <cell r="D162" t="str">
            <v>DAF</v>
          </cell>
        </row>
        <row r="163">
          <cell r="B163" t="str">
            <v>DUC-A99M401</v>
          </cell>
          <cell r="C163" t="str">
            <v>A99M401</v>
          </cell>
          <cell r="D163" t="str">
            <v>DUC</v>
          </cell>
        </row>
        <row r="164">
          <cell r="B164" t="str">
            <v>OTD-A99M401</v>
          </cell>
          <cell r="C164" t="str">
            <v>A99M401</v>
          </cell>
          <cell r="D164" t="str">
            <v>OTD</v>
          </cell>
        </row>
        <row r="165">
          <cell r="B165" t="str">
            <v>AHO-A99M401</v>
          </cell>
          <cell r="C165" t="str">
            <v>A99M401</v>
          </cell>
          <cell r="D165" t="str">
            <v>AHO</v>
          </cell>
        </row>
        <row r="166">
          <cell r="B166" t="str">
            <v>DAF-A99M402</v>
          </cell>
          <cell r="C166" t="str">
            <v>A99M402</v>
          </cell>
          <cell r="D166" t="str">
            <v>DAF</v>
          </cell>
        </row>
        <row r="167">
          <cell r="B167" t="str">
            <v>DUC-A99M402</v>
          </cell>
          <cell r="C167" t="str">
            <v>A99M402</v>
          </cell>
          <cell r="D167" t="str">
            <v>DUC</v>
          </cell>
        </row>
        <row r="168">
          <cell r="B168" t="str">
            <v>OTD-A99M402</v>
          </cell>
          <cell r="C168" t="str">
            <v>A99M402</v>
          </cell>
          <cell r="D168" t="str">
            <v>OTD</v>
          </cell>
        </row>
        <row r="169">
          <cell r="B169" t="str">
            <v>AHO-A99M402</v>
          </cell>
          <cell r="C169" t="str">
            <v>A99M402</v>
          </cell>
          <cell r="D169" t="str">
            <v>AHO</v>
          </cell>
        </row>
        <row r="170">
          <cell r="B170" t="str">
            <v>DAF-A99M403</v>
          </cell>
          <cell r="C170" t="str">
            <v>A99M403</v>
          </cell>
          <cell r="D170" t="str">
            <v>DAF</v>
          </cell>
        </row>
        <row r="171">
          <cell r="B171" t="str">
            <v>DUC-A99M403</v>
          </cell>
          <cell r="C171" t="str">
            <v>A99M403</v>
          </cell>
          <cell r="D171" t="str">
            <v>DUC</v>
          </cell>
        </row>
        <row r="172">
          <cell r="B172" t="str">
            <v>OTD-A99M403</v>
          </cell>
          <cell r="C172" t="str">
            <v>A99M403</v>
          </cell>
          <cell r="D172" t="str">
            <v>OTD</v>
          </cell>
        </row>
        <row r="173">
          <cell r="B173" t="str">
            <v>AHO-A99M403</v>
          </cell>
          <cell r="C173" t="str">
            <v>A99M403</v>
          </cell>
          <cell r="D173" t="str">
            <v>AHO</v>
          </cell>
        </row>
        <row r="174">
          <cell r="B174" t="str">
            <v>DAF-A99M406</v>
          </cell>
          <cell r="C174" t="str">
            <v>A99M406</v>
          </cell>
          <cell r="D174" t="str">
            <v>DAF</v>
          </cell>
        </row>
        <row r="175">
          <cell r="B175" t="str">
            <v>DUC-A99M406</v>
          </cell>
          <cell r="C175" t="str">
            <v>A99M406</v>
          </cell>
          <cell r="D175" t="str">
            <v>DUC</v>
          </cell>
        </row>
        <row r="176">
          <cell r="B176" t="str">
            <v>OTD-A99M406</v>
          </cell>
          <cell r="C176" t="str">
            <v>A99M406</v>
          </cell>
          <cell r="D176" t="str">
            <v>OTD</v>
          </cell>
        </row>
        <row r="177">
          <cell r="B177" t="str">
            <v>AHO-A99M406</v>
          </cell>
          <cell r="C177" t="str">
            <v>A99M406</v>
          </cell>
          <cell r="D177" t="str">
            <v>AHO</v>
          </cell>
        </row>
        <row r="178">
          <cell r="B178" t="str">
            <v>DAF-A99M407</v>
          </cell>
          <cell r="C178" t="str">
            <v>A99M407</v>
          </cell>
          <cell r="D178" t="str">
            <v>DAF</v>
          </cell>
          <cell r="E178" t="str">
            <v>Atraso en el proceso de Adquisición.Jumbo arriba durante Noviembre.</v>
          </cell>
        </row>
        <row r="179">
          <cell r="B179" t="str">
            <v>DUC-A99M407</v>
          </cell>
          <cell r="C179" t="str">
            <v>A99M407</v>
          </cell>
          <cell r="D179" t="str">
            <v>DUC</v>
          </cell>
        </row>
        <row r="180">
          <cell r="B180" t="str">
            <v>OTD-A99M407</v>
          </cell>
          <cell r="C180" t="str">
            <v>A99M407</v>
          </cell>
          <cell r="D180" t="str">
            <v>OTD</v>
          </cell>
          <cell r="E180" t="str">
            <v>Mayor valor en costos de flete marítimo, aduana y seguros.</v>
          </cell>
          <cell r="F180" t="str">
            <v>Mayor valor en costos de flete marítimo, aduana y seguros.</v>
          </cell>
        </row>
        <row r="181">
          <cell r="B181" t="str">
            <v>AHO-A99M407</v>
          </cell>
          <cell r="C181" t="str">
            <v>A99M407</v>
          </cell>
          <cell r="D181" t="str">
            <v>AHO</v>
          </cell>
        </row>
        <row r="182">
          <cell r="B182" t="str">
            <v>DAF-A99M302</v>
          </cell>
          <cell r="C182" t="str">
            <v>A99M302</v>
          </cell>
          <cell r="D182" t="str">
            <v>DAF</v>
          </cell>
        </row>
        <row r="183">
          <cell r="B183" t="str">
            <v>DUC-A99M302</v>
          </cell>
          <cell r="C183" t="str">
            <v>A99M302</v>
          </cell>
          <cell r="D183" t="str">
            <v>DUC</v>
          </cell>
        </row>
        <row r="184">
          <cell r="B184" t="str">
            <v>OTD-A99M302</v>
          </cell>
          <cell r="C184" t="str">
            <v>A99M302</v>
          </cell>
          <cell r="D184" t="str">
            <v>OTD</v>
          </cell>
        </row>
        <row r="185">
          <cell r="B185" t="str">
            <v>AHO-A99M302</v>
          </cell>
          <cell r="C185" t="str">
            <v>A99M302</v>
          </cell>
          <cell r="D185" t="str">
            <v>AHO</v>
          </cell>
        </row>
      </sheetData>
      <sheetData sheetId="8" refreshError="1">
        <row r="5">
          <cell r="B5">
            <v>980503</v>
          </cell>
          <cell r="C5" t="str">
            <v>DIV</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Q5">
            <v>0</v>
          </cell>
          <cell r="BT5">
            <v>0</v>
          </cell>
          <cell r="BY5">
            <v>0</v>
          </cell>
          <cell r="BZ5">
            <v>0</v>
          </cell>
          <cell r="CA5">
            <v>0</v>
          </cell>
          <cell r="CB5">
            <v>0</v>
          </cell>
          <cell r="CC5">
            <v>0.34904350646296506</v>
          </cell>
          <cell r="CD5">
            <v>1</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row>
        <row r="6">
          <cell r="B6">
            <v>980808</v>
          </cell>
          <cell r="C6" t="str">
            <v>DIV</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Q6">
            <v>0</v>
          </cell>
          <cell r="BT6">
            <v>0</v>
          </cell>
          <cell r="BY6">
            <v>0</v>
          </cell>
          <cell r="BZ6">
            <v>0</v>
          </cell>
          <cell r="CA6">
            <v>0</v>
          </cell>
          <cell r="CB6">
            <v>0</v>
          </cell>
          <cell r="CC6">
            <v>0.34904350646296506</v>
          </cell>
          <cell r="CD6">
            <v>1</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row>
        <row r="7">
          <cell r="B7">
            <v>930801</v>
          </cell>
          <cell r="C7" t="str">
            <v>PRI</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Q7">
            <v>0</v>
          </cell>
          <cell r="BT7">
            <v>0</v>
          </cell>
          <cell r="BY7">
            <v>0</v>
          </cell>
          <cell r="BZ7">
            <v>0</v>
          </cell>
          <cell r="CA7">
            <v>0</v>
          </cell>
          <cell r="CB7">
            <v>0</v>
          </cell>
          <cell r="CC7">
            <v>0.59007388048636522</v>
          </cell>
          <cell r="CD7">
            <v>1</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row>
        <row r="8">
          <cell r="B8">
            <v>940102</v>
          </cell>
          <cell r="C8" t="str">
            <v>PRI</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Q8">
            <v>0</v>
          </cell>
          <cell r="BT8">
            <v>0</v>
          </cell>
          <cell r="BY8">
            <v>0</v>
          </cell>
          <cell r="BZ8">
            <v>0</v>
          </cell>
          <cell r="CA8">
            <v>0</v>
          </cell>
          <cell r="CB8">
            <v>0</v>
          </cell>
          <cell r="CC8">
            <v>0.59007388048636522</v>
          </cell>
          <cell r="CD8">
            <v>1</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row>
        <row r="9">
          <cell r="B9">
            <v>940103</v>
          </cell>
          <cell r="C9" t="str">
            <v>PRI</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Q9">
            <v>0</v>
          </cell>
          <cell r="BT9">
            <v>0</v>
          </cell>
          <cell r="BY9">
            <v>0</v>
          </cell>
          <cell r="BZ9">
            <v>0</v>
          </cell>
          <cell r="CA9">
            <v>0</v>
          </cell>
          <cell r="CB9">
            <v>0</v>
          </cell>
          <cell r="CC9">
            <v>0.59007388048636522</v>
          </cell>
          <cell r="CD9">
            <v>1</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row>
        <row r="10">
          <cell r="B10">
            <v>950807</v>
          </cell>
          <cell r="C10" t="str">
            <v>PRI</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Q10">
            <v>0</v>
          </cell>
          <cell r="BT10">
            <v>0</v>
          </cell>
          <cell r="BY10">
            <v>0</v>
          </cell>
          <cell r="BZ10">
            <v>0</v>
          </cell>
          <cell r="CA10">
            <v>0</v>
          </cell>
          <cell r="CB10">
            <v>0</v>
          </cell>
          <cell r="CC10">
            <v>0.59007388048636522</v>
          </cell>
          <cell r="CD10">
            <v>1</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row>
        <row r="11">
          <cell r="B11">
            <v>961001</v>
          </cell>
          <cell r="C11" t="str">
            <v>PRI</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Q11">
            <v>0</v>
          </cell>
          <cell r="BT11">
            <v>0</v>
          </cell>
          <cell r="BY11">
            <v>0</v>
          </cell>
          <cell r="BZ11">
            <v>0</v>
          </cell>
          <cell r="CA11">
            <v>0</v>
          </cell>
          <cell r="CB11">
            <v>0</v>
          </cell>
          <cell r="CC11">
            <v>0.59007388048636522</v>
          </cell>
          <cell r="CD11">
            <v>1</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row>
        <row r="12">
          <cell r="B12">
            <v>970805</v>
          </cell>
          <cell r="C12" t="str">
            <v>OTR</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Q12">
            <v>0</v>
          </cell>
          <cell r="BT12">
            <v>0</v>
          </cell>
          <cell r="BY12">
            <v>0</v>
          </cell>
          <cell r="BZ12">
            <v>0</v>
          </cell>
          <cell r="CA12">
            <v>0</v>
          </cell>
          <cell r="CB12">
            <v>0</v>
          </cell>
          <cell r="CC12">
            <v>0.52895998461554139</v>
          </cell>
          <cell r="CD12">
            <v>1</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row>
        <row r="13">
          <cell r="B13">
            <v>980101</v>
          </cell>
          <cell r="C13" t="str">
            <v>PRI</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Q13">
            <v>0</v>
          </cell>
          <cell r="BT13">
            <v>0</v>
          </cell>
          <cell r="BY13">
            <v>0</v>
          </cell>
          <cell r="BZ13">
            <v>0</v>
          </cell>
          <cell r="CA13">
            <v>0</v>
          </cell>
          <cell r="CB13">
            <v>0</v>
          </cell>
          <cell r="CC13">
            <v>0.59007388048636522</v>
          </cell>
          <cell r="CD13">
            <v>1</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row>
        <row r="14">
          <cell r="B14">
            <v>980502</v>
          </cell>
          <cell r="C14" t="str">
            <v>OTR</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Q14">
            <v>0</v>
          </cell>
          <cell r="BT14">
            <v>0</v>
          </cell>
          <cell r="BY14">
            <v>0</v>
          </cell>
          <cell r="BZ14">
            <v>0</v>
          </cell>
          <cell r="CA14">
            <v>0</v>
          </cell>
          <cell r="CB14">
            <v>0</v>
          </cell>
          <cell r="CC14">
            <v>0.52895998461554139</v>
          </cell>
          <cell r="CD14">
            <v>1</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row>
        <row r="15">
          <cell r="B15">
            <v>980602</v>
          </cell>
          <cell r="C15" t="str">
            <v>OTR</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Q15">
            <v>0</v>
          </cell>
          <cell r="BT15">
            <v>0</v>
          </cell>
          <cell r="BY15">
            <v>0</v>
          </cell>
          <cell r="BZ15">
            <v>0</v>
          </cell>
          <cell r="CA15">
            <v>0</v>
          </cell>
          <cell r="CB15">
            <v>0</v>
          </cell>
          <cell r="CC15">
            <v>0.52895998461554139</v>
          </cell>
          <cell r="CD15">
            <v>1</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row>
        <row r="16">
          <cell r="B16">
            <v>980809</v>
          </cell>
          <cell r="C16" t="str">
            <v>PRI</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Q16">
            <v>0</v>
          </cell>
          <cell r="BT16">
            <v>0</v>
          </cell>
          <cell r="BY16">
            <v>0</v>
          </cell>
          <cell r="BZ16">
            <v>0</v>
          </cell>
          <cell r="CA16">
            <v>0</v>
          </cell>
          <cell r="CB16">
            <v>0</v>
          </cell>
          <cell r="CC16">
            <v>0.59007388048636522</v>
          </cell>
          <cell r="CD16">
            <v>1</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row>
        <row r="17">
          <cell r="B17">
            <v>981004</v>
          </cell>
          <cell r="C17" t="str">
            <v>OTR</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Q17">
            <v>0</v>
          </cell>
          <cell r="BT17">
            <v>0</v>
          </cell>
          <cell r="BY17">
            <v>0</v>
          </cell>
          <cell r="BZ17">
            <v>0</v>
          </cell>
          <cell r="CA17">
            <v>0</v>
          </cell>
          <cell r="CB17">
            <v>0</v>
          </cell>
          <cell r="CC17">
            <v>0.52895998461554139</v>
          </cell>
          <cell r="CD17">
            <v>1</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row>
        <row r="18">
          <cell r="B18" t="str">
            <v>A99M401</v>
          </cell>
          <cell r="C18" t="str">
            <v>PRI</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Q18">
            <v>0</v>
          </cell>
          <cell r="BT18">
            <v>0</v>
          </cell>
          <cell r="BY18">
            <v>0</v>
          </cell>
          <cell r="BZ18">
            <v>0</v>
          </cell>
          <cell r="CA18">
            <v>0</v>
          </cell>
          <cell r="CB18">
            <v>0</v>
          </cell>
          <cell r="CC18">
            <v>0.59007388048636522</v>
          </cell>
          <cell r="CD18">
            <v>1</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row>
        <row r="19">
          <cell r="B19" t="str">
            <v>A99M402</v>
          </cell>
          <cell r="C19" t="str">
            <v>PRI</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Q19">
            <v>0</v>
          </cell>
          <cell r="BT19">
            <v>0</v>
          </cell>
          <cell r="BY19">
            <v>0</v>
          </cell>
          <cell r="BZ19">
            <v>0</v>
          </cell>
          <cell r="CA19">
            <v>0</v>
          </cell>
          <cell r="CB19">
            <v>0</v>
          </cell>
          <cell r="CC19">
            <v>0.59007388048636522</v>
          </cell>
          <cell r="CD19">
            <v>1</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row>
        <row r="20">
          <cell r="B20" t="str">
            <v>A99M403</v>
          </cell>
          <cell r="C20" t="str">
            <v>OTR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Q20">
            <v>0</v>
          </cell>
          <cell r="BT20">
            <v>0</v>
          </cell>
          <cell r="BY20">
            <v>0</v>
          </cell>
          <cell r="BZ20">
            <v>0</v>
          </cell>
          <cell r="CA20">
            <v>0</v>
          </cell>
          <cell r="CB20">
            <v>0</v>
          </cell>
          <cell r="CC20">
            <v>0.52895998461554139</v>
          </cell>
          <cell r="CD20">
            <v>1</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row>
        <row r="21">
          <cell r="B21" t="str">
            <v>A99M406</v>
          </cell>
          <cell r="C21" t="str">
            <v>OTR</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Q21">
            <v>0</v>
          </cell>
          <cell r="BT21">
            <v>0</v>
          </cell>
          <cell r="BY21">
            <v>0</v>
          </cell>
          <cell r="BZ21">
            <v>0</v>
          </cell>
          <cell r="CA21">
            <v>0</v>
          </cell>
          <cell r="CB21">
            <v>0</v>
          </cell>
          <cell r="CC21">
            <v>0.52895998461554139</v>
          </cell>
          <cell r="CD21">
            <v>1</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row>
        <row r="22">
          <cell r="B22" t="str">
            <v>A99M407</v>
          </cell>
          <cell r="C22" t="str">
            <v>PRI</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Q22">
            <v>0</v>
          </cell>
          <cell r="BT22">
            <v>0</v>
          </cell>
          <cell r="BY22">
            <v>0</v>
          </cell>
          <cell r="BZ22">
            <v>0</v>
          </cell>
          <cell r="CA22">
            <v>0</v>
          </cell>
          <cell r="CB22">
            <v>0</v>
          </cell>
          <cell r="CC22">
            <v>0.59007388048636522</v>
          </cell>
          <cell r="CD22">
            <v>1</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row>
        <row r="23">
          <cell r="B23" t="str">
            <v>A00M201</v>
          </cell>
          <cell r="C23" t="str">
            <v>OTR</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Q23">
            <v>0</v>
          </cell>
          <cell r="BT23">
            <v>0</v>
          </cell>
          <cell r="BY23">
            <v>0</v>
          </cell>
          <cell r="BZ23">
            <v>0</v>
          </cell>
          <cell r="CA23">
            <v>0</v>
          </cell>
          <cell r="CB23">
            <v>0</v>
          </cell>
          <cell r="CC23">
            <v>0.52895998461554139</v>
          </cell>
          <cell r="CD23">
            <v>1</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row>
        <row r="24">
          <cell r="B24" t="str">
            <v>A00M202</v>
          </cell>
          <cell r="C24" t="str">
            <v>PRI</v>
          </cell>
          <cell r="D24">
            <v>14.01</v>
          </cell>
          <cell r="E24">
            <v>0</v>
          </cell>
          <cell r="F24">
            <v>0</v>
          </cell>
          <cell r="G24">
            <v>0</v>
          </cell>
          <cell r="H24">
            <v>0</v>
          </cell>
          <cell r="I24">
            <v>0</v>
          </cell>
          <cell r="J24">
            <v>0</v>
          </cell>
          <cell r="K24">
            <v>0</v>
          </cell>
          <cell r="L24">
            <v>0</v>
          </cell>
          <cell r="M24">
            <v>0</v>
          </cell>
          <cell r="N24">
            <v>0</v>
          </cell>
          <cell r="O24">
            <v>0</v>
          </cell>
          <cell r="P24">
            <v>14.01</v>
          </cell>
          <cell r="Q24">
            <v>14.01</v>
          </cell>
          <cell r="R24">
            <v>0</v>
          </cell>
          <cell r="S24">
            <v>0</v>
          </cell>
          <cell r="T24">
            <v>0</v>
          </cell>
          <cell r="U24">
            <v>0</v>
          </cell>
          <cell r="V24">
            <v>0</v>
          </cell>
          <cell r="W24">
            <v>0</v>
          </cell>
          <cell r="X24">
            <v>0</v>
          </cell>
          <cell r="Y24">
            <v>0</v>
          </cell>
          <cell r="Z24">
            <v>0</v>
          </cell>
          <cell r="AA24">
            <v>0</v>
          </cell>
          <cell r="AB24">
            <v>0</v>
          </cell>
          <cell r="AC24">
            <v>14.01</v>
          </cell>
          <cell r="AD24">
            <v>188.08600000000001</v>
          </cell>
          <cell r="AE24">
            <v>52.25</v>
          </cell>
          <cell r="AF24">
            <v>24.94</v>
          </cell>
          <cell r="AG24">
            <v>0</v>
          </cell>
          <cell r="AH24">
            <v>0</v>
          </cell>
          <cell r="AI24">
            <v>0</v>
          </cell>
          <cell r="AJ24">
            <v>0</v>
          </cell>
          <cell r="AK24">
            <v>0</v>
          </cell>
          <cell r="AL24">
            <v>0</v>
          </cell>
          <cell r="AM24">
            <v>0</v>
          </cell>
          <cell r="AN24">
            <v>0</v>
          </cell>
          <cell r="AO24">
            <v>0</v>
          </cell>
          <cell r="AP24">
            <v>265.27600000000001</v>
          </cell>
          <cell r="AQ24">
            <v>180</v>
          </cell>
          <cell r="AR24">
            <v>51</v>
          </cell>
          <cell r="AS24">
            <v>34</v>
          </cell>
          <cell r="AT24">
            <v>0</v>
          </cell>
          <cell r="AU24">
            <v>0</v>
          </cell>
          <cell r="AV24">
            <v>0</v>
          </cell>
          <cell r="AW24">
            <v>0</v>
          </cell>
          <cell r="AX24">
            <v>0</v>
          </cell>
          <cell r="AY24">
            <v>0</v>
          </cell>
          <cell r="AZ24">
            <v>0</v>
          </cell>
          <cell r="BA24">
            <v>0</v>
          </cell>
          <cell r="BB24">
            <v>0</v>
          </cell>
          <cell r="BC24">
            <v>265</v>
          </cell>
          <cell r="BD24">
            <v>14.01</v>
          </cell>
          <cell r="BE24">
            <v>14.01</v>
          </cell>
          <cell r="BF24">
            <v>265.27600000000001</v>
          </cell>
          <cell r="BG24">
            <v>265</v>
          </cell>
          <cell r="BH24">
            <v>265</v>
          </cell>
          <cell r="BI24">
            <v>-12.597443277</v>
          </cell>
          <cell r="BJ24">
            <v>-12.597443277</v>
          </cell>
          <cell r="BK24">
            <v>1.1091860622448078E-2</v>
          </cell>
          <cell r="BL24">
            <v>1.1091860622448078E-2</v>
          </cell>
          <cell r="BM24">
            <v>1.1091860622448078E-2</v>
          </cell>
          <cell r="BN24">
            <v>1.1091860622448078E-2</v>
          </cell>
          <cell r="BO24">
            <v>1.1091860622448078E-2</v>
          </cell>
          <cell r="BQ24">
            <v>-12.597443277</v>
          </cell>
          <cell r="BS24">
            <v>12.32</v>
          </cell>
          <cell r="BT24">
            <v>0</v>
          </cell>
          <cell r="BW24">
            <v>12.32</v>
          </cell>
          <cell r="BY24">
            <v>0</v>
          </cell>
          <cell r="BZ24">
            <v>265</v>
          </cell>
          <cell r="CA24">
            <v>0</v>
          </cell>
          <cell r="CB24">
            <v>0</v>
          </cell>
          <cell r="CC24">
            <v>0.59007388048636522</v>
          </cell>
          <cell r="CD24">
            <v>1</v>
          </cell>
          <cell r="CE24">
            <v>1.8797409933321692E-2</v>
          </cell>
          <cell r="CF24">
            <v>1.1091860622448078E-2</v>
          </cell>
          <cell r="CG24">
            <v>265.27600000000001</v>
          </cell>
          <cell r="CH24">
            <v>188.29418449552878</v>
          </cell>
          <cell r="CI24">
            <v>52.765930314094881</v>
          </cell>
          <cell r="CJ24">
            <v>36.537328459882673</v>
          </cell>
          <cell r="CK24">
            <v>0</v>
          </cell>
          <cell r="CL24">
            <v>0</v>
          </cell>
          <cell r="CM24">
            <v>0</v>
          </cell>
          <cell r="CN24">
            <v>0</v>
          </cell>
          <cell r="CO24">
            <v>0</v>
          </cell>
          <cell r="CP24">
            <v>0</v>
          </cell>
          <cell r="CQ24">
            <v>0</v>
          </cell>
          <cell r="CR24">
            <v>0</v>
          </cell>
          <cell r="CS24">
            <v>0</v>
          </cell>
          <cell r="CT24">
            <v>277.59744326950636</v>
          </cell>
        </row>
        <row r="25">
          <cell r="B25" t="str">
            <v>A00M401</v>
          </cell>
          <cell r="C25" t="str">
            <v>OTR</v>
          </cell>
          <cell r="D25">
            <v>20</v>
          </cell>
          <cell r="E25">
            <v>0</v>
          </cell>
          <cell r="F25">
            <v>0</v>
          </cell>
          <cell r="G25">
            <v>0</v>
          </cell>
          <cell r="H25">
            <v>0</v>
          </cell>
          <cell r="I25">
            <v>0</v>
          </cell>
          <cell r="J25">
            <v>0</v>
          </cell>
          <cell r="K25">
            <v>0</v>
          </cell>
          <cell r="L25">
            <v>0</v>
          </cell>
          <cell r="M25">
            <v>0</v>
          </cell>
          <cell r="N25">
            <v>0</v>
          </cell>
          <cell r="O25">
            <v>0</v>
          </cell>
          <cell r="P25">
            <v>20</v>
          </cell>
          <cell r="Q25">
            <v>20</v>
          </cell>
          <cell r="R25">
            <v>0</v>
          </cell>
          <cell r="S25">
            <v>0</v>
          </cell>
          <cell r="T25">
            <v>0</v>
          </cell>
          <cell r="U25">
            <v>0</v>
          </cell>
          <cell r="V25">
            <v>0</v>
          </cell>
          <cell r="W25">
            <v>0</v>
          </cell>
          <cell r="X25">
            <v>0</v>
          </cell>
          <cell r="Y25">
            <v>0</v>
          </cell>
          <cell r="Z25">
            <v>0</v>
          </cell>
          <cell r="AA25">
            <v>0</v>
          </cell>
          <cell r="AB25">
            <v>0</v>
          </cell>
          <cell r="AC25">
            <v>20</v>
          </cell>
          <cell r="AD25">
            <v>-318</v>
          </cell>
          <cell r="AE25">
            <v>325.2</v>
          </cell>
          <cell r="AF25">
            <v>8.6</v>
          </cell>
          <cell r="AG25">
            <v>0</v>
          </cell>
          <cell r="AH25">
            <v>0</v>
          </cell>
          <cell r="AI25">
            <v>0</v>
          </cell>
          <cell r="AJ25">
            <v>0</v>
          </cell>
          <cell r="AK25">
            <v>0</v>
          </cell>
          <cell r="AL25">
            <v>0</v>
          </cell>
          <cell r="AM25">
            <v>0</v>
          </cell>
          <cell r="AN25">
            <v>0</v>
          </cell>
          <cell r="AO25">
            <v>0</v>
          </cell>
          <cell r="AP25">
            <v>15.799999999999988</v>
          </cell>
          <cell r="AQ25">
            <v>-323.10000000000002</v>
          </cell>
          <cell r="AR25">
            <v>324.10000000000002</v>
          </cell>
          <cell r="AS25">
            <v>5.0999999999999996</v>
          </cell>
          <cell r="AT25">
            <v>0</v>
          </cell>
          <cell r="AU25">
            <v>0</v>
          </cell>
          <cell r="AV25">
            <v>0</v>
          </cell>
          <cell r="AW25">
            <v>0</v>
          </cell>
          <cell r="AX25">
            <v>0</v>
          </cell>
          <cell r="AY25">
            <v>0</v>
          </cell>
          <cell r="AZ25">
            <v>0</v>
          </cell>
          <cell r="BA25">
            <v>0</v>
          </cell>
          <cell r="BB25">
            <v>0</v>
          </cell>
          <cell r="BC25">
            <v>6.1</v>
          </cell>
          <cell r="BD25">
            <v>20</v>
          </cell>
          <cell r="BE25">
            <v>20</v>
          </cell>
          <cell r="BF25">
            <v>15.800000000000011</v>
          </cell>
          <cell r="BG25">
            <v>6.1</v>
          </cell>
          <cell r="BH25">
            <v>0</v>
          </cell>
          <cell r="BI25">
            <v>-6.2553344345399999</v>
          </cell>
          <cell r="BJ25">
            <v>0</v>
          </cell>
          <cell r="BK25">
            <v>7.8814785254651513E-3</v>
          </cell>
          <cell r="BL25">
            <v>7.8814785254651513E-3</v>
          </cell>
          <cell r="BM25">
            <v>7.8814785254651513E-3</v>
          </cell>
          <cell r="BN25">
            <v>7.8814785254651513E-3</v>
          </cell>
          <cell r="BO25">
            <v>7.8814785254651513E-3</v>
          </cell>
          <cell r="BQ25">
            <v>-6.2553344345399999</v>
          </cell>
          <cell r="BS25">
            <v>-3.44</v>
          </cell>
          <cell r="BT25">
            <v>0</v>
          </cell>
          <cell r="BW25">
            <v>-3.44</v>
          </cell>
          <cell r="BY25">
            <v>0</v>
          </cell>
          <cell r="BZ25">
            <v>0</v>
          </cell>
          <cell r="CA25">
            <v>0</v>
          </cell>
          <cell r="CB25">
            <v>-6.1</v>
          </cell>
          <cell r="CC25">
            <v>0.52895998461554139</v>
          </cell>
          <cell r="CD25">
            <v>1</v>
          </cell>
          <cell r="CE25">
            <v>1.489995227369338E-2</v>
          </cell>
          <cell r="CF25">
            <v>7.8814785254651513E-3</v>
          </cell>
          <cell r="CG25">
            <v>15.799999999999988</v>
          </cell>
          <cell r="CH25">
            <v>-318.08106887835652</v>
          </cell>
          <cell r="CI25">
            <v>324.95580404044051</v>
          </cell>
          <cell r="CJ25">
            <v>5.4805992689823997</v>
          </cell>
          <cell r="CK25">
            <v>0</v>
          </cell>
          <cell r="CL25">
            <v>0</v>
          </cell>
          <cell r="CM25">
            <v>0</v>
          </cell>
          <cell r="CN25">
            <v>0</v>
          </cell>
          <cell r="CO25">
            <v>0</v>
          </cell>
          <cell r="CP25">
            <v>0</v>
          </cell>
          <cell r="CQ25">
            <v>0</v>
          </cell>
          <cell r="CR25">
            <v>0</v>
          </cell>
          <cell r="CS25">
            <v>0</v>
          </cell>
          <cell r="CT25">
            <v>12.355334431066392</v>
          </cell>
        </row>
        <row r="26">
          <cell r="B26" t="str">
            <v>A00M405</v>
          </cell>
          <cell r="C26" t="str">
            <v>OTR</v>
          </cell>
          <cell r="D26">
            <v>1.74</v>
          </cell>
          <cell r="E26">
            <v>1.52</v>
          </cell>
          <cell r="F26">
            <v>0.64600000000000002</v>
          </cell>
          <cell r="G26">
            <v>0</v>
          </cell>
          <cell r="H26">
            <v>0</v>
          </cell>
          <cell r="I26">
            <v>0.76</v>
          </cell>
          <cell r="J26">
            <v>1.5579999999999998</v>
          </cell>
          <cell r="K26">
            <v>0</v>
          </cell>
          <cell r="L26">
            <v>0</v>
          </cell>
          <cell r="M26">
            <v>0</v>
          </cell>
          <cell r="N26">
            <v>0</v>
          </cell>
          <cell r="O26">
            <v>0</v>
          </cell>
          <cell r="P26">
            <v>6.2239999999999993</v>
          </cell>
          <cell r="Q26">
            <v>1.74</v>
          </cell>
          <cell r="R26">
            <v>1.52</v>
          </cell>
          <cell r="S26">
            <v>0.64600000000000002</v>
          </cell>
          <cell r="T26">
            <v>0</v>
          </cell>
          <cell r="U26">
            <v>0</v>
          </cell>
          <cell r="V26">
            <v>0.76</v>
          </cell>
          <cell r="W26">
            <v>0.38</v>
          </cell>
          <cell r="X26">
            <v>1.1780000000000002</v>
          </cell>
          <cell r="Y26">
            <v>0</v>
          </cell>
          <cell r="Z26">
            <v>0</v>
          </cell>
          <cell r="AA26">
            <v>0</v>
          </cell>
          <cell r="AB26">
            <v>0</v>
          </cell>
          <cell r="AC26">
            <v>6.2239999999999993</v>
          </cell>
          <cell r="AD26">
            <v>3.4</v>
          </cell>
          <cell r="AE26">
            <v>3.8000000000000003</v>
          </cell>
          <cell r="AF26">
            <v>49.8</v>
          </cell>
          <cell r="AG26">
            <v>1</v>
          </cell>
          <cell r="AH26">
            <v>0</v>
          </cell>
          <cell r="AI26">
            <v>3</v>
          </cell>
          <cell r="AJ26">
            <v>21.1</v>
          </cell>
          <cell r="AK26">
            <v>0</v>
          </cell>
          <cell r="AL26">
            <v>0</v>
          </cell>
          <cell r="AM26">
            <v>0</v>
          </cell>
          <cell r="AN26">
            <v>0</v>
          </cell>
          <cell r="AO26">
            <v>0</v>
          </cell>
          <cell r="AP26">
            <v>82.1</v>
          </cell>
          <cell r="AQ26">
            <v>3.4</v>
          </cell>
          <cell r="AR26">
            <v>3.8000000000000003</v>
          </cell>
          <cell r="AS26">
            <v>45.8</v>
          </cell>
          <cell r="AT26">
            <v>5.0999999999999996</v>
          </cell>
          <cell r="AU26">
            <v>0</v>
          </cell>
          <cell r="AV26">
            <v>-40.1</v>
          </cell>
          <cell r="AW26">
            <v>1</v>
          </cell>
          <cell r="AX26">
            <v>55</v>
          </cell>
          <cell r="AY26">
            <v>0</v>
          </cell>
          <cell r="AZ26">
            <v>0</v>
          </cell>
          <cell r="BA26">
            <v>0</v>
          </cell>
          <cell r="BB26">
            <v>0</v>
          </cell>
          <cell r="BC26">
            <v>74</v>
          </cell>
          <cell r="BD26">
            <v>6.2239999999999993</v>
          </cell>
          <cell r="BE26">
            <v>5.0459999999999994</v>
          </cell>
          <cell r="BF26">
            <v>82.1</v>
          </cell>
          <cell r="BG26">
            <v>18.999999999999996</v>
          </cell>
          <cell r="BH26">
            <v>18</v>
          </cell>
          <cell r="BI26">
            <v>0.29395028269000051</v>
          </cell>
          <cell r="BJ26">
            <v>-1.2205283771</v>
          </cell>
          <cell r="BK26">
            <v>4.0953758667132238E-2</v>
          </cell>
          <cell r="BL26">
            <v>4.0953758667132238E-2</v>
          </cell>
          <cell r="BM26">
            <v>3.320254920217694E-2</v>
          </cell>
          <cell r="BN26">
            <v>4.0953758667132238E-2</v>
          </cell>
          <cell r="BO26">
            <v>4.0953758667132238E-2</v>
          </cell>
          <cell r="BP26">
            <v>-63.39</v>
          </cell>
          <cell r="BQ26">
            <v>0.29395028269000051</v>
          </cell>
          <cell r="BT26">
            <v>0</v>
          </cell>
          <cell r="BX26">
            <v>-8.39</v>
          </cell>
          <cell r="BY26">
            <v>0</v>
          </cell>
          <cell r="BZ26">
            <v>18</v>
          </cell>
          <cell r="CA26">
            <v>0</v>
          </cell>
          <cell r="CB26">
            <v>-0.99999999999999645</v>
          </cell>
          <cell r="CC26">
            <v>0.52895998461554139</v>
          </cell>
          <cell r="CD26">
            <v>1</v>
          </cell>
          <cell r="CE26">
            <v>6.2769491394153776E-2</v>
          </cell>
          <cell r="CF26">
            <v>4.0953758667132238E-2</v>
          </cell>
          <cell r="CG26">
            <v>82.1</v>
          </cell>
          <cell r="CH26">
            <v>3.5566679293599881</v>
          </cell>
          <cell r="CI26">
            <v>3.9315791214423639</v>
          </cell>
          <cell r="CJ26">
            <v>49.217930690077239</v>
          </cell>
          <cell r="CK26">
            <v>5.557280359184265</v>
          </cell>
          <cell r="CL26">
            <v>0</v>
          </cell>
          <cell r="CM26">
            <v>-44.748805841578367</v>
          </cell>
          <cell r="CN26">
            <v>1.1913974591651544</v>
          </cell>
          <cell r="CO26">
            <v>55</v>
          </cell>
          <cell r="CP26">
            <v>0</v>
          </cell>
          <cell r="CQ26">
            <v>0</v>
          </cell>
          <cell r="CR26">
            <v>0</v>
          </cell>
          <cell r="CS26">
            <v>0</v>
          </cell>
          <cell r="CT26">
            <v>73.706049717650643</v>
          </cell>
        </row>
        <row r="27">
          <cell r="B27" t="str">
            <v>A00M406</v>
          </cell>
          <cell r="C27" t="str">
            <v>OTR</v>
          </cell>
          <cell r="D27">
            <v>10.266</v>
          </cell>
          <cell r="E27">
            <v>14.486000000000001</v>
          </cell>
          <cell r="F27">
            <v>1.6879999999999999</v>
          </cell>
          <cell r="G27">
            <v>1.266</v>
          </cell>
          <cell r="H27">
            <v>10.9671</v>
          </cell>
          <cell r="I27">
            <v>7.8900000000000006</v>
          </cell>
          <cell r="J27">
            <v>0</v>
          </cell>
          <cell r="K27">
            <v>0</v>
          </cell>
          <cell r="L27">
            <v>0</v>
          </cell>
          <cell r="M27">
            <v>0</v>
          </cell>
          <cell r="N27">
            <v>0</v>
          </cell>
          <cell r="O27">
            <v>0</v>
          </cell>
          <cell r="P27">
            <v>46.563100000000006</v>
          </cell>
          <cell r="Q27">
            <v>10.266</v>
          </cell>
          <cell r="R27">
            <v>14.486000000000001</v>
          </cell>
          <cell r="S27">
            <v>1.6879999999999999</v>
          </cell>
          <cell r="T27">
            <v>1.266</v>
          </cell>
          <cell r="U27">
            <v>10.9671</v>
          </cell>
          <cell r="V27">
            <v>7.8900000000000006</v>
          </cell>
          <cell r="W27">
            <v>0</v>
          </cell>
          <cell r="X27">
            <v>0</v>
          </cell>
          <cell r="Y27">
            <v>0</v>
          </cell>
          <cell r="Z27">
            <v>0</v>
          </cell>
          <cell r="AA27">
            <v>0</v>
          </cell>
          <cell r="AB27">
            <v>0</v>
          </cell>
          <cell r="AC27">
            <v>46.563100000000006</v>
          </cell>
          <cell r="AD27">
            <v>0.4</v>
          </cell>
          <cell r="AE27">
            <v>0.5</v>
          </cell>
          <cell r="AF27">
            <v>5</v>
          </cell>
          <cell r="AG27">
            <v>45.1</v>
          </cell>
          <cell r="AH27">
            <v>411.7</v>
          </cell>
          <cell r="AI27">
            <v>23.8</v>
          </cell>
          <cell r="AJ27">
            <v>0</v>
          </cell>
          <cell r="AK27">
            <v>0</v>
          </cell>
          <cell r="AL27">
            <v>0</v>
          </cell>
          <cell r="AM27">
            <v>0</v>
          </cell>
          <cell r="AN27">
            <v>0</v>
          </cell>
          <cell r="AO27">
            <v>0</v>
          </cell>
          <cell r="AP27">
            <v>486.5</v>
          </cell>
          <cell r="AQ27">
            <v>0.4</v>
          </cell>
          <cell r="AR27">
            <v>0.5</v>
          </cell>
          <cell r="AS27">
            <v>5</v>
          </cell>
          <cell r="AT27">
            <v>47.1</v>
          </cell>
          <cell r="AU27">
            <v>5.7</v>
          </cell>
          <cell r="AV27">
            <v>391.09999999999997</v>
          </cell>
          <cell r="AW27">
            <v>0</v>
          </cell>
          <cell r="AX27">
            <v>0</v>
          </cell>
          <cell r="AY27">
            <v>0</v>
          </cell>
          <cell r="AZ27">
            <v>0</v>
          </cell>
          <cell r="BA27">
            <v>0</v>
          </cell>
          <cell r="BB27">
            <v>0</v>
          </cell>
          <cell r="BC27">
            <v>449.79999999999995</v>
          </cell>
          <cell r="BD27">
            <v>46.563099999999999</v>
          </cell>
          <cell r="BE27">
            <v>46.563099999999999</v>
          </cell>
          <cell r="BF27">
            <v>486.5</v>
          </cell>
          <cell r="BG27">
            <v>449.8</v>
          </cell>
          <cell r="BH27">
            <v>18</v>
          </cell>
          <cell r="BI27">
            <v>-50.516939503700002</v>
          </cell>
          <cell r="BJ27">
            <v>-1.6115236335000001</v>
          </cell>
          <cell r="BK27">
            <v>0.24267970269865818</v>
          </cell>
          <cell r="BL27">
            <v>0.24267970269865813</v>
          </cell>
          <cell r="BM27">
            <v>0.24267970269865813</v>
          </cell>
          <cell r="BN27">
            <v>0.24267970269865818</v>
          </cell>
          <cell r="BO27">
            <v>0.24267970269865818</v>
          </cell>
          <cell r="BQ27">
            <v>-50.516939503700002</v>
          </cell>
          <cell r="BR27">
            <v>-19</v>
          </cell>
          <cell r="BS27">
            <v>32.82</v>
          </cell>
          <cell r="BT27">
            <v>0</v>
          </cell>
          <cell r="BV27">
            <v>-19</v>
          </cell>
          <cell r="BW27">
            <v>32.82</v>
          </cell>
          <cell r="BY27">
            <v>0</v>
          </cell>
          <cell r="BZ27">
            <v>18</v>
          </cell>
          <cell r="CA27">
            <v>0</v>
          </cell>
          <cell r="CB27">
            <v>-431.8</v>
          </cell>
          <cell r="CC27">
            <v>0.52895998461554139</v>
          </cell>
          <cell r="CD27">
            <v>1</v>
          </cell>
          <cell r="CE27">
            <v>0.45878650513619201</v>
          </cell>
          <cell r="CF27">
            <v>0.24267970269865818</v>
          </cell>
          <cell r="CG27">
            <v>486.5</v>
          </cell>
          <cell r="CH27">
            <v>0.4184315211011751</v>
          </cell>
          <cell r="CI27">
            <v>0.51731304229504782</v>
          </cell>
          <cell r="CJ27">
            <v>5.3731365382180396</v>
          </cell>
          <cell r="CK27">
            <v>51.323118611289985</v>
          </cell>
          <cell r="CL27">
            <v>6.2445915618361987</v>
          </cell>
          <cell r="CM27">
            <v>436.44034824541887</v>
          </cell>
          <cell r="CN27">
            <v>0</v>
          </cell>
          <cell r="CO27">
            <v>0</v>
          </cell>
          <cell r="CP27">
            <v>0</v>
          </cell>
          <cell r="CQ27">
            <v>0</v>
          </cell>
          <cell r="CR27">
            <v>0</v>
          </cell>
          <cell r="CS27">
            <v>0</v>
          </cell>
          <cell r="CT27">
            <v>500.31693952015934</v>
          </cell>
        </row>
        <row r="28">
          <cell r="B28" t="str">
            <v>A00M101</v>
          </cell>
          <cell r="C28" t="str">
            <v>DIV</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Q28">
            <v>0</v>
          </cell>
          <cell r="BT28">
            <v>0</v>
          </cell>
          <cell r="BY28">
            <v>0</v>
          </cell>
          <cell r="BZ28">
            <v>0</v>
          </cell>
          <cell r="CA28">
            <v>0</v>
          </cell>
          <cell r="CB28">
            <v>0</v>
          </cell>
          <cell r="CC28">
            <v>0.34904350646296506</v>
          </cell>
          <cell r="CD28">
            <v>1</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row>
        <row r="29">
          <cell r="B29" t="str">
            <v>A00M102</v>
          </cell>
          <cell r="C29" t="str">
            <v>DIV</v>
          </cell>
          <cell r="D29">
            <v>40</v>
          </cell>
          <cell r="E29">
            <v>20</v>
          </cell>
          <cell r="F29">
            <v>10</v>
          </cell>
          <cell r="G29">
            <v>0</v>
          </cell>
          <cell r="H29">
            <v>0</v>
          </cell>
          <cell r="I29">
            <v>0</v>
          </cell>
          <cell r="J29">
            <v>0</v>
          </cell>
          <cell r="K29">
            <v>0</v>
          </cell>
          <cell r="L29">
            <v>0</v>
          </cell>
          <cell r="M29">
            <v>0</v>
          </cell>
          <cell r="N29">
            <v>0</v>
          </cell>
          <cell r="O29">
            <v>0</v>
          </cell>
          <cell r="P29">
            <v>70</v>
          </cell>
          <cell r="Q29">
            <v>40</v>
          </cell>
          <cell r="R29">
            <v>20</v>
          </cell>
          <cell r="S29">
            <v>10</v>
          </cell>
          <cell r="T29">
            <v>0</v>
          </cell>
          <cell r="U29">
            <v>0</v>
          </cell>
          <cell r="V29">
            <v>0</v>
          </cell>
          <cell r="W29">
            <v>0</v>
          </cell>
          <cell r="X29">
            <v>0</v>
          </cell>
          <cell r="Y29">
            <v>0</v>
          </cell>
          <cell r="Z29">
            <v>0</v>
          </cell>
          <cell r="AA29">
            <v>0</v>
          </cell>
          <cell r="AB29">
            <v>0</v>
          </cell>
          <cell r="AC29">
            <v>70</v>
          </cell>
          <cell r="AD29">
            <v>0</v>
          </cell>
          <cell r="AE29">
            <v>4</v>
          </cell>
          <cell r="AF29">
            <v>40</v>
          </cell>
          <cell r="AG29">
            <v>0</v>
          </cell>
          <cell r="AH29">
            <v>0</v>
          </cell>
          <cell r="AI29">
            <v>0</v>
          </cell>
          <cell r="AJ29">
            <v>0</v>
          </cell>
          <cell r="AK29">
            <v>0</v>
          </cell>
          <cell r="AL29">
            <v>0</v>
          </cell>
          <cell r="AM29">
            <v>0</v>
          </cell>
          <cell r="AN29">
            <v>0</v>
          </cell>
          <cell r="AO29">
            <v>0</v>
          </cell>
          <cell r="AP29">
            <v>44</v>
          </cell>
          <cell r="AQ29">
            <v>0</v>
          </cell>
          <cell r="AR29">
            <v>4</v>
          </cell>
          <cell r="AS29">
            <v>37</v>
          </cell>
          <cell r="AT29">
            <v>0</v>
          </cell>
          <cell r="AU29">
            <v>0</v>
          </cell>
          <cell r="AV29">
            <v>0</v>
          </cell>
          <cell r="AW29">
            <v>0</v>
          </cell>
          <cell r="AX29">
            <v>0</v>
          </cell>
          <cell r="AY29">
            <v>0</v>
          </cell>
          <cell r="AZ29">
            <v>0</v>
          </cell>
          <cell r="BA29">
            <v>0</v>
          </cell>
          <cell r="BB29">
            <v>0</v>
          </cell>
          <cell r="BC29">
            <v>41</v>
          </cell>
          <cell r="BD29">
            <v>70</v>
          </cell>
          <cell r="BE29">
            <v>70</v>
          </cell>
          <cell r="BF29">
            <v>44</v>
          </cell>
          <cell r="BG29">
            <v>41</v>
          </cell>
          <cell r="BH29">
            <v>46</v>
          </cell>
          <cell r="BI29">
            <v>-2.8997147195999999</v>
          </cell>
          <cell r="BJ29">
            <v>-4.0305176789999999</v>
          </cell>
          <cell r="BK29">
            <v>9.7705953046071901E-3</v>
          </cell>
          <cell r="BL29">
            <v>9.7705953046071901E-3</v>
          </cell>
          <cell r="BM29">
            <v>9.7705953046071901E-3</v>
          </cell>
          <cell r="BN29">
            <v>9.7705953046071901E-3</v>
          </cell>
          <cell r="BO29">
            <v>9.7705953046071901E-3</v>
          </cell>
          <cell r="BQ29">
            <v>-2.8997147195999999</v>
          </cell>
          <cell r="BS29">
            <v>-0.1</v>
          </cell>
          <cell r="BT29">
            <v>0</v>
          </cell>
          <cell r="BW29">
            <v>-0.1</v>
          </cell>
          <cell r="BY29">
            <v>0</v>
          </cell>
          <cell r="BZ29">
            <v>46</v>
          </cell>
          <cell r="CA29">
            <v>5</v>
          </cell>
          <cell r="CB29">
            <v>0</v>
          </cell>
          <cell r="CC29">
            <v>0.34904350646296506</v>
          </cell>
          <cell r="CD29">
            <v>1</v>
          </cell>
          <cell r="CE29">
            <v>2.7992485531725227E-2</v>
          </cell>
          <cell r="CF29">
            <v>9.7705953046071901E-3</v>
          </cell>
          <cell r="CG29">
            <v>44</v>
          </cell>
          <cell r="CH29">
            <v>0</v>
          </cell>
          <cell r="CI29">
            <v>4.1385043383603826</v>
          </cell>
          <cell r="CJ29">
            <v>39.761210382813495</v>
          </cell>
          <cell r="CK29">
            <v>0</v>
          </cell>
          <cell r="CL29">
            <v>0</v>
          </cell>
          <cell r="CM29">
            <v>0</v>
          </cell>
          <cell r="CN29">
            <v>0</v>
          </cell>
          <cell r="CO29">
            <v>0</v>
          </cell>
          <cell r="CP29">
            <v>0</v>
          </cell>
          <cell r="CQ29">
            <v>0</v>
          </cell>
          <cell r="CR29">
            <v>0</v>
          </cell>
          <cell r="CS29">
            <v>0</v>
          </cell>
          <cell r="CT29">
            <v>43.899714721173879</v>
          </cell>
        </row>
        <row r="30">
          <cell r="B30" t="str">
            <v>A00M103</v>
          </cell>
          <cell r="C30" t="str">
            <v>DIV</v>
          </cell>
          <cell r="D30">
            <v>10</v>
          </cell>
          <cell r="E30">
            <v>15</v>
          </cell>
          <cell r="F30">
            <v>25</v>
          </cell>
          <cell r="G30">
            <v>31.1</v>
          </cell>
          <cell r="H30">
            <v>18.899999999999999</v>
          </cell>
          <cell r="I30">
            <v>0</v>
          </cell>
          <cell r="J30">
            <v>0</v>
          </cell>
          <cell r="K30">
            <v>0</v>
          </cell>
          <cell r="L30">
            <v>0</v>
          </cell>
          <cell r="M30">
            <v>0</v>
          </cell>
          <cell r="N30">
            <v>0</v>
          </cell>
          <cell r="O30">
            <v>0</v>
          </cell>
          <cell r="P30">
            <v>100</v>
          </cell>
          <cell r="Q30">
            <v>10</v>
          </cell>
          <cell r="R30">
            <v>15</v>
          </cell>
          <cell r="S30">
            <v>25</v>
          </cell>
          <cell r="T30">
            <v>10</v>
          </cell>
          <cell r="U30">
            <v>40</v>
          </cell>
          <cell r="V30">
            <v>0</v>
          </cell>
          <cell r="W30">
            <v>0</v>
          </cell>
          <cell r="X30">
            <v>0</v>
          </cell>
          <cell r="Y30">
            <v>0</v>
          </cell>
          <cell r="Z30">
            <v>0</v>
          </cell>
          <cell r="AA30">
            <v>0</v>
          </cell>
          <cell r="AB30">
            <v>0</v>
          </cell>
          <cell r="AC30">
            <v>100</v>
          </cell>
          <cell r="AD30">
            <v>0</v>
          </cell>
          <cell r="AE30">
            <v>3</v>
          </cell>
          <cell r="AF30">
            <v>25</v>
          </cell>
          <cell r="AG30">
            <v>18</v>
          </cell>
          <cell r="AH30">
            <v>13</v>
          </cell>
          <cell r="AI30">
            <v>0</v>
          </cell>
          <cell r="AJ30">
            <v>0</v>
          </cell>
          <cell r="AK30">
            <v>0</v>
          </cell>
          <cell r="AL30">
            <v>0</v>
          </cell>
          <cell r="AM30">
            <v>0</v>
          </cell>
          <cell r="AN30">
            <v>0</v>
          </cell>
          <cell r="AO30">
            <v>0</v>
          </cell>
          <cell r="AP30">
            <v>59</v>
          </cell>
          <cell r="AQ30">
            <v>0</v>
          </cell>
          <cell r="AR30">
            <v>3</v>
          </cell>
          <cell r="AS30">
            <v>23.2</v>
          </cell>
          <cell r="AT30">
            <v>4</v>
          </cell>
          <cell r="AU30">
            <v>4</v>
          </cell>
          <cell r="AV30">
            <v>0</v>
          </cell>
          <cell r="AW30">
            <v>0</v>
          </cell>
          <cell r="AX30">
            <v>0</v>
          </cell>
          <cell r="AY30">
            <v>0</v>
          </cell>
          <cell r="AZ30">
            <v>0</v>
          </cell>
          <cell r="BA30">
            <v>0</v>
          </cell>
          <cell r="BB30">
            <v>0</v>
          </cell>
          <cell r="BC30">
            <v>34.200000000000003</v>
          </cell>
          <cell r="BD30">
            <v>100</v>
          </cell>
          <cell r="BE30">
            <v>100</v>
          </cell>
          <cell r="BF30">
            <v>59</v>
          </cell>
          <cell r="BG30">
            <v>34.200000000000003</v>
          </cell>
          <cell r="BH30">
            <v>6</v>
          </cell>
          <cell r="BI30">
            <v>-2.5760525693199998</v>
          </cell>
          <cell r="BJ30">
            <v>-0.36959032000000003</v>
          </cell>
          <cell r="BK30">
            <v>1.3101480067541461E-2</v>
          </cell>
          <cell r="BL30">
            <v>1.3101480067541461E-2</v>
          </cell>
          <cell r="BM30">
            <v>1.3101480067541461E-2</v>
          </cell>
          <cell r="BN30">
            <v>1.3101480067541461E-2</v>
          </cell>
          <cell r="BO30">
            <v>1.3101480067541461E-2</v>
          </cell>
          <cell r="BQ30">
            <v>-2.5760525693199998</v>
          </cell>
          <cell r="BR30">
            <v>-18</v>
          </cell>
          <cell r="BS30">
            <v>-4.2199999999999989</v>
          </cell>
          <cell r="BT30">
            <v>0</v>
          </cell>
          <cell r="BV30">
            <v>-18</v>
          </cell>
          <cell r="BX30">
            <v>-4.2199999999999989</v>
          </cell>
          <cell r="BY30">
            <v>0</v>
          </cell>
          <cell r="BZ30">
            <v>6</v>
          </cell>
          <cell r="CA30">
            <v>0</v>
          </cell>
          <cell r="CB30">
            <v>-28.200000000000003</v>
          </cell>
          <cell r="CC30">
            <v>0.34904350646296506</v>
          </cell>
          <cell r="CD30">
            <v>1</v>
          </cell>
          <cell r="CE30">
            <v>3.7535378326631556E-2</v>
          </cell>
          <cell r="CF30">
            <v>1.3101480067541461E-2</v>
          </cell>
          <cell r="CG30">
            <v>59</v>
          </cell>
          <cell r="CH30">
            <v>0</v>
          </cell>
          <cell r="CI30">
            <v>3.1038782537702869</v>
          </cell>
          <cell r="CJ30">
            <v>24.931353537331702</v>
          </cell>
          <cell r="CK30">
            <v>4.3586512621053064</v>
          </cell>
          <cell r="CL30">
            <v>4.3821695170780339</v>
          </cell>
          <cell r="CM30">
            <v>0</v>
          </cell>
          <cell r="CN30">
            <v>0</v>
          </cell>
          <cell r="CO30">
            <v>0</v>
          </cell>
          <cell r="CP30">
            <v>0</v>
          </cell>
          <cell r="CQ30">
            <v>0</v>
          </cell>
          <cell r="CR30">
            <v>0</v>
          </cell>
          <cell r="CS30">
            <v>0</v>
          </cell>
          <cell r="CT30">
            <v>36.77605257028533</v>
          </cell>
        </row>
        <row r="31">
          <cell r="B31" t="str">
            <v>A00M301</v>
          </cell>
          <cell r="C31" t="str">
            <v>DIV</v>
          </cell>
          <cell r="D31">
            <v>1.7600000000000002</v>
          </cell>
          <cell r="E31">
            <v>2.2399999999999998</v>
          </cell>
          <cell r="F31">
            <v>0</v>
          </cell>
          <cell r="G31">
            <v>0</v>
          </cell>
          <cell r="H31">
            <v>0</v>
          </cell>
          <cell r="I31">
            <v>0</v>
          </cell>
          <cell r="J31">
            <v>0</v>
          </cell>
          <cell r="K31">
            <v>0</v>
          </cell>
          <cell r="L31">
            <v>0</v>
          </cell>
          <cell r="M31">
            <v>0</v>
          </cell>
          <cell r="N31">
            <v>0</v>
          </cell>
          <cell r="O31">
            <v>0</v>
          </cell>
          <cell r="P31">
            <v>4</v>
          </cell>
          <cell r="Q31">
            <v>1.7600000000000002</v>
          </cell>
          <cell r="R31">
            <v>2.2399999999999998</v>
          </cell>
          <cell r="S31">
            <v>0</v>
          </cell>
          <cell r="T31">
            <v>0</v>
          </cell>
          <cell r="U31">
            <v>0</v>
          </cell>
          <cell r="V31">
            <v>0</v>
          </cell>
          <cell r="W31">
            <v>0</v>
          </cell>
          <cell r="X31">
            <v>0</v>
          </cell>
          <cell r="Y31">
            <v>0</v>
          </cell>
          <cell r="Z31">
            <v>0</v>
          </cell>
          <cell r="AA31">
            <v>0</v>
          </cell>
          <cell r="AB31">
            <v>0</v>
          </cell>
          <cell r="AC31">
            <v>4</v>
          </cell>
          <cell r="AD31">
            <v>0</v>
          </cell>
          <cell r="AE31">
            <v>2.2999999999999998</v>
          </cell>
          <cell r="AF31">
            <v>12.5</v>
          </cell>
          <cell r="AG31">
            <v>0</v>
          </cell>
          <cell r="AH31">
            <v>0</v>
          </cell>
          <cell r="AI31">
            <v>0</v>
          </cell>
          <cell r="AJ31">
            <v>0</v>
          </cell>
          <cell r="AK31">
            <v>0</v>
          </cell>
          <cell r="AL31">
            <v>0</v>
          </cell>
          <cell r="AM31">
            <v>0</v>
          </cell>
          <cell r="AN31">
            <v>0</v>
          </cell>
          <cell r="AO31">
            <v>0</v>
          </cell>
          <cell r="AP31">
            <v>14.8</v>
          </cell>
          <cell r="AQ31">
            <v>0</v>
          </cell>
          <cell r="AR31">
            <v>2.2999999999999998</v>
          </cell>
          <cell r="AS31">
            <v>11.4</v>
          </cell>
          <cell r="AT31">
            <v>0</v>
          </cell>
          <cell r="AU31">
            <v>0</v>
          </cell>
          <cell r="AV31">
            <v>0</v>
          </cell>
          <cell r="AW31">
            <v>0</v>
          </cell>
          <cell r="AX31">
            <v>0</v>
          </cell>
          <cell r="AY31">
            <v>0</v>
          </cell>
          <cell r="AZ31">
            <v>0</v>
          </cell>
          <cell r="BA31">
            <v>0</v>
          </cell>
          <cell r="BB31">
            <v>0</v>
          </cell>
          <cell r="BC31">
            <v>13.7</v>
          </cell>
          <cell r="BD31">
            <v>4</v>
          </cell>
          <cell r="BE31">
            <v>4</v>
          </cell>
          <cell r="BF31">
            <v>14.8</v>
          </cell>
          <cell r="BG31">
            <v>13.7</v>
          </cell>
          <cell r="BH31">
            <v>14.700000000000001</v>
          </cell>
          <cell r="BI31">
            <v>-0.93039130122000002</v>
          </cell>
          <cell r="BJ31">
            <v>-1.0050186088199999</v>
          </cell>
          <cell r="BK31">
            <v>3.2864729660951461E-3</v>
          </cell>
          <cell r="BL31">
            <v>3.2864729660951461E-3</v>
          </cell>
          <cell r="BM31">
            <v>3.2864729660951461E-3</v>
          </cell>
          <cell r="BN31">
            <v>3.2864729660951461E-3</v>
          </cell>
          <cell r="BO31">
            <v>3.2864729660951461E-3</v>
          </cell>
          <cell r="BQ31">
            <v>-0.93039130122000002</v>
          </cell>
          <cell r="BS31">
            <v>-0.17</v>
          </cell>
          <cell r="BT31">
            <v>0</v>
          </cell>
          <cell r="BW31">
            <v>-0.17</v>
          </cell>
          <cell r="BY31">
            <v>0</v>
          </cell>
          <cell r="BZ31">
            <v>14.700000000000001</v>
          </cell>
          <cell r="CA31">
            <v>1.0000000000000018</v>
          </cell>
          <cell r="CB31">
            <v>0</v>
          </cell>
          <cell r="CC31">
            <v>0.34904350646296506</v>
          </cell>
          <cell r="CD31">
            <v>1</v>
          </cell>
          <cell r="CE31">
            <v>9.4156542243075767E-3</v>
          </cell>
          <cell r="CF31">
            <v>3.2864729660951461E-3</v>
          </cell>
          <cell r="CG31">
            <v>14.8</v>
          </cell>
          <cell r="CH31">
            <v>0</v>
          </cell>
          <cell r="CI31">
            <v>2.3796399945572198</v>
          </cell>
          <cell r="CJ31">
            <v>12.250751307137131</v>
          </cell>
          <cell r="CK31">
            <v>0</v>
          </cell>
          <cell r="CL31">
            <v>0</v>
          </cell>
          <cell r="CM31">
            <v>0</v>
          </cell>
          <cell r="CN31">
            <v>0</v>
          </cell>
          <cell r="CO31">
            <v>0</v>
          </cell>
          <cell r="CP31">
            <v>0</v>
          </cell>
          <cell r="CQ31">
            <v>0</v>
          </cell>
          <cell r="CR31">
            <v>0</v>
          </cell>
          <cell r="CS31">
            <v>0</v>
          </cell>
          <cell r="CT31">
            <v>14.630391301694351</v>
          </cell>
        </row>
        <row r="32">
          <cell r="B32" t="str">
            <v>A00M302</v>
          </cell>
          <cell r="C32" t="str">
            <v>DIV</v>
          </cell>
          <cell r="D32">
            <v>2.48</v>
          </cell>
          <cell r="E32">
            <v>1.3640000000000001</v>
          </cell>
          <cell r="F32">
            <v>1.302</v>
          </cell>
          <cell r="G32">
            <v>1.24</v>
          </cell>
          <cell r="H32">
            <v>0</v>
          </cell>
          <cell r="I32">
            <v>0</v>
          </cell>
          <cell r="J32">
            <v>0</v>
          </cell>
          <cell r="K32">
            <v>0</v>
          </cell>
          <cell r="L32">
            <v>0</v>
          </cell>
          <cell r="M32">
            <v>0</v>
          </cell>
          <cell r="N32">
            <v>0</v>
          </cell>
          <cell r="O32">
            <v>0</v>
          </cell>
          <cell r="P32">
            <v>6.386000000000001</v>
          </cell>
          <cell r="Q32">
            <v>2.48</v>
          </cell>
          <cell r="R32">
            <v>1.3640000000000001</v>
          </cell>
          <cell r="S32">
            <v>1.302</v>
          </cell>
          <cell r="T32">
            <v>1.24</v>
          </cell>
          <cell r="U32">
            <v>0</v>
          </cell>
          <cell r="V32">
            <v>0</v>
          </cell>
          <cell r="W32">
            <v>0</v>
          </cell>
          <cell r="X32">
            <v>0</v>
          </cell>
          <cell r="Y32">
            <v>0</v>
          </cell>
          <cell r="Z32">
            <v>0</v>
          </cell>
          <cell r="AA32">
            <v>0</v>
          </cell>
          <cell r="AB32">
            <v>0</v>
          </cell>
          <cell r="AC32">
            <v>6.386000000000001</v>
          </cell>
          <cell r="AD32">
            <v>-89.3</v>
          </cell>
          <cell r="AE32">
            <v>0.79999999999999993</v>
          </cell>
          <cell r="AF32">
            <v>18</v>
          </cell>
          <cell r="AG32">
            <v>114.6</v>
          </cell>
          <cell r="AH32">
            <v>0</v>
          </cell>
          <cell r="AI32">
            <v>0</v>
          </cell>
          <cell r="AJ32">
            <v>0</v>
          </cell>
          <cell r="AK32">
            <v>0</v>
          </cell>
          <cell r="AL32">
            <v>0</v>
          </cell>
          <cell r="AM32">
            <v>0</v>
          </cell>
          <cell r="AN32">
            <v>0</v>
          </cell>
          <cell r="AO32">
            <v>0</v>
          </cell>
          <cell r="AP32">
            <v>44.099999999999994</v>
          </cell>
          <cell r="AQ32">
            <v>-85.45</v>
          </cell>
          <cell r="AR32">
            <v>0.6</v>
          </cell>
          <cell r="AS32">
            <v>15.6</v>
          </cell>
          <cell r="AT32">
            <v>101.7</v>
          </cell>
          <cell r="AU32">
            <v>0</v>
          </cell>
          <cell r="AV32">
            <v>0</v>
          </cell>
          <cell r="AW32">
            <v>0</v>
          </cell>
          <cell r="AX32">
            <v>0</v>
          </cell>
          <cell r="AY32">
            <v>0</v>
          </cell>
          <cell r="AZ32">
            <v>0</v>
          </cell>
          <cell r="BA32">
            <v>0</v>
          </cell>
          <cell r="BB32">
            <v>0</v>
          </cell>
          <cell r="BC32">
            <v>32.449999999999989</v>
          </cell>
          <cell r="BD32">
            <v>6.3860000000000001</v>
          </cell>
          <cell r="BE32">
            <v>6.3860000000000001</v>
          </cell>
          <cell r="BF32">
            <v>44.099999999999994</v>
          </cell>
          <cell r="BG32">
            <v>32.450000000000003</v>
          </cell>
          <cell r="BH32">
            <v>33.499999999999993</v>
          </cell>
          <cell r="BI32">
            <v>-6.3662362864100013</v>
          </cell>
          <cell r="BJ32">
            <v>-6.4530862035600016</v>
          </cell>
          <cell r="BK32">
            <v>9.7928012030267519E-3</v>
          </cell>
          <cell r="BL32">
            <v>9.7928012030267502E-3</v>
          </cell>
          <cell r="BM32">
            <v>9.7928012030267502E-3</v>
          </cell>
          <cell r="BN32">
            <v>9.7928012030267519E-3</v>
          </cell>
          <cell r="BO32">
            <v>9.7928012030267519E-3</v>
          </cell>
          <cell r="BQ32">
            <v>-6.3662362864100013</v>
          </cell>
          <cell r="BR32">
            <v>-4</v>
          </cell>
          <cell r="BS32">
            <v>-1.28</v>
          </cell>
          <cell r="BT32">
            <v>0</v>
          </cell>
          <cell r="BV32">
            <v>-4</v>
          </cell>
          <cell r="BX32">
            <v>-1.28</v>
          </cell>
          <cell r="BY32">
            <v>0</v>
          </cell>
          <cell r="BZ32">
            <v>33.499999999999993</v>
          </cell>
          <cell r="CA32">
            <v>1.0499999999999901</v>
          </cell>
          <cell r="CB32">
            <v>0</v>
          </cell>
          <cell r="CC32">
            <v>0.34904350646296506</v>
          </cell>
          <cell r="CD32">
            <v>1</v>
          </cell>
          <cell r="CE32">
            <v>2.8056104817024599E-2</v>
          </cell>
          <cell r="CF32">
            <v>9.7928012030267519E-3</v>
          </cell>
          <cell r="CG32">
            <v>44.099999999999994</v>
          </cell>
          <cell r="CH32">
            <v>-89.387433695238528</v>
          </cell>
          <cell r="CI32">
            <v>0.62077565075405738</v>
          </cell>
          <cell r="CJ32">
            <v>16.764185999240283</v>
          </cell>
          <cell r="CK32">
            <v>110.81870833902742</v>
          </cell>
          <cell r="CL32">
            <v>0</v>
          </cell>
          <cell r="CM32">
            <v>0</v>
          </cell>
          <cell r="CN32">
            <v>0</v>
          </cell>
          <cell r="CO32">
            <v>0</v>
          </cell>
          <cell r="CP32">
            <v>0</v>
          </cell>
          <cell r="CQ32">
            <v>0</v>
          </cell>
          <cell r="CR32">
            <v>0</v>
          </cell>
          <cell r="CS32">
            <v>0</v>
          </cell>
          <cell r="CT32">
            <v>38.816236293783234</v>
          </cell>
        </row>
        <row r="33">
          <cell r="B33" t="str">
            <v>A00M303</v>
          </cell>
          <cell r="C33" t="str">
            <v>DIV</v>
          </cell>
          <cell r="D33">
            <v>0</v>
          </cell>
          <cell r="E33">
            <v>0</v>
          </cell>
          <cell r="F33">
            <v>0</v>
          </cell>
          <cell r="G33">
            <v>0</v>
          </cell>
          <cell r="H33">
            <v>0</v>
          </cell>
          <cell r="I33">
            <v>0</v>
          </cell>
          <cell r="J33">
            <v>0</v>
          </cell>
          <cell r="K33">
            <v>75</v>
          </cell>
          <cell r="L33">
            <v>10</v>
          </cell>
          <cell r="M33">
            <v>0</v>
          </cell>
          <cell r="N33">
            <v>0</v>
          </cell>
          <cell r="O33">
            <v>0</v>
          </cell>
          <cell r="P33">
            <v>85</v>
          </cell>
          <cell r="Q33">
            <v>0</v>
          </cell>
          <cell r="R33">
            <v>0</v>
          </cell>
          <cell r="S33">
            <v>0</v>
          </cell>
          <cell r="T33">
            <v>0</v>
          </cell>
          <cell r="U33">
            <v>0</v>
          </cell>
          <cell r="V33">
            <v>10</v>
          </cell>
          <cell r="W33">
            <v>45</v>
          </cell>
          <cell r="X33">
            <v>10</v>
          </cell>
          <cell r="Y33">
            <v>20</v>
          </cell>
          <cell r="Z33">
            <v>0</v>
          </cell>
          <cell r="AA33">
            <v>0</v>
          </cell>
          <cell r="AB33">
            <v>0</v>
          </cell>
          <cell r="AC33">
            <v>85</v>
          </cell>
          <cell r="AD33">
            <v>0.6</v>
          </cell>
          <cell r="AE33">
            <v>0.4</v>
          </cell>
          <cell r="AF33">
            <v>4.7</v>
          </cell>
          <cell r="AG33">
            <v>2</v>
          </cell>
          <cell r="AH33">
            <v>2</v>
          </cell>
          <cell r="AI33">
            <v>5</v>
          </cell>
          <cell r="AJ33">
            <v>5</v>
          </cell>
          <cell r="AK33">
            <v>133</v>
          </cell>
          <cell r="AL33">
            <v>25.5</v>
          </cell>
          <cell r="AM33">
            <v>0</v>
          </cell>
          <cell r="AN33">
            <v>0</v>
          </cell>
          <cell r="AO33">
            <v>0</v>
          </cell>
          <cell r="AP33">
            <v>178.2</v>
          </cell>
          <cell r="AQ33">
            <v>0.6</v>
          </cell>
          <cell r="AR33">
            <v>0.4</v>
          </cell>
          <cell r="AS33">
            <v>4.7</v>
          </cell>
          <cell r="AT33">
            <v>4.2</v>
          </cell>
          <cell r="AU33">
            <v>1.4000000000000001</v>
          </cell>
          <cell r="AV33">
            <v>4.2</v>
          </cell>
          <cell r="AW33">
            <v>2</v>
          </cell>
          <cell r="AX33">
            <v>136</v>
          </cell>
          <cell r="AY33">
            <v>22.5</v>
          </cell>
          <cell r="AZ33">
            <v>0</v>
          </cell>
          <cell r="BA33">
            <v>0</v>
          </cell>
          <cell r="BB33">
            <v>0</v>
          </cell>
          <cell r="BC33">
            <v>176</v>
          </cell>
          <cell r="BD33">
            <v>0</v>
          </cell>
          <cell r="BE33">
            <v>55</v>
          </cell>
          <cell r="BF33">
            <v>19.700000000000003</v>
          </cell>
          <cell r="BG33">
            <v>17.500000000000004</v>
          </cell>
          <cell r="BH33">
            <v>10.700000000000001</v>
          </cell>
          <cell r="BI33">
            <v>-1.7722914806000001</v>
          </cell>
          <cell r="BJ33">
            <v>-0.91846654073</v>
          </cell>
          <cell r="BK33">
            <v>3.957091098365912E-2</v>
          </cell>
          <cell r="BL33">
            <v>0</v>
          </cell>
          <cell r="BM33">
            <v>2.5604707107073549E-2</v>
          </cell>
          <cell r="BN33">
            <v>3.957091098365912E-2</v>
          </cell>
          <cell r="BO33">
            <v>3.957091098365912E-2</v>
          </cell>
          <cell r="BQ33">
            <v>-1.7722914806000001</v>
          </cell>
          <cell r="BS33">
            <v>-0.43</v>
          </cell>
          <cell r="BT33">
            <v>0</v>
          </cell>
          <cell r="BX33">
            <v>-0.43</v>
          </cell>
          <cell r="BY33">
            <v>0</v>
          </cell>
          <cell r="BZ33">
            <v>10.700000000000001</v>
          </cell>
          <cell r="CA33">
            <v>0</v>
          </cell>
          <cell r="CB33">
            <v>-6.8000000000000025</v>
          </cell>
          <cell r="CC33">
            <v>0.34904350646296506</v>
          </cell>
          <cell r="CD33">
            <v>1</v>
          </cell>
          <cell r="CE33">
            <v>7.3356778261079933E-2</v>
          </cell>
          <cell r="CF33">
            <v>3.957091098365912E-2</v>
          </cell>
          <cell r="CG33">
            <v>178.2</v>
          </cell>
          <cell r="CH33">
            <v>0.62764728165176265</v>
          </cell>
          <cell r="CI33">
            <v>0.41385043383603826</v>
          </cell>
          <cell r="CJ33">
            <v>5.0507483459249576</v>
          </cell>
          <cell r="CK33">
            <v>4.5765838252105722</v>
          </cell>
          <cell r="CL33">
            <v>1.5337593309773121</v>
          </cell>
          <cell r="CM33">
            <v>4.6869073450032204</v>
          </cell>
          <cell r="CN33">
            <v>2.3827949183303088</v>
          </cell>
          <cell r="CO33">
            <v>136</v>
          </cell>
          <cell r="CP33">
            <v>22.5</v>
          </cell>
          <cell r="CQ33">
            <v>0</v>
          </cell>
          <cell r="CR33">
            <v>0</v>
          </cell>
          <cell r="CS33">
            <v>0</v>
          </cell>
          <cell r="CT33">
            <v>177.77229148093417</v>
          </cell>
        </row>
        <row r="34">
          <cell r="B34" t="str">
            <v>A00M304</v>
          </cell>
          <cell r="C34" t="str">
            <v>DIV</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Q34">
            <v>0</v>
          </cell>
          <cell r="BT34">
            <v>0</v>
          </cell>
          <cell r="BY34">
            <v>0</v>
          </cell>
          <cell r="BZ34">
            <v>0</v>
          </cell>
          <cell r="CA34">
            <v>0</v>
          </cell>
          <cell r="CB34">
            <v>0</v>
          </cell>
          <cell r="CC34">
            <v>0.34904350646296506</v>
          </cell>
          <cell r="CD34">
            <v>1</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row>
        <row r="35">
          <cell r="B35" t="str">
            <v>A00M305</v>
          </cell>
          <cell r="C35" t="str">
            <v>DIV</v>
          </cell>
          <cell r="D35">
            <v>29.6</v>
          </cell>
          <cell r="E35">
            <v>21.6</v>
          </cell>
          <cell r="F35">
            <v>0</v>
          </cell>
          <cell r="G35">
            <v>0</v>
          </cell>
          <cell r="H35">
            <v>0</v>
          </cell>
          <cell r="I35">
            <v>0</v>
          </cell>
          <cell r="J35">
            <v>0</v>
          </cell>
          <cell r="K35">
            <v>0</v>
          </cell>
          <cell r="L35">
            <v>0</v>
          </cell>
          <cell r="M35">
            <v>0</v>
          </cell>
          <cell r="N35">
            <v>0</v>
          </cell>
          <cell r="O35">
            <v>0</v>
          </cell>
          <cell r="P35">
            <v>51.2</v>
          </cell>
          <cell r="Q35">
            <v>29.6</v>
          </cell>
          <cell r="R35">
            <v>21.6</v>
          </cell>
          <cell r="S35">
            <v>0</v>
          </cell>
          <cell r="T35">
            <v>0</v>
          </cell>
          <cell r="U35">
            <v>0</v>
          </cell>
          <cell r="V35">
            <v>0</v>
          </cell>
          <cell r="W35">
            <v>0</v>
          </cell>
          <cell r="X35">
            <v>0</v>
          </cell>
          <cell r="Y35">
            <v>0</v>
          </cell>
          <cell r="Z35">
            <v>0</v>
          </cell>
          <cell r="AA35">
            <v>0</v>
          </cell>
          <cell r="AB35">
            <v>0</v>
          </cell>
          <cell r="AC35">
            <v>51.2</v>
          </cell>
          <cell r="AD35">
            <v>0</v>
          </cell>
          <cell r="AE35">
            <v>47.300000000000004</v>
          </cell>
          <cell r="AF35">
            <v>10.199999999999999</v>
          </cell>
          <cell r="AG35">
            <v>0</v>
          </cell>
          <cell r="AH35">
            <v>0</v>
          </cell>
          <cell r="AI35">
            <v>0</v>
          </cell>
          <cell r="AJ35">
            <v>0</v>
          </cell>
          <cell r="AK35">
            <v>0</v>
          </cell>
          <cell r="AL35">
            <v>0</v>
          </cell>
          <cell r="AM35">
            <v>0</v>
          </cell>
          <cell r="AN35">
            <v>0</v>
          </cell>
          <cell r="AO35">
            <v>0</v>
          </cell>
          <cell r="AP35">
            <v>57.5</v>
          </cell>
          <cell r="AQ35">
            <v>0</v>
          </cell>
          <cell r="AR35">
            <v>45.45</v>
          </cell>
          <cell r="AS35">
            <v>9.3999999999999986</v>
          </cell>
          <cell r="AT35">
            <v>0</v>
          </cell>
          <cell r="AU35">
            <v>0</v>
          </cell>
          <cell r="AV35">
            <v>0</v>
          </cell>
          <cell r="AW35">
            <v>0</v>
          </cell>
          <cell r="AX35">
            <v>0</v>
          </cell>
          <cell r="AY35">
            <v>0</v>
          </cell>
          <cell r="AZ35">
            <v>0</v>
          </cell>
          <cell r="BA35">
            <v>0</v>
          </cell>
          <cell r="BB35">
            <v>0</v>
          </cell>
          <cell r="BC35">
            <v>54.85</v>
          </cell>
          <cell r="BD35">
            <v>51.2</v>
          </cell>
          <cell r="BE35">
            <v>51.2</v>
          </cell>
          <cell r="BF35">
            <v>57.500000000000007</v>
          </cell>
          <cell r="BG35">
            <v>54.85</v>
          </cell>
          <cell r="BH35">
            <v>55.699999999999989</v>
          </cell>
          <cell r="BI35">
            <v>-2.2752522365100001</v>
          </cell>
          <cell r="BJ35">
            <v>-2.4602106188899997</v>
          </cell>
          <cell r="BK35">
            <v>1.2768391591248034E-2</v>
          </cell>
          <cell r="BL35">
            <v>1.2768391591248034E-2</v>
          </cell>
          <cell r="BM35">
            <v>1.2768391591248034E-2</v>
          </cell>
          <cell r="BN35">
            <v>1.2768391591248034E-2</v>
          </cell>
          <cell r="BO35">
            <v>1.2768391591248034E-2</v>
          </cell>
          <cell r="BQ35">
            <v>-2.2752522365100001</v>
          </cell>
          <cell r="BS35">
            <v>-0.37</v>
          </cell>
          <cell r="BT35">
            <v>0</v>
          </cell>
          <cell r="BW35">
            <v>-0.37</v>
          </cell>
          <cell r="BY35">
            <v>0</v>
          </cell>
          <cell r="BZ35">
            <v>55.699999999999989</v>
          </cell>
          <cell r="CA35">
            <v>0.84999999999998721</v>
          </cell>
          <cell r="CB35">
            <v>0</v>
          </cell>
          <cell r="CC35">
            <v>0.34904350646296506</v>
          </cell>
          <cell r="CD35">
            <v>1</v>
          </cell>
          <cell r="CE35">
            <v>3.6581089047140927E-2</v>
          </cell>
          <cell r="CF35">
            <v>1.2768391591248034E-2</v>
          </cell>
          <cell r="CG35">
            <v>57.5</v>
          </cell>
          <cell r="CH35">
            <v>0</v>
          </cell>
          <cell r="CI35">
            <v>47.023755544619853</v>
          </cell>
          <cell r="CJ35">
            <v>10.101496691849913</v>
          </cell>
          <cell r="CK35">
            <v>0</v>
          </cell>
          <cell r="CL35">
            <v>0</v>
          </cell>
          <cell r="CM35">
            <v>0</v>
          </cell>
          <cell r="CN35">
            <v>0</v>
          </cell>
          <cell r="CO35">
            <v>0</v>
          </cell>
          <cell r="CP35">
            <v>0</v>
          </cell>
          <cell r="CQ35">
            <v>0</v>
          </cell>
          <cell r="CR35">
            <v>0</v>
          </cell>
          <cell r="CS35">
            <v>0</v>
          </cell>
          <cell r="CT35">
            <v>57.125252236469763</v>
          </cell>
        </row>
        <row r="36">
          <cell r="B36" t="str">
            <v>A00M306</v>
          </cell>
          <cell r="C36" t="str">
            <v>DIV</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0.60000000000000009</v>
          </cell>
          <cell r="BI36">
            <v>0</v>
          </cell>
          <cell r="BJ36">
            <v>-2.8775895360000005E-2</v>
          </cell>
          <cell r="BK36">
            <v>0</v>
          </cell>
          <cell r="BL36">
            <v>0</v>
          </cell>
          <cell r="BM36">
            <v>0</v>
          </cell>
          <cell r="BN36">
            <v>0</v>
          </cell>
          <cell r="BO36">
            <v>0</v>
          </cell>
          <cell r="BQ36">
            <v>0</v>
          </cell>
          <cell r="BT36">
            <v>0</v>
          </cell>
          <cell r="BY36">
            <v>0</v>
          </cell>
          <cell r="BZ36">
            <v>0.60000000000000009</v>
          </cell>
          <cell r="CA36">
            <v>0.60000000000000009</v>
          </cell>
          <cell r="CB36">
            <v>0</v>
          </cell>
          <cell r="CC36">
            <v>0.34904350646296506</v>
          </cell>
          <cell r="CD36">
            <v>1</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row>
        <row r="37">
          <cell r="B37" t="str">
            <v>A00M310</v>
          </cell>
          <cell r="C37" t="str">
            <v>DIV</v>
          </cell>
          <cell r="D37">
            <v>5.67</v>
          </cell>
          <cell r="E37">
            <v>1.4400000000000002</v>
          </cell>
          <cell r="F37">
            <v>0.48</v>
          </cell>
          <cell r="G37">
            <v>0</v>
          </cell>
          <cell r="H37">
            <v>0</v>
          </cell>
          <cell r="I37">
            <v>0</v>
          </cell>
          <cell r="J37">
            <v>0</v>
          </cell>
          <cell r="K37">
            <v>0</v>
          </cell>
          <cell r="L37">
            <v>0</v>
          </cell>
          <cell r="M37">
            <v>0</v>
          </cell>
          <cell r="N37">
            <v>0</v>
          </cell>
          <cell r="O37">
            <v>0</v>
          </cell>
          <cell r="P37">
            <v>7.59</v>
          </cell>
          <cell r="Q37">
            <v>5.67</v>
          </cell>
          <cell r="R37">
            <v>1.4400000000000002</v>
          </cell>
          <cell r="S37">
            <v>0.48</v>
          </cell>
          <cell r="T37">
            <v>0</v>
          </cell>
          <cell r="U37">
            <v>0</v>
          </cell>
          <cell r="V37">
            <v>0</v>
          </cell>
          <cell r="W37">
            <v>0</v>
          </cell>
          <cell r="X37">
            <v>0</v>
          </cell>
          <cell r="Y37">
            <v>0</v>
          </cell>
          <cell r="Z37">
            <v>0</v>
          </cell>
          <cell r="AA37">
            <v>0</v>
          </cell>
          <cell r="AB37">
            <v>0</v>
          </cell>
          <cell r="AC37">
            <v>7.59</v>
          </cell>
          <cell r="AD37">
            <v>12</v>
          </cell>
          <cell r="AE37">
            <v>3.9</v>
          </cell>
          <cell r="AF37">
            <v>35.5</v>
          </cell>
          <cell r="AG37">
            <v>0</v>
          </cell>
          <cell r="AH37">
            <v>0</v>
          </cell>
          <cell r="AI37">
            <v>0</v>
          </cell>
          <cell r="AJ37">
            <v>0</v>
          </cell>
          <cell r="AK37">
            <v>0</v>
          </cell>
          <cell r="AL37">
            <v>0</v>
          </cell>
          <cell r="AM37">
            <v>0</v>
          </cell>
          <cell r="AN37">
            <v>0</v>
          </cell>
          <cell r="AO37">
            <v>0</v>
          </cell>
          <cell r="AP37">
            <v>51.4</v>
          </cell>
          <cell r="AQ37">
            <v>11.5</v>
          </cell>
          <cell r="AR37">
            <v>3.8</v>
          </cell>
          <cell r="AS37">
            <v>25.6</v>
          </cell>
          <cell r="AT37">
            <v>0</v>
          </cell>
          <cell r="AU37">
            <v>0</v>
          </cell>
          <cell r="AV37">
            <v>0</v>
          </cell>
          <cell r="AW37">
            <v>0</v>
          </cell>
          <cell r="AX37">
            <v>0</v>
          </cell>
          <cell r="AY37">
            <v>0</v>
          </cell>
          <cell r="AZ37">
            <v>0</v>
          </cell>
          <cell r="BA37">
            <v>0</v>
          </cell>
          <cell r="BB37">
            <v>0</v>
          </cell>
          <cell r="BC37">
            <v>40.900000000000006</v>
          </cell>
          <cell r="BD37">
            <v>7.59</v>
          </cell>
          <cell r="BE37">
            <v>7.59</v>
          </cell>
          <cell r="BF37">
            <v>51.4</v>
          </cell>
          <cell r="BG37">
            <v>40.900000000000006</v>
          </cell>
          <cell r="BH37">
            <v>50.000000000000007</v>
          </cell>
          <cell r="BI37">
            <v>-2.5719444282400001</v>
          </cell>
          <cell r="BJ37">
            <v>-3.5357940623499999</v>
          </cell>
          <cell r="BK37">
            <v>1.1413831787654764E-2</v>
          </cell>
          <cell r="BL37">
            <v>1.1413831787654764E-2</v>
          </cell>
          <cell r="BM37">
            <v>1.1413831787654764E-2</v>
          </cell>
          <cell r="BN37">
            <v>1.1413831787654764E-2</v>
          </cell>
          <cell r="BO37">
            <v>1.1413831787654764E-2</v>
          </cell>
          <cell r="BQ37">
            <v>-2.5719444282400001</v>
          </cell>
          <cell r="BR37">
            <v>-3</v>
          </cell>
          <cell r="BS37">
            <v>-4.93</v>
          </cell>
          <cell r="BT37">
            <v>0</v>
          </cell>
          <cell r="BV37">
            <v>-3</v>
          </cell>
          <cell r="BX37">
            <v>-4.93</v>
          </cell>
          <cell r="BY37">
            <v>0</v>
          </cell>
          <cell r="BZ37">
            <v>50.000000000000007</v>
          </cell>
          <cell r="CA37">
            <v>9.1000000000000014</v>
          </cell>
          <cell r="CB37">
            <v>0</v>
          </cell>
          <cell r="CC37">
            <v>0.34904350646296506</v>
          </cell>
          <cell r="CD37">
            <v>1</v>
          </cell>
          <cell r="CE37">
            <v>3.2700312643879015E-2</v>
          </cell>
          <cell r="CF37">
            <v>1.1413831787654764E-2</v>
          </cell>
          <cell r="CG37">
            <v>51.4</v>
          </cell>
          <cell r="CH37">
            <v>12.029906231658783</v>
          </cell>
          <cell r="CI37">
            <v>3.9315791214423634</v>
          </cell>
          <cell r="CJ37">
            <v>27.510459075676366</v>
          </cell>
          <cell r="CK37">
            <v>0</v>
          </cell>
          <cell r="CL37">
            <v>0</v>
          </cell>
          <cell r="CM37">
            <v>0</v>
          </cell>
          <cell r="CN37">
            <v>0</v>
          </cell>
          <cell r="CO37">
            <v>0</v>
          </cell>
          <cell r="CP37">
            <v>0</v>
          </cell>
          <cell r="CQ37">
            <v>0</v>
          </cell>
          <cell r="CR37">
            <v>0</v>
          </cell>
          <cell r="CS37">
            <v>0</v>
          </cell>
          <cell r="CT37">
            <v>43.471944428777512</v>
          </cell>
        </row>
        <row r="38">
          <cell r="B38" t="str">
            <v>A00M312</v>
          </cell>
          <cell r="C38" t="str">
            <v>DIV</v>
          </cell>
          <cell r="D38">
            <v>0</v>
          </cell>
          <cell r="E38">
            <v>0</v>
          </cell>
          <cell r="F38">
            <v>6</v>
          </cell>
          <cell r="G38">
            <v>0</v>
          </cell>
          <cell r="H38">
            <v>0</v>
          </cell>
          <cell r="I38">
            <v>0</v>
          </cell>
          <cell r="J38">
            <v>8</v>
          </cell>
          <cell r="K38">
            <v>22.2</v>
          </cell>
          <cell r="L38">
            <v>60.8</v>
          </cell>
          <cell r="M38">
            <v>0</v>
          </cell>
          <cell r="N38">
            <v>0</v>
          </cell>
          <cell r="O38">
            <v>0</v>
          </cell>
          <cell r="P38">
            <v>97</v>
          </cell>
          <cell r="Q38">
            <v>0</v>
          </cell>
          <cell r="R38">
            <v>0</v>
          </cell>
          <cell r="S38">
            <v>6</v>
          </cell>
          <cell r="T38">
            <v>0</v>
          </cell>
          <cell r="U38">
            <v>0</v>
          </cell>
          <cell r="V38">
            <v>0</v>
          </cell>
          <cell r="W38">
            <v>6</v>
          </cell>
          <cell r="X38">
            <v>17.8</v>
          </cell>
          <cell r="Y38">
            <v>55.2</v>
          </cell>
          <cell r="Z38">
            <v>12</v>
          </cell>
          <cell r="AA38">
            <v>0</v>
          </cell>
          <cell r="AB38">
            <v>0</v>
          </cell>
          <cell r="AC38">
            <v>97</v>
          </cell>
          <cell r="AD38">
            <v>0</v>
          </cell>
          <cell r="AE38">
            <v>0</v>
          </cell>
          <cell r="AF38">
            <v>3</v>
          </cell>
          <cell r="AG38">
            <v>4</v>
          </cell>
          <cell r="AH38">
            <v>1.2</v>
          </cell>
          <cell r="AI38">
            <v>1.5</v>
          </cell>
          <cell r="AJ38">
            <v>39.700000000000003</v>
          </cell>
          <cell r="AK38">
            <v>58.8</v>
          </cell>
          <cell r="AL38">
            <v>105.7</v>
          </cell>
          <cell r="AM38">
            <v>0</v>
          </cell>
          <cell r="AN38">
            <v>0</v>
          </cell>
          <cell r="AO38">
            <v>0</v>
          </cell>
          <cell r="AP38">
            <v>213.9</v>
          </cell>
          <cell r="AQ38">
            <v>0</v>
          </cell>
          <cell r="AR38">
            <v>0</v>
          </cell>
          <cell r="AS38">
            <v>2.78</v>
          </cell>
          <cell r="AT38">
            <v>3</v>
          </cell>
          <cell r="AU38">
            <v>59.3</v>
          </cell>
          <cell r="AV38">
            <v>-50.3</v>
          </cell>
          <cell r="AW38">
            <v>2.6</v>
          </cell>
          <cell r="AX38">
            <v>165.1</v>
          </cell>
          <cell r="AY38">
            <v>37.5</v>
          </cell>
          <cell r="AZ38">
            <v>0</v>
          </cell>
          <cell r="BA38">
            <v>0</v>
          </cell>
          <cell r="BB38">
            <v>0</v>
          </cell>
          <cell r="BC38">
            <v>219.98</v>
          </cell>
          <cell r="BD38">
            <v>14</v>
          </cell>
          <cell r="BE38">
            <v>12</v>
          </cell>
          <cell r="BF38">
            <v>49.4</v>
          </cell>
          <cell r="BG38">
            <v>17.379999999999995</v>
          </cell>
          <cell r="BH38">
            <v>63.2</v>
          </cell>
          <cell r="BI38">
            <v>-0.80845374197799957</v>
          </cell>
          <cell r="BJ38">
            <v>-3.8304185611100006</v>
          </cell>
          <cell r="BK38">
            <v>4.7498416719442688E-2</v>
          </cell>
          <cell r="BL38">
            <v>6.8554415883731717E-3</v>
          </cell>
          <cell r="BM38">
            <v>5.8760927900341469E-3</v>
          </cell>
          <cell r="BN38">
            <v>4.7498416719442688E-2</v>
          </cell>
          <cell r="BO38">
            <v>4.7498416719442688E-2</v>
          </cell>
          <cell r="BQ38">
            <v>-0.80845374197799957</v>
          </cell>
          <cell r="BS38">
            <v>-31.21</v>
          </cell>
          <cell r="BT38">
            <v>0</v>
          </cell>
          <cell r="BW38">
            <v>6.89</v>
          </cell>
          <cell r="BY38">
            <v>0</v>
          </cell>
          <cell r="BZ38">
            <v>63.2</v>
          </cell>
          <cell r="CA38">
            <v>45.820000000000007</v>
          </cell>
          <cell r="CB38">
            <v>0</v>
          </cell>
          <cell r="CC38">
            <v>0.34904350646296506</v>
          </cell>
          <cell r="CD38">
            <v>1</v>
          </cell>
          <cell r="CE38">
            <v>1.6834843454271865E-2</v>
          </cell>
          <cell r="CF38">
            <v>4.7498416719442688E-2</v>
          </cell>
          <cell r="CG38">
            <v>213.9</v>
          </cell>
          <cell r="CH38">
            <v>0</v>
          </cell>
          <cell r="CI38">
            <v>0</v>
          </cell>
          <cell r="CJ38">
            <v>2.9874639152492297</v>
          </cell>
          <cell r="CK38">
            <v>3.2689884465789798</v>
          </cell>
          <cell r="CL38">
            <v>64.965663090681844</v>
          </cell>
          <cell r="CM38">
            <v>-56.131295108014754</v>
          </cell>
          <cell r="CN38">
            <v>3.0976333938294016</v>
          </cell>
          <cell r="CO38">
            <v>165.1</v>
          </cell>
          <cell r="CP38">
            <v>37.5</v>
          </cell>
          <cell r="CQ38">
            <v>0</v>
          </cell>
          <cell r="CR38">
            <v>0</v>
          </cell>
          <cell r="CS38">
            <v>0</v>
          </cell>
          <cell r="CT38">
            <v>220.78845373832471</v>
          </cell>
        </row>
        <row r="39">
          <cell r="B39" t="str">
            <v>A00M313</v>
          </cell>
          <cell r="C39" t="str">
            <v>DIV</v>
          </cell>
          <cell r="D39">
            <v>10.25</v>
          </cell>
          <cell r="E39">
            <v>10.25</v>
          </cell>
          <cell r="F39">
            <v>4.5</v>
          </cell>
          <cell r="G39">
            <v>0</v>
          </cell>
          <cell r="H39">
            <v>0</v>
          </cell>
          <cell r="I39">
            <v>0</v>
          </cell>
          <cell r="J39">
            <v>0</v>
          </cell>
          <cell r="K39">
            <v>0</v>
          </cell>
          <cell r="L39">
            <v>0</v>
          </cell>
          <cell r="M39">
            <v>0</v>
          </cell>
          <cell r="N39">
            <v>0</v>
          </cell>
          <cell r="O39">
            <v>0</v>
          </cell>
          <cell r="P39">
            <v>25</v>
          </cell>
          <cell r="Q39">
            <v>10.25</v>
          </cell>
          <cell r="R39">
            <v>10.25</v>
          </cell>
          <cell r="S39">
            <v>4.5</v>
          </cell>
          <cell r="T39">
            <v>0</v>
          </cell>
          <cell r="U39">
            <v>0</v>
          </cell>
          <cell r="V39">
            <v>0</v>
          </cell>
          <cell r="W39">
            <v>0</v>
          </cell>
          <cell r="X39">
            <v>0</v>
          </cell>
          <cell r="Y39">
            <v>0</v>
          </cell>
          <cell r="Z39">
            <v>0</v>
          </cell>
          <cell r="AA39">
            <v>0</v>
          </cell>
          <cell r="AB39">
            <v>0</v>
          </cell>
          <cell r="AC39">
            <v>25</v>
          </cell>
          <cell r="AD39">
            <v>4.0999999999999996</v>
          </cell>
          <cell r="AE39">
            <v>4.0999999999999996</v>
          </cell>
          <cell r="AF39">
            <v>8</v>
          </cell>
          <cell r="AG39">
            <v>0</v>
          </cell>
          <cell r="AH39">
            <v>0</v>
          </cell>
          <cell r="AI39">
            <v>0</v>
          </cell>
          <cell r="AJ39">
            <v>0</v>
          </cell>
          <cell r="AK39">
            <v>0</v>
          </cell>
          <cell r="AL39">
            <v>0</v>
          </cell>
          <cell r="AM39">
            <v>0</v>
          </cell>
          <cell r="AN39">
            <v>0</v>
          </cell>
          <cell r="AO39">
            <v>0</v>
          </cell>
          <cell r="AP39">
            <v>16.2</v>
          </cell>
          <cell r="AQ39">
            <v>3.9</v>
          </cell>
          <cell r="AR39">
            <v>3.9000000000000004</v>
          </cell>
          <cell r="AS39">
            <v>13.9</v>
          </cell>
          <cell r="AT39">
            <v>0</v>
          </cell>
          <cell r="AU39">
            <v>0</v>
          </cell>
          <cell r="AV39">
            <v>0</v>
          </cell>
          <cell r="AW39">
            <v>0</v>
          </cell>
          <cell r="AX39">
            <v>0</v>
          </cell>
          <cell r="AY39">
            <v>0</v>
          </cell>
          <cell r="AZ39">
            <v>0</v>
          </cell>
          <cell r="BA39">
            <v>0</v>
          </cell>
          <cell r="BB39">
            <v>0</v>
          </cell>
          <cell r="BC39">
            <v>21.700000000000003</v>
          </cell>
          <cell r="BD39">
            <v>25</v>
          </cell>
          <cell r="BE39">
            <v>25</v>
          </cell>
          <cell r="BF39">
            <v>16.2</v>
          </cell>
          <cell r="BG39">
            <v>21.7</v>
          </cell>
          <cell r="BH39">
            <v>26.699999999999996</v>
          </cell>
          <cell r="BI39">
            <v>-1.3520686364999999</v>
          </cell>
          <cell r="BJ39">
            <v>-1.89903807013</v>
          </cell>
          <cell r="BK39">
            <v>3.5973555439690109E-3</v>
          </cell>
          <cell r="BL39">
            <v>3.5973555439690109E-3</v>
          </cell>
          <cell r="BM39">
            <v>3.5973555439690109E-3</v>
          </cell>
          <cell r="BN39">
            <v>3.5973555439690109E-3</v>
          </cell>
          <cell r="BO39">
            <v>3.5973555439690109E-3</v>
          </cell>
          <cell r="BQ39">
            <v>-1.3520686364999999</v>
          </cell>
          <cell r="BR39">
            <v>-1</v>
          </cell>
          <cell r="BS39">
            <v>7.85</v>
          </cell>
          <cell r="BT39">
            <v>0</v>
          </cell>
          <cell r="BV39">
            <v>-1</v>
          </cell>
          <cell r="BW39">
            <v>7.85</v>
          </cell>
          <cell r="BY39">
            <v>0</v>
          </cell>
          <cell r="BZ39">
            <v>26.699999999999996</v>
          </cell>
          <cell r="CA39">
            <v>4.9999999999999964</v>
          </cell>
          <cell r="CB39">
            <v>0</v>
          </cell>
          <cell r="CC39">
            <v>0.34904350646296506</v>
          </cell>
          <cell r="CD39">
            <v>1</v>
          </cell>
          <cell r="CE39">
            <v>1.0306324218498834E-2</v>
          </cell>
          <cell r="CF39">
            <v>3.5973555439690109E-3</v>
          </cell>
          <cell r="CG39">
            <v>16.2</v>
          </cell>
          <cell r="CH39">
            <v>4.0797073307364569</v>
          </cell>
          <cell r="CI39">
            <v>4.0350417299013728</v>
          </cell>
          <cell r="CJ39">
            <v>14.93731957624615</v>
          </cell>
          <cell r="CK39">
            <v>0</v>
          </cell>
          <cell r="CL39">
            <v>0</v>
          </cell>
          <cell r="CM39">
            <v>0</v>
          </cell>
          <cell r="CN39">
            <v>0</v>
          </cell>
          <cell r="CO39">
            <v>0</v>
          </cell>
          <cell r="CP39">
            <v>0</v>
          </cell>
          <cell r="CQ39">
            <v>0</v>
          </cell>
          <cell r="CR39">
            <v>0</v>
          </cell>
          <cell r="CS39">
            <v>0</v>
          </cell>
          <cell r="CT39">
            <v>23.05206863688398</v>
          </cell>
        </row>
        <row r="40">
          <cell r="B40" t="str">
            <v>A00M315</v>
          </cell>
          <cell r="C40" t="str">
            <v>DIV</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Q40">
            <v>0</v>
          </cell>
          <cell r="BT40">
            <v>0</v>
          </cell>
          <cell r="BY40">
            <v>0</v>
          </cell>
          <cell r="BZ40">
            <v>0</v>
          </cell>
          <cell r="CA40">
            <v>0</v>
          </cell>
          <cell r="CB40">
            <v>0</v>
          </cell>
          <cell r="CC40">
            <v>0.34904350646296506</v>
          </cell>
          <cell r="CD40">
            <v>1</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row>
        <row r="41">
          <cell r="B41" t="str">
            <v>A00M318</v>
          </cell>
          <cell r="C41" t="str">
            <v>DIV</v>
          </cell>
          <cell r="D41">
            <v>9</v>
          </cell>
          <cell r="E41">
            <v>13.6</v>
          </cell>
          <cell r="F41">
            <v>4.3999999999999995</v>
          </cell>
          <cell r="G41">
            <v>3.74</v>
          </cell>
          <cell r="H41">
            <v>0</v>
          </cell>
          <cell r="I41">
            <v>0</v>
          </cell>
          <cell r="J41">
            <v>0</v>
          </cell>
          <cell r="K41">
            <v>0</v>
          </cell>
          <cell r="L41">
            <v>0</v>
          </cell>
          <cell r="M41">
            <v>0</v>
          </cell>
          <cell r="N41">
            <v>0</v>
          </cell>
          <cell r="O41">
            <v>0</v>
          </cell>
          <cell r="P41">
            <v>30.740000000000002</v>
          </cell>
          <cell r="Q41">
            <v>9</v>
          </cell>
          <cell r="R41">
            <v>13.6</v>
          </cell>
          <cell r="S41">
            <v>4.5199999999999996</v>
          </cell>
          <cell r="T41">
            <v>2.66</v>
          </cell>
          <cell r="U41">
            <v>0.96</v>
          </cell>
          <cell r="V41">
            <v>0</v>
          </cell>
          <cell r="W41">
            <v>0</v>
          </cell>
          <cell r="X41">
            <v>0</v>
          </cell>
          <cell r="Y41">
            <v>0</v>
          </cell>
          <cell r="Z41">
            <v>0</v>
          </cell>
          <cell r="AA41">
            <v>0</v>
          </cell>
          <cell r="AB41">
            <v>0</v>
          </cell>
          <cell r="AC41">
            <v>30.740000000000002</v>
          </cell>
          <cell r="AD41">
            <v>0.2</v>
          </cell>
          <cell r="AE41">
            <v>14.8</v>
          </cell>
          <cell r="AF41">
            <v>41.400000000000006</v>
          </cell>
          <cell r="AG41">
            <v>31</v>
          </cell>
          <cell r="AH41">
            <v>0</v>
          </cell>
          <cell r="AI41">
            <v>0</v>
          </cell>
          <cell r="AJ41">
            <v>0</v>
          </cell>
          <cell r="AK41">
            <v>0</v>
          </cell>
          <cell r="AL41">
            <v>0</v>
          </cell>
          <cell r="AM41">
            <v>0</v>
          </cell>
          <cell r="AN41">
            <v>0</v>
          </cell>
          <cell r="AO41">
            <v>0</v>
          </cell>
          <cell r="AP41">
            <v>87.4</v>
          </cell>
          <cell r="AQ41">
            <v>0.2</v>
          </cell>
          <cell r="AR41">
            <v>14.4</v>
          </cell>
          <cell r="AS41">
            <v>54.400000000000006</v>
          </cell>
          <cell r="AT41">
            <v>26.999999999999996</v>
          </cell>
          <cell r="AU41">
            <v>4.2</v>
          </cell>
          <cell r="AV41">
            <v>0</v>
          </cell>
          <cell r="AW41">
            <v>0</v>
          </cell>
          <cell r="AX41">
            <v>0</v>
          </cell>
          <cell r="AY41">
            <v>0</v>
          </cell>
          <cell r="AZ41">
            <v>0</v>
          </cell>
          <cell r="BA41">
            <v>0</v>
          </cell>
          <cell r="BB41">
            <v>0</v>
          </cell>
          <cell r="BC41">
            <v>100.2</v>
          </cell>
          <cell r="BD41">
            <v>30.74</v>
          </cell>
          <cell r="BE41">
            <v>30.740000000000002</v>
          </cell>
          <cell r="BF41">
            <v>87.4</v>
          </cell>
          <cell r="BG41">
            <v>100.19999999999999</v>
          </cell>
          <cell r="BH41">
            <v>104.1</v>
          </cell>
          <cell r="BI41">
            <v>-7.3897309238000002</v>
          </cell>
          <cell r="BJ41">
            <v>-7.9931435478799999</v>
          </cell>
          <cell r="BK41">
            <v>1.9407955218697013E-2</v>
          </cell>
          <cell r="BL41">
            <v>1.9407955218697009E-2</v>
          </cell>
          <cell r="BM41">
            <v>1.9407955218697013E-2</v>
          </cell>
          <cell r="BN41">
            <v>1.9407955218697013E-2</v>
          </cell>
          <cell r="BO41">
            <v>1.9407955218697013E-2</v>
          </cell>
          <cell r="BQ41">
            <v>-7.3897309238000002</v>
          </cell>
          <cell r="BS41">
            <v>20.190000000000001</v>
          </cell>
          <cell r="BT41">
            <v>0</v>
          </cell>
          <cell r="BW41">
            <v>20.190000000000001</v>
          </cell>
          <cell r="BY41">
            <v>0</v>
          </cell>
          <cell r="BZ41">
            <v>104.1</v>
          </cell>
          <cell r="CA41">
            <v>3.9000000000000057</v>
          </cell>
          <cell r="CB41">
            <v>0</v>
          </cell>
          <cell r="CC41">
            <v>0.34904350646296506</v>
          </cell>
          <cell r="CD41">
            <v>1</v>
          </cell>
          <cell r="CE41">
            <v>5.560325535165421E-2</v>
          </cell>
          <cell r="CF41">
            <v>1.9407955218697013E-2</v>
          </cell>
          <cell r="CG41">
            <v>87.4</v>
          </cell>
          <cell r="CH41">
            <v>0.20921576055058755</v>
          </cell>
          <cell r="CI41">
            <v>14.898615618097377</v>
          </cell>
          <cell r="CJ41">
            <v>58.459725535812275</v>
          </cell>
          <cell r="CK41">
            <v>29.420896019210819</v>
          </cell>
          <cell r="CL41">
            <v>4.6012779929319354</v>
          </cell>
          <cell r="CM41">
            <v>0</v>
          </cell>
          <cell r="CN41">
            <v>0</v>
          </cell>
          <cell r="CO41">
            <v>0</v>
          </cell>
          <cell r="CP41">
            <v>0</v>
          </cell>
          <cell r="CQ41">
            <v>0</v>
          </cell>
          <cell r="CR41">
            <v>0</v>
          </cell>
          <cell r="CS41">
            <v>0</v>
          </cell>
          <cell r="CT41">
            <v>107.589730926603</v>
          </cell>
        </row>
        <row r="42">
          <cell r="B42" t="str">
            <v>A00M319</v>
          </cell>
          <cell r="C42" t="str">
            <v>DIV</v>
          </cell>
          <cell r="D42">
            <v>2.4000000000000004</v>
          </cell>
          <cell r="E42">
            <v>7.6000000000000005</v>
          </cell>
          <cell r="F42">
            <v>0</v>
          </cell>
          <cell r="G42">
            <v>0</v>
          </cell>
          <cell r="H42">
            <v>0</v>
          </cell>
          <cell r="I42">
            <v>0</v>
          </cell>
          <cell r="J42">
            <v>0</v>
          </cell>
          <cell r="K42">
            <v>0</v>
          </cell>
          <cell r="L42">
            <v>0</v>
          </cell>
          <cell r="M42">
            <v>0</v>
          </cell>
          <cell r="N42">
            <v>0</v>
          </cell>
          <cell r="O42">
            <v>0</v>
          </cell>
          <cell r="P42">
            <v>10</v>
          </cell>
          <cell r="Q42">
            <v>2.4000000000000004</v>
          </cell>
          <cell r="R42">
            <v>7.6000000000000005</v>
          </cell>
          <cell r="S42">
            <v>0</v>
          </cell>
          <cell r="T42">
            <v>0</v>
          </cell>
          <cell r="U42">
            <v>0</v>
          </cell>
          <cell r="V42">
            <v>0</v>
          </cell>
          <cell r="W42">
            <v>0</v>
          </cell>
          <cell r="X42">
            <v>0</v>
          </cell>
          <cell r="Y42">
            <v>0</v>
          </cell>
          <cell r="Z42">
            <v>0</v>
          </cell>
          <cell r="AA42">
            <v>0</v>
          </cell>
          <cell r="AB42">
            <v>0</v>
          </cell>
          <cell r="AC42">
            <v>10</v>
          </cell>
          <cell r="AD42">
            <v>0.4</v>
          </cell>
          <cell r="AE42">
            <v>1.3</v>
          </cell>
          <cell r="AF42">
            <v>6</v>
          </cell>
          <cell r="AG42">
            <v>0</v>
          </cell>
          <cell r="AH42">
            <v>0</v>
          </cell>
          <cell r="AI42">
            <v>0</v>
          </cell>
          <cell r="AJ42">
            <v>0</v>
          </cell>
          <cell r="AK42">
            <v>0</v>
          </cell>
          <cell r="AL42">
            <v>0</v>
          </cell>
          <cell r="AM42">
            <v>0</v>
          </cell>
          <cell r="AN42">
            <v>0</v>
          </cell>
          <cell r="AO42">
            <v>0</v>
          </cell>
          <cell r="AP42">
            <v>7.7</v>
          </cell>
          <cell r="AQ42">
            <v>0.4</v>
          </cell>
          <cell r="AR42">
            <v>1.3</v>
          </cell>
          <cell r="AS42">
            <v>5.5</v>
          </cell>
          <cell r="AT42">
            <v>0</v>
          </cell>
          <cell r="AU42">
            <v>0</v>
          </cell>
          <cell r="AV42">
            <v>0</v>
          </cell>
          <cell r="AW42">
            <v>0</v>
          </cell>
          <cell r="AX42">
            <v>0</v>
          </cell>
          <cell r="AY42">
            <v>0</v>
          </cell>
          <cell r="AZ42">
            <v>0</v>
          </cell>
          <cell r="BA42">
            <v>0</v>
          </cell>
          <cell r="BB42">
            <v>0</v>
          </cell>
          <cell r="BC42">
            <v>7.2</v>
          </cell>
          <cell r="BD42">
            <v>10</v>
          </cell>
          <cell r="BE42">
            <v>10</v>
          </cell>
          <cell r="BF42">
            <v>7.7</v>
          </cell>
          <cell r="BG42">
            <v>7.2</v>
          </cell>
          <cell r="BH42">
            <v>3.2</v>
          </cell>
          <cell r="BI42">
            <v>-0.47389562289999998</v>
          </cell>
          <cell r="BJ42">
            <v>-0.17538639249999999</v>
          </cell>
          <cell r="BK42">
            <v>1.7098541783062584E-3</v>
          </cell>
          <cell r="BL42">
            <v>1.7098541783062584E-3</v>
          </cell>
          <cell r="BM42">
            <v>1.7098541783062584E-3</v>
          </cell>
          <cell r="BN42">
            <v>1.7098541783062584E-3</v>
          </cell>
          <cell r="BO42">
            <v>1.7098541783062584E-3</v>
          </cell>
          <cell r="BQ42">
            <v>-0.47389562289999998</v>
          </cell>
          <cell r="BS42">
            <v>-0.03</v>
          </cell>
          <cell r="BT42">
            <v>0</v>
          </cell>
          <cell r="BW42">
            <v>-0.03</v>
          </cell>
          <cell r="BY42">
            <v>0</v>
          </cell>
          <cell r="BZ42">
            <v>3.2</v>
          </cell>
          <cell r="CA42">
            <v>0</v>
          </cell>
          <cell r="CB42">
            <v>-4</v>
          </cell>
          <cell r="CC42">
            <v>0.34904350646296506</v>
          </cell>
          <cell r="CD42">
            <v>1</v>
          </cell>
          <cell r="CE42">
            <v>4.898684968051915E-3</v>
          </cell>
          <cell r="CF42">
            <v>1.7098541783062584E-3</v>
          </cell>
          <cell r="CG42">
            <v>7.7</v>
          </cell>
          <cell r="CH42">
            <v>0.4184315211011751</v>
          </cell>
          <cell r="CI42">
            <v>1.3450139099671243</v>
          </cell>
          <cell r="CJ42">
            <v>5.9104501920398436</v>
          </cell>
          <cell r="CK42">
            <v>0</v>
          </cell>
          <cell r="CL42">
            <v>0</v>
          </cell>
          <cell r="CM42">
            <v>0</v>
          </cell>
          <cell r="CN42">
            <v>0</v>
          </cell>
          <cell r="CO42">
            <v>0</v>
          </cell>
          <cell r="CP42">
            <v>0</v>
          </cell>
          <cell r="CQ42">
            <v>0</v>
          </cell>
          <cell r="CR42">
            <v>0</v>
          </cell>
          <cell r="CS42">
            <v>0</v>
          </cell>
          <cell r="CT42">
            <v>7.6738956231081428</v>
          </cell>
        </row>
        <row r="43">
          <cell r="B43" t="str">
            <v>A00M321</v>
          </cell>
          <cell r="C43" t="str">
            <v>DIV</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Q43">
            <v>0</v>
          </cell>
          <cell r="BT43">
            <v>0</v>
          </cell>
          <cell r="BY43">
            <v>0</v>
          </cell>
          <cell r="BZ43">
            <v>0</v>
          </cell>
          <cell r="CA43">
            <v>0</v>
          </cell>
          <cell r="CB43">
            <v>0</v>
          </cell>
          <cell r="CC43">
            <v>0.34904350646296506</v>
          </cell>
          <cell r="CD43">
            <v>1</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row>
        <row r="44">
          <cell r="B44" t="str">
            <v>A00M322</v>
          </cell>
          <cell r="C44" t="str">
            <v>DIV</v>
          </cell>
          <cell r="D44">
            <v>0</v>
          </cell>
          <cell r="E44">
            <v>0</v>
          </cell>
          <cell r="F44">
            <v>48.449999999999996</v>
          </cell>
          <cell r="G44">
            <v>22.799999999999997</v>
          </cell>
          <cell r="H44">
            <v>5.7</v>
          </cell>
          <cell r="I44">
            <v>1.7999999999999998</v>
          </cell>
          <cell r="J44">
            <v>0</v>
          </cell>
          <cell r="K44">
            <v>0</v>
          </cell>
          <cell r="L44">
            <v>0</v>
          </cell>
          <cell r="M44">
            <v>0</v>
          </cell>
          <cell r="N44">
            <v>0</v>
          </cell>
          <cell r="O44">
            <v>0</v>
          </cell>
          <cell r="P44">
            <v>78.75</v>
          </cell>
          <cell r="Q44">
            <v>0</v>
          </cell>
          <cell r="R44">
            <v>0</v>
          </cell>
          <cell r="S44">
            <v>48.449999999999996</v>
          </cell>
          <cell r="T44">
            <v>15.299999999999999</v>
          </cell>
          <cell r="U44">
            <v>7.5</v>
          </cell>
          <cell r="V44">
            <v>5.25</v>
          </cell>
          <cell r="W44">
            <v>0</v>
          </cell>
          <cell r="X44">
            <v>0</v>
          </cell>
          <cell r="Y44">
            <v>0</v>
          </cell>
          <cell r="Z44">
            <v>0</v>
          </cell>
          <cell r="AA44">
            <v>0</v>
          </cell>
          <cell r="AB44">
            <v>0</v>
          </cell>
          <cell r="AC44">
            <v>76.5</v>
          </cell>
          <cell r="AD44">
            <v>0.5</v>
          </cell>
          <cell r="AE44">
            <v>0.2</v>
          </cell>
          <cell r="AF44">
            <v>97</v>
          </cell>
          <cell r="AG44">
            <v>60.6</v>
          </cell>
          <cell r="AH44">
            <v>17.399999999999999</v>
          </cell>
          <cell r="AI44">
            <v>6.9</v>
          </cell>
          <cell r="AJ44">
            <v>0</v>
          </cell>
          <cell r="AK44">
            <v>0</v>
          </cell>
          <cell r="AL44">
            <v>0</v>
          </cell>
          <cell r="AM44">
            <v>0</v>
          </cell>
          <cell r="AN44">
            <v>0</v>
          </cell>
          <cell r="AO44">
            <v>0</v>
          </cell>
          <cell r="AP44">
            <v>182.60000000000002</v>
          </cell>
          <cell r="AQ44">
            <v>0.5</v>
          </cell>
          <cell r="AR44">
            <v>0.2</v>
          </cell>
          <cell r="AS44">
            <v>97</v>
          </cell>
          <cell r="AT44">
            <v>39.299999999999997</v>
          </cell>
          <cell r="AU44">
            <v>10.600000000000001</v>
          </cell>
          <cell r="AV44">
            <v>0.79999999999999982</v>
          </cell>
          <cell r="AW44">
            <v>7</v>
          </cell>
          <cell r="AX44">
            <v>0</v>
          </cell>
          <cell r="AY44">
            <v>0</v>
          </cell>
          <cell r="AZ44">
            <v>0</v>
          </cell>
          <cell r="BA44">
            <v>0</v>
          </cell>
          <cell r="BB44">
            <v>0</v>
          </cell>
          <cell r="BC44">
            <v>155.4</v>
          </cell>
          <cell r="BD44">
            <v>78.75</v>
          </cell>
          <cell r="BE44">
            <v>76.5</v>
          </cell>
          <cell r="BF44">
            <v>182.6</v>
          </cell>
          <cell r="BG44">
            <v>155.4</v>
          </cell>
          <cell r="BH44">
            <v>146.70000000000002</v>
          </cell>
          <cell r="BI44">
            <v>-3.9489571615400001</v>
          </cell>
          <cell r="BJ44">
            <v>-1.6768957580900006</v>
          </cell>
          <cell r="BK44">
            <v>4.0547970514119847E-2</v>
          </cell>
          <cell r="BL44">
            <v>4.0547970514119847E-2</v>
          </cell>
          <cell r="BM44">
            <v>3.9389457070859279E-2</v>
          </cell>
          <cell r="BN44">
            <v>4.0547970514119847E-2</v>
          </cell>
          <cell r="BO44">
            <v>3.9389457070859279E-2</v>
          </cell>
          <cell r="BP44">
            <v>-9.5</v>
          </cell>
          <cell r="BQ44">
            <v>-3.9489571615400001</v>
          </cell>
          <cell r="BR44">
            <v>-13.75</v>
          </cell>
          <cell r="BT44">
            <v>0</v>
          </cell>
          <cell r="BU44">
            <v>-9.5</v>
          </cell>
          <cell r="BV44">
            <v>-8.8000000000000007</v>
          </cell>
          <cell r="BX44">
            <v>-4.95</v>
          </cell>
          <cell r="BY44">
            <v>0</v>
          </cell>
          <cell r="BZ44">
            <v>146.70000000000002</v>
          </cell>
          <cell r="CA44">
            <v>0</v>
          </cell>
          <cell r="CB44">
            <v>-8.6999999999999886</v>
          </cell>
          <cell r="CC44">
            <v>0.34904350646296506</v>
          </cell>
          <cell r="CD44">
            <v>1</v>
          </cell>
          <cell r="CE44">
            <v>0.11284970595789801</v>
          </cell>
          <cell r="CF44">
            <v>3.9389457070859279E-2</v>
          </cell>
          <cell r="CG44">
            <v>182.60000000000002</v>
          </cell>
          <cell r="CH44">
            <v>0.52303940137646887</v>
          </cell>
          <cell r="CI44">
            <v>0.20692521691801913</v>
          </cell>
          <cell r="CJ44">
            <v>97.928250592669826</v>
          </cell>
          <cell r="CK44">
            <v>39.879981814439198</v>
          </cell>
          <cell r="CL44">
            <v>11.612749220256791</v>
          </cell>
          <cell r="CM44">
            <v>0.85822870331123191</v>
          </cell>
          <cell r="CN44">
            <v>8.3397822141560809</v>
          </cell>
          <cell r="CO44">
            <v>0</v>
          </cell>
          <cell r="CP44">
            <v>0</v>
          </cell>
          <cell r="CQ44">
            <v>0</v>
          </cell>
          <cell r="CR44">
            <v>0</v>
          </cell>
          <cell r="CS44">
            <v>0</v>
          </cell>
          <cell r="CT44">
            <v>159.34895716312764</v>
          </cell>
        </row>
        <row r="45">
          <cell r="B45" t="str">
            <v>A00M330</v>
          </cell>
          <cell r="C45" t="str">
            <v>DIV</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Q45">
            <v>0</v>
          </cell>
          <cell r="BT45">
            <v>0</v>
          </cell>
          <cell r="BY45">
            <v>0</v>
          </cell>
          <cell r="BZ45">
            <v>0</v>
          </cell>
          <cell r="CA45">
            <v>0</v>
          </cell>
          <cell r="CB45">
            <v>0</v>
          </cell>
          <cell r="CC45">
            <v>0.34904350646296506</v>
          </cell>
          <cell r="CD45">
            <v>1</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row>
        <row r="46">
          <cell r="B46" t="str">
            <v>A00M331</v>
          </cell>
          <cell r="C46" t="str">
            <v>DIV</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Q46">
            <v>0</v>
          </cell>
          <cell r="BT46">
            <v>0</v>
          </cell>
          <cell r="BY46">
            <v>0</v>
          </cell>
          <cell r="BZ46">
            <v>0</v>
          </cell>
          <cell r="CA46">
            <v>0</v>
          </cell>
          <cell r="CB46">
            <v>0</v>
          </cell>
          <cell r="CC46">
            <v>0.34904350646296506</v>
          </cell>
          <cell r="CD46">
            <v>1</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row>
        <row r="47">
          <cell r="B47" t="str">
            <v>A01M101</v>
          </cell>
          <cell r="C47" t="str">
            <v>DIV</v>
          </cell>
          <cell r="D47">
            <v>0</v>
          </cell>
          <cell r="E47">
            <v>0</v>
          </cell>
          <cell r="F47">
            <v>0</v>
          </cell>
          <cell r="G47">
            <v>30</v>
          </cell>
          <cell r="H47">
            <v>30</v>
          </cell>
          <cell r="I47">
            <v>30</v>
          </cell>
          <cell r="J47">
            <v>5</v>
          </cell>
          <cell r="K47">
            <v>5</v>
          </cell>
          <cell r="L47">
            <v>0</v>
          </cell>
          <cell r="M47">
            <v>0</v>
          </cell>
          <cell r="N47">
            <v>0</v>
          </cell>
          <cell r="O47">
            <v>0</v>
          </cell>
          <cell r="P47">
            <v>100</v>
          </cell>
          <cell r="Q47">
            <v>0</v>
          </cell>
          <cell r="R47">
            <v>0</v>
          </cell>
          <cell r="S47">
            <v>0</v>
          </cell>
          <cell r="T47">
            <v>32.9</v>
          </cell>
          <cell r="U47">
            <v>46.4</v>
          </cell>
          <cell r="V47">
            <v>16</v>
          </cell>
          <cell r="W47">
            <v>2.7</v>
          </cell>
          <cell r="X47">
            <v>2</v>
          </cell>
          <cell r="Y47">
            <v>0</v>
          </cell>
          <cell r="Z47">
            <v>0</v>
          </cell>
          <cell r="AA47">
            <v>0</v>
          </cell>
          <cell r="AB47">
            <v>0</v>
          </cell>
          <cell r="AC47">
            <v>100</v>
          </cell>
          <cell r="AD47">
            <v>0</v>
          </cell>
          <cell r="AE47">
            <v>0</v>
          </cell>
          <cell r="AF47">
            <v>0</v>
          </cell>
          <cell r="AG47">
            <v>22.8</v>
          </cell>
          <cell r="AH47">
            <v>22.6</v>
          </cell>
          <cell r="AI47">
            <v>22.6</v>
          </cell>
          <cell r="AJ47">
            <v>5.4</v>
          </cell>
          <cell r="AK47">
            <v>19.600000000000001</v>
          </cell>
          <cell r="AL47">
            <v>0</v>
          </cell>
          <cell r="AM47">
            <v>0</v>
          </cell>
          <cell r="AN47">
            <v>0</v>
          </cell>
          <cell r="AO47">
            <v>0</v>
          </cell>
          <cell r="AP47">
            <v>93</v>
          </cell>
          <cell r="AQ47">
            <v>0</v>
          </cell>
          <cell r="AR47">
            <v>0</v>
          </cell>
          <cell r="AS47">
            <v>0</v>
          </cell>
          <cell r="AT47">
            <v>22.7</v>
          </cell>
          <cell r="AU47">
            <v>30.5</v>
          </cell>
          <cell r="AV47">
            <v>12</v>
          </cell>
          <cell r="AW47">
            <v>5.0999999999999996</v>
          </cell>
          <cell r="AX47">
            <v>9.3000000000000007</v>
          </cell>
          <cell r="AY47">
            <v>0</v>
          </cell>
          <cell r="AZ47">
            <v>0</v>
          </cell>
          <cell r="BA47">
            <v>0</v>
          </cell>
          <cell r="BB47">
            <v>0</v>
          </cell>
          <cell r="BC47">
            <v>79.599999999999994</v>
          </cell>
          <cell r="BD47">
            <v>95</v>
          </cell>
          <cell r="BE47">
            <v>98</v>
          </cell>
          <cell r="BF47">
            <v>73.400000000000006</v>
          </cell>
          <cell r="BG47">
            <v>70.3</v>
          </cell>
          <cell r="BH47">
            <v>2.7</v>
          </cell>
          <cell r="BI47">
            <v>-7.3166793648199997</v>
          </cell>
          <cell r="BJ47">
            <v>-0.25796442410999998</v>
          </cell>
          <cell r="BK47">
            <v>2.065148553019247E-2</v>
          </cell>
          <cell r="BL47">
            <v>1.9618911253682848E-2</v>
          </cell>
          <cell r="BM47">
            <v>2.0238455819588622E-2</v>
          </cell>
          <cell r="BN47">
            <v>2.065148553019247E-2</v>
          </cell>
          <cell r="BO47">
            <v>2.065148553019247E-2</v>
          </cell>
          <cell r="BP47">
            <v>6.3</v>
          </cell>
          <cell r="BQ47">
            <v>-7.3166793648199997</v>
          </cell>
          <cell r="BR47">
            <v>-2.08</v>
          </cell>
          <cell r="BT47">
            <v>0</v>
          </cell>
          <cell r="BV47">
            <v>-6.08</v>
          </cell>
          <cell r="BY47">
            <v>0</v>
          </cell>
          <cell r="BZ47">
            <v>2.7</v>
          </cell>
          <cell r="CA47">
            <v>0</v>
          </cell>
          <cell r="CB47">
            <v>-67.599999999999994</v>
          </cell>
          <cell r="CC47">
            <v>0.34904350646296506</v>
          </cell>
          <cell r="CD47">
            <v>1</v>
          </cell>
          <cell r="CE47">
            <v>5.7982616621850849E-2</v>
          </cell>
          <cell r="CF47">
            <v>2.065148553019247E-2</v>
          </cell>
          <cell r="CG47">
            <v>93</v>
          </cell>
          <cell r="CH47">
            <v>0</v>
          </cell>
          <cell r="CI47">
            <v>0</v>
          </cell>
          <cell r="CJ47">
            <v>0</v>
          </cell>
          <cell r="CK47">
            <v>24.735345912447613</v>
          </cell>
          <cell r="CL47">
            <v>33.41404256772001</v>
          </cell>
          <cell r="CM47">
            <v>13.391163842866344</v>
          </cell>
          <cell r="CN47">
            <v>6.0761270417422866</v>
          </cell>
          <cell r="CO47">
            <v>9.3000000000000007</v>
          </cell>
          <cell r="CP47">
            <v>0</v>
          </cell>
          <cell r="CQ47">
            <v>0</v>
          </cell>
          <cell r="CR47">
            <v>0</v>
          </cell>
          <cell r="CS47">
            <v>0</v>
          </cell>
          <cell r="CT47">
            <v>86.916679364776243</v>
          </cell>
        </row>
        <row r="48">
          <cell r="B48" t="str">
            <v>A01M103</v>
          </cell>
          <cell r="C48" t="str">
            <v>DIV</v>
          </cell>
          <cell r="D48">
            <v>0</v>
          </cell>
          <cell r="E48">
            <v>0</v>
          </cell>
          <cell r="F48">
            <v>0</v>
          </cell>
          <cell r="G48">
            <v>0</v>
          </cell>
          <cell r="H48">
            <v>0</v>
          </cell>
          <cell r="I48">
            <v>77</v>
          </cell>
          <cell r="J48">
            <v>20.5</v>
          </cell>
          <cell r="K48">
            <v>2.5</v>
          </cell>
          <cell r="L48">
            <v>0</v>
          </cell>
          <cell r="M48">
            <v>0</v>
          </cell>
          <cell r="N48">
            <v>0</v>
          </cell>
          <cell r="O48">
            <v>0</v>
          </cell>
          <cell r="P48">
            <v>100</v>
          </cell>
          <cell r="Q48">
            <v>0</v>
          </cell>
          <cell r="R48">
            <v>0</v>
          </cell>
          <cell r="S48">
            <v>0</v>
          </cell>
          <cell r="T48">
            <v>0</v>
          </cell>
          <cell r="U48">
            <v>0</v>
          </cell>
          <cell r="V48">
            <v>75</v>
          </cell>
          <cell r="W48">
            <v>1</v>
          </cell>
          <cell r="X48">
            <v>15.5</v>
          </cell>
          <cell r="Y48">
            <v>8.5</v>
          </cell>
          <cell r="Z48">
            <v>0</v>
          </cell>
          <cell r="AA48">
            <v>0</v>
          </cell>
          <cell r="AB48">
            <v>0</v>
          </cell>
          <cell r="AC48">
            <v>100</v>
          </cell>
          <cell r="AD48">
            <v>0</v>
          </cell>
          <cell r="AE48">
            <v>0</v>
          </cell>
          <cell r="AF48">
            <v>0</v>
          </cell>
          <cell r="AG48">
            <v>0</v>
          </cell>
          <cell r="AH48">
            <v>0</v>
          </cell>
          <cell r="AI48">
            <v>113.3</v>
          </cell>
          <cell r="AJ48">
            <v>8.5</v>
          </cell>
          <cell r="AK48">
            <v>27.2</v>
          </cell>
          <cell r="AL48">
            <v>0</v>
          </cell>
          <cell r="AM48">
            <v>0</v>
          </cell>
          <cell r="AN48">
            <v>0</v>
          </cell>
          <cell r="AO48">
            <v>0</v>
          </cell>
          <cell r="AP48">
            <v>149</v>
          </cell>
          <cell r="AQ48">
            <v>0</v>
          </cell>
          <cell r="AR48">
            <v>0</v>
          </cell>
          <cell r="AS48">
            <v>0</v>
          </cell>
          <cell r="AT48">
            <v>0</v>
          </cell>
          <cell r="AU48">
            <v>0</v>
          </cell>
          <cell r="AV48">
            <v>94</v>
          </cell>
          <cell r="AW48">
            <v>10.3</v>
          </cell>
          <cell r="AX48">
            <v>19.2</v>
          </cell>
          <cell r="AY48">
            <v>19.600000000000001</v>
          </cell>
          <cell r="AZ48">
            <v>0</v>
          </cell>
          <cell r="BA48">
            <v>0</v>
          </cell>
          <cell r="BB48">
            <v>0</v>
          </cell>
          <cell r="BC48">
            <v>143.1</v>
          </cell>
          <cell r="BD48">
            <v>97.5</v>
          </cell>
          <cell r="BE48">
            <v>76</v>
          </cell>
          <cell r="BF48">
            <v>121.8</v>
          </cell>
          <cell r="BG48">
            <v>104.3</v>
          </cell>
          <cell r="BH48">
            <v>0</v>
          </cell>
          <cell r="BI48">
            <v>-12.86884392856</v>
          </cell>
          <cell r="BJ48">
            <v>0</v>
          </cell>
          <cell r="BK48">
            <v>3.3086788645147081E-2</v>
          </cell>
          <cell r="BL48">
            <v>3.2259618929018401E-2</v>
          </cell>
          <cell r="BM48">
            <v>2.514595937031178E-2</v>
          </cell>
          <cell r="BN48">
            <v>3.3086788645147081E-2</v>
          </cell>
          <cell r="BO48">
            <v>3.3086788645147081E-2</v>
          </cell>
          <cell r="BQ48">
            <v>-12.86884392856</v>
          </cell>
          <cell r="BR48">
            <v>-4.63</v>
          </cell>
          <cell r="BT48">
            <v>0</v>
          </cell>
          <cell r="BU48">
            <v>6.97</v>
          </cell>
          <cell r="BY48">
            <v>0</v>
          </cell>
          <cell r="BZ48">
            <v>0</v>
          </cell>
          <cell r="CA48">
            <v>0</v>
          </cell>
          <cell r="CB48">
            <v>-104.3</v>
          </cell>
          <cell r="CC48">
            <v>0.34904350646296506</v>
          </cell>
          <cell r="CD48">
            <v>1</v>
          </cell>
          <cell r="CE48">
            <v>7.2042478673012847E-2</v>
          </cell>
          <cell r="CF48">
            <v>3.3086788645147081E-2</v>
          </cell>
          <cell r="CG48">
            <v>149</v>
          </cell>
          <cell r="CH48">
            <v>0</v>
          </cell>
          <cell r="CI48">
            <v>0</v>
          </cell>
          <cell r="CJ48">
            <v>0</v>
          </cell>
          <cell r="CK48">
            <v>0</v>
          </cell>
          <cell r="CL48">
            <v>0</v>
          </cell>
          <cell r="CM48">
            <v>104.89745010245302</v>
          </cell>
          <cell r="CN48">
            <v>12.271393829401092</v>
          </cell>
          <cell r="CO48">
            <v>19.2</v>
          </cell>
          <cell r="CP48">
            <v>19.600000000000001</v>
          </cell>
          <cell r="CQ48">
            <v>0</v>
          </cell>
          <cell r="CR48">
            <v>0</v>
          </cell>
          <cell r="CS48">
            <v>0</v>
          </cell>
          <cell r="CT48">
            <v>155.96884393185411</v>
          </cell>
        </row>
        <row r="49">
          <cell r="B49" t="str">
            <v>A01M104</v>
          </cell>
          <cell r="C49" t="str">
            <v>DIV</v>
          </cell>
          <cell r="D49">
            <v>0</v>
          </cell>
          <cell r="E49">
            <v>0</v>
          </cell>
          <cell r="F49">
            <v>0</v>
          </cell>
          <cell r="G49">
            <v>0</v>
          </cell>
          <cell r="H49">
            <v>30</v>
          </cell>
          <cell r="I49">
            <v>27</v>
          </cell>
          <cell r="J49">
            <v>27</v>
          </cell>
          <cell r="K49">
            <v>16</v>
          </cell>
          <cell r="L49">
            <v>0</v>
          </cell>
          <cell r="M49">
            <v>0</v>
          </cell>
          <cell r="N49">
            <v>0</v>
          </cell>
          <cell r="O49">
            <v>0</v>
          </cell>
          <cell r="P49">
            <v>100</v>
          </cell>
          <cell r="Q49">
            <v>0</v>
          </cell>
          <cell r="R49">
            <v>0</v>
          </cell>
          <cell r="S49">
            <v>0</v>
          </cell>
          <cell r="T49">
            <v>0</v>
          </cell>
          <cell r="U49">
            <v>40.5</v>
          </cell>
          <cell r="V49">
            <v>43.5</v>
          </cell>
          <cell r="W49">
            <v>14</v>
          </cell>
          <cell r="X49">
            <v>2</v>
          </cell>
          <cell r="Y49">
            <v>0</v>
          </cell>
          <cell r="Z49">
            <v>0</v>
          </cell>
          <cell r="AA49">
            <v>0</v>
          </cell>
          <cell r="AB49">
            <v>0</v>
          </cell>
          <cell r="AC49">
            <v>100</v>
          </cell>
          <cell r="AD49">
            <v>0</v>
          </cell>
          <cell r="AE49">
            <v>0</v>
          </cell>
          <cell r="AF49">
            <v>0</v>
          </cell>
          <cell r="AG49">
            <v>0</v>
          </cell>
          <cell r="AH49">
            <v>21.5</v>
          </cell>
          <cell r="AI49">
            <v>19.3</v>
          </cell>
          <cell r="AJ49">
            <v>19.399999999999999</v>
          </cell>
          <cell r="AK49">
            <v>7.8</v>
          </cell>
          <cell r="AL49">
            <v>0</v>
          </cell>
          <cell r="AM49">
            <v>0</v>
          </cell>
          <cell r="AN49">
            <v>0</v>
          </cell>
          <cell r="AO49">
            <v>0</v>
          </cell>
          <cell r="AP49">
            <v>68</v>
          </cell>
          <cell r="AQ49">
            <v>0</v>
          </cell>
          <cell r="AR49">
            <v>0</v>
          </cell>
          <cell r="AS49">
            <v>0</v>
          </cell>
          <cell r="AT49">
            <v>0</v>
          </cell>
          <cell r="AU49">
            <v>19.8</v>
          </cell>
          <cell r="AV49">
            <v>22.3</v>
          </cell>
          <cell r="AW49">
            <v>10.5</v>
          </cell>
          <cell r="AX49">
            <v>6</v>
          </cell>
          <cell r="AY49">
            <v>0</v>
          </cell>
          <cell r="AZ49">
            <v>0</v>
          </cell>
          <cell r="BA49">
            <v>0</v>
          </cell>
          <cell r="BB49">
            <v>0</v>
          </cell>
          <cell r="BC49">
            <v>58.6</v>
          </cell>
          <cell r="BD49">
            <v>84</v>
          </cell>
          <cell r="BE49">
            <v>98</v>
          </cell>
          <cell r="BF49">
            <v>60.199999999999996</v>
          </cell>
          <cell r="BG49">
            <v>52.6</v>
          </cell>
          <cell r="BH49">
            <v>2.4</v>
          </cell>
          <cell r="BI49">
            <v>-6.4866585722000005</v>
          </cell>
          <cell r="BJ49">
            <v>-0.22930171031999996</v>
          </cell>
          <cell r="BK49">
            <v>1.5100010925302023E-2</v>
          </cell>
          <cell r="BL49">
            <v>1.2684009177253699E-2</v>
          </cell>
          <cell r="BM49">
            <v>1.4798010706795983E-2</v>
          </cell>
          <cell r="BN49">
            <v>1.5100010925302023E-2</v>
          </cell>
          <cell r="BO49">
            <v>1.5100010925302023E-2</v>
          </cell>
          <cell r="BQ49">
            <v>-6.4866585722000005</v>
          </cell>
          <cell r="BR49">
            <v>-3</v>
          </cell>
          <cell r="BS49">
            <v>1.89</v>
          </cell>
          <cell r="BT49">
            <v>0</v>
          </cell>
          <cell r="BV49">
            <v>-6.2</v>
          </cell>
          <cell r="BW49">
            <v>3.29</v>
          </cell>
          <cell r="BY49">
            <v>0</v>
          </cell>
          <cell r="BZ49">
            <v>2.4</v>
          </cell>
          <cell r="CA49">
            <v>0</v>
          </cell>
          <cell r="CB49">
            <v>-50.2</v>
          </cell>
          <cell r="CC49">
            <v>0.34904350646296506</v>
          </cell>
          <cell r="CD49">
            <v>1</v>
          </cell>
          <cell r="CE49">
            <v>4.2395891723503852E-2</v>
          </cell>
          <cell r="CF49">
            <v>1.5100010925302023E-2</v>
          </cell>
          <cell r="CG49">
            <v>68</v>
          </cell>
          <cell r="CH49">
            <v>0</v>
          </cell>
          <cell r="CI49">
            <v>0</v>
          </cell>
          <cell r="CJ49">
            <v>0</v>
          </cell>
          <cell r="CK49">
            <v>0</v>
          </cell>
          <cell r="CL49">
            <v>21.691739109536268</v>
          </cell>
          <cell r="CM49">
            <v>24.885246141326622</v>
          </cell>
          <cell r="CN49">
            <v>12.509673321234121</v>
          </cell>
          <cell r="CO49">
            <v>6</v>
          </cell>
          <cell r="CP49">
            <v>0</v>
          </cell>
          <cell r="CQ49">
            <v>0</v>
          </cell>
          <cell r="CR49">
            <v>0</v>
          </cell>
          <cell r="CS49">
            <v>0</v>
          </cell>
          <cell r="CT49">
            <v>65.086658572097008</v>
          </cell>
        </row>
        <row r="50">
          <cell r="B50" t="str">
            <v>A01M201</v>
          </cell>
          <cell r="C50" t="str">
            <v>EXT</v>
          </cell>
          <cell r="D50">
            <v>0</v>
          </cell>
          <cell r="E50">
            <v>0</v>
          </cell>
          <cell r="F50">
            <v>0</v>
          </cell>
          <cell r="G50">
            <v>0</v>
          </cell>
          <cell r="H50">
            <v>0</v>
          </cell>
          <cell r="I50">
            <v>0</v>
          </cell>
          <cell r="J50">
            <v>0</v>
          </cell>
          <cell r="K50">
            <v>5.2</v>
          </cell>
          <cell r="L50">
            <v>11.1</v>
          </cell>
          <cell r="M50">
            <v>18.2</v>
          </cell>
          <cell r="N50">
            <v>25.7</v>
          </cell>
          <cell r="O50">
            <v>18.600000000000001</v>
          </cell>
          <cell r="P50">
            <v>78.800000000000011</v>
          </cell>
          <cell r="Q50">
            <v>0</v>
          </cell>
          <cell r="R50">
            <v>0</v>
          </cell>
          <cell r="S50">
            <v>0</v>
          </cell>
          <cell r="T50">
            <v>0</v>
          </cell>
          <cell r="U50">
            <v>0</v>
          </cell>
          <cell r="V50">
            <v>0</v>
          </cell>
          <cell r="W50">
            <v>0</v>
          </cell>
          <cell r="X50">
            <v>5.2</v>
          </cell>
          <cell r="Y50">
            <v>11.1</v>
          </cell>
          <cell r="Z50">
            <v>18.2</v>
          </cell>
          <cell r="AA50">
            <v>25.7</v>
          </cell>
          <cell r="AB50">
            <v>18.600000000000001</v>
          </cell>
          <cell r="AC50">
            <v>78.800000000000011</v>
          </cell>
          <cell r="AD50">
            <v>0</v>
          </cell>
          <cell r="AE50">
            <v>0</v>
          </cell>
          <cell r="AF50">
            <v>0</v>
          </cell>
          <cell r="AG50">
            <v>0</v>
          </cell>
          <cell r="AH50">
            <v>0</v>
          </cell>
          <cell r="AI50">
            <v>0</v>
          </cell>
          <cell r="AJ50">
            <v>0</v>
          </cell>
          <cell r="AK50">
            <v>277</v>
          </cell>
          <cell r="AL50">
            <v>194.9</v>
          </cell>
          <cell r="AM50">
            <v>242.2</v>
          </cell>
          <cell r="AN50">
            <v>301.39999999999998</v>
          </cell>
          <cell r="AO50">
            <v>222.3</v>
          </cell>
          <cell r="AP50">
            <v>1237.8</v>
          </cell>
          <cell r="AQ50">
            <v>0</v>
          </cell>
          <cell r="AR50">
            <v>0</v>
          </cell>
          <cell r="AS50">
            <v>0</v>
          </cell>
          <cell r="AT50">
            <v>0</v>
          </cell>
          <cell r="AU50">
            <v>0</v>
          </cell>
          <cell r="AV50">
            <v>0</v>
          </cell>
          <cell r="AW50">
            <v>0</v>
          </cell>
          <cell r="AX50">
            <v>277</v>
          </cell>
          <cell r="AY50">
            <v>194.9</v>
          </cell>
          <cell r="AZ50">
            <v>242.2</v>
          </cell>
          <cell r="BA50">
            <v>301.39999999999998</v>
          </cell>
          <cell r="BB50">
            <v>222.3</v>
          </cell>
          <cell r="BC50">
            <v>1237.8</v>
          </cell>
          <cell r="BD50">
            <v>0</v>
          </cell>
          <cell r="BE50">
            <v>0</v>
          </cell>
          <cell r="BF50">
            <v>0</v>
          </cell>
          <cell r="BG50">
            <v>0</v>
          </cell>
          <cell r="BH50">
            <v>0</v>
          </cell>
          <cell r="BI50">
            <v>0</v>
          </cell>
          <cell r="BJ50">
            <v>0</v>
          </cell>
          <cell r="BK50">
            <v>0.17434293923772501</v>
          </cell>
          <cell r="BL50">
            <v>0</v>
          </cell>
          <cell r="BM50">
            <v>0</v>
          </cell>
          <cell r="BN50">
            <v>0.17434293923772501</v>
          </cell>
          <cell r="BO50">
            <v>0.17434293923772501</v>
          </cell>
          <cell r="BQ50">
            <v>0</v>
          </cell>
          <cell r="BT50">
            <v>0</v>
          </cell>
          <cell r="BY50">
            <v>0</v>
          </cell>
          <cell r="BZ50">
            <v>0</v>
          </cell>
          <cell r="CA50">
            <v>0</v>
          </cell>
          <cell r="CB50">
            <v>0</v>
          </cell>
          <cell r="CC50">
            <v>0</v>
          </cell>
          <cell r="CD50">
            <v>1</v>
          </cell>
          <cell r="CE50">
            <v>0</v>
          </cell>
          <cell r="CF50">
            <v>0.17434293923772501</v>
          </cell>
          <cell r="CG50">
            <v>1237.8</v>
          </cell>
          <cell r="CH50">
            <v>0</v>
          </cell>
          <cell r="CI50">
            <v>0</v>
          </cell>
          <cell r="CJ50">
            <v>0</v>
          </cell>
          <cell r="CK50">
            <v>0</v>
          </cell>
          <cell r="CL50">
            <v>0</v>
          </cell>
          <cell r="CM50">
            <v>0</v>
          </cell>
          <cell r="CN50">
            <v>0</v>
          </cell>
          <cell r="CO50">
            <v>277</v>
          </cell>
          <cell r="CP50">
            <v>194.9</v>
          </cell>
          <cell r="CQ50">
            <v>242.2</v>
          </cell>
          <cell r="CR50">
            <v>301.39999999999998</v>
          </cell>
          <cell r="CS50">
            <v>222.3</v>
          </cell>
          <cell r="CT50">
            <v>1237.8</v>
          </cell>
        </row>
        <row r="51">
          <cell r="B51" t="str">
            <v>A01M301</v>
          </cell>
          <cell r="C51" t="str">
            <v>DIV</v>
          </cell>
          <cell r="D51">
            <v>0</v>
          </cell>
          <cell r="E51">
            <v>0</v>
          </cell>
          <cell r="F51">
            <v>0</v>
          </cell>
          <cell r="G51">
            <v>0</v>
          </cell>
          <cell r="H51">
            <v>16</v>
          </cell>
          <cell r="I51">
            <v>4</v>
          </cell>
          <cell r="J51">
            <v>0</v>
          </cell>
          <cell r="K51">
            <v>0</v>
          </cell>
          <cell r="L51">
            <v>16</v>
          </cell>
          <cell r="M51">
            <v>15.200000000000001</v>
          </cell>
          <cell r="N51">
            <v>36</v>
          </cell>
          <cell r="O51">
            <v>12.8</v>
          </cell>
          <cell r="P51">
            <v>100</v>
          </cell>
          <cell r="Q51">
            <v>0</v>
          </cell>
          <cell r="R51">
            <v>0</v>
          </cell>
          <cell r="S51">
            <v>0</v>
          </cell>
          <cell r="T51">
            <v>0</v>
          </cell>
          <cell r="U51">
            <v>16</v>
          </cell>
          <cell r="V51">
            <v>3</v>
          </cell>
          <cell r="W51">
            <v>1</v>
          </cell>
          <cell r="X51">
            <v>0</v>
          </cell>
          <cell r="Y51">
            <v>16</v>
          </cell>
          <cell r="Z51">
            <v>15.200000000000001</v>
          </cell>
          <cell r="AA51">
            <v>36</v>
          </cell>
          <cell r="AB51">
            <v>12.8</v>
          </cell>
          <cell r="AC51">
            <v>100</v>
          </cell>
          <cell r="AD51">
            <v>0</v>
          </cell>
          <cell r="AE51">
            <v>0</v>
          </cell>
          <cell r="AF51">
            <v>0</v>
          </cell>
          <cell r="AG51">
            <v>1</v>
          </cell>
          <cell r="AH51">
            <v>8.5</v>
          </cell>
          <cell r="AI51">
            <v>5.4</v>
          </cell>
          <cell r="AJ51">
            <v>1.3</v>
          </cell>
          <cell r="AK51">
            <v>2</v>
          </cell>
          <cell r="AL51">
            <v>17.7</v>
          </cell>
          <cell r="AM51">
            <v>17.5</v>
          </cell>
          <cell r="AN51">
            <v>36.299999999999997</v>
          </cell>
          <cell r="AO51">
            <v>20.3</v>
          </cell>
          <cell r="AP51">
            <v>109.99999999999999</v>
          </cell>
          <cell r="AQ51">
            <v>0</v>
          </cell>
          <cell r="AR51">
            <v>0</v>
          </cell>
          <cell r="AS51">
            <v>0</v>
          </cell>
          <cell r="AT51">
            <v>0.67</v>
          </cell>
          <cell r="AU51">
            <v>3.9</v>
          </cell>
          <cell r="AV51">
            <v>9.8000000000000007</v>
          </cell>
          <cell r="AW51">
            <v>2.2000000000000002</v>
          </cell>
          <cell r="AX51">
            <v>2</v>
          </cell>
          <cell r="AY51">
            <v>17.7</v>
          </cell>
          <cell r="AZ51">
            <v>17.5</v>
          </cell>
          <cell r="BA51">
            <v>36.299999999999997</v>
          </cell>
          <cell r="BB51">
            <v>20.3</v>
          </cell>
          <cell r="BC51">
            <v>110.36999999999999</v>
          </cell>
          <cell r="BD51">
            <v>20</v>
          </cell>
          <cell r="BE51">
            <v>20</v>
          </cell>
          <cell r="BF51">
            <v>16.2</v>
          </cell>
          <cell r="BG51">
            <v>16.57</v>
          </cell>
          <cell r="BH51">
            <v>2.4</v>
          </cell>
          <cell r="BI51">
            <v>-1.989880913855</v>
          </cell>
          <cell r="BJ51">
            <v>-0.22930171031999996</v>
          </cell>
          <cell r="BK51">
            <v>2.4426488261517974E-2</v>
          </cell>
          <cell r="BL51">
            <v>4.8852976523035942E-3</v>
          </cell>
          <cell r="BM51">
            <v>4.8852976523035942E-3</v>
          </cell>
          <cell r="BN51">
            <v>2.4426488261517974E-2</v>
          </cell>
          <cell r="BO51">
            <v>2.4426488261517974E-2</v>
          </cell>
          <cell r="BQ51">
            <v>-1.989880913855</v>
          </cell>
          <cell r="BS51">
            <v>2.36</v>
          </cell>
          <cell r="BT51">
            <v>0</v>
          </cell>
          <cell r="BW51">
            <v>2.36</v>
          </cell>
          <cell r="BY51">
            <v>0</v>
          </cell>
          <cell r="BZ51">
            <v>2.4</v>
          </cell>
          <cell r="CA51">
            <v>0</v>
          </cell>
          <cell r="CB51">
            <v>-14.17</v>
          </cell>
          <cell r="CC51">
            <v>0.34904350646296506</v>
          </cell>
          <cell r="CD51">
            <v>1</v>
          </cell>
          <cell r="CE51">
            <v>1.399624276586261E-2</v>
          </cell>
          <cell r="CF51">
            <v>2.4426488261517974E-2</v>
          </cell>
          <cell r="CG51">
            <v>109.99999999999999</v>
          </cell>
          <cell r="CH51">
            <v>0</v>
          </cell>
          <cell r="CI51">
            <v>0</v>
          </cell>
          <cell r="CJ51">
            <v>0</v>
          </cell>
          <cell r="CK51">
            <v>0.73007408640263882</v>
          </cell>
          <cell r="CL51">
            <v>4.2726152791510827</v>
          </cell>
          <cell r="CM51">
            <v>10.936117138340848</v>
          </cell>
          <cell r="CN51">
            <v>2.6210744101633399</v>
          </cell>
          <cell r="CO51">
            <v>2</v>
          </cell>
          <cell r="CP51">
            <v>17.7</v>
          </cell>
          <cell r="CQ51">
            <v>17.5</v>
          </cell>
          <cell r="CR51">
            <v>36.299999999999997</v>
          </cell>
          <cell r="CS51">
            <v>20.3</v>
          </cell>
          <cell r="CT51">
            <v>112.3598809140579</v>
          </cell>
        </row>
        <row r="52">
          <cell r="B52" t="str">
            <v>A01M303</v>
          </cell>
          <cell r="C52" t="str">
            <v>DIV</v>
          </cell>
          <cell r="D52">
            <v>0</v>
          </cell>
          <cell r="E52">
            <v>0</v>
          </cell>
          <cell r="F52">
            <v>0</v>
          </cell>
          <cell r="G52">
            <v>0</v>
          </cell>
          <cell r="H52">
            <v>0</v>
          </cell>
          <cell r="I52">
            <v>0</v>
          </cell>
          <cell r="J52">
            <v>0</v>
          </cell>
          <cell r="K52">
            <v>25</v>
          </cell>
          <cell r="L52">
            <v>0</v>
          </cell>
          <cell r="M52">
            <v>0</v>
          </cell>
          <cell r="N52">
            <v>0</v>
          </cell>
          <cell r="O52">
            <v>45</v>
          </cell>
          <cell r="P52">
            <v>70</v>
          </cell>
          <cell r="Q52">
            <v>0</v>
          </cell>
          <cell r="R52">
            <v>0</v>
          </cell>
          <cell r="S52">
            <v>0</v>
          </cell>
          <cell r="T52">
            <v>0</v>
          </cell>
          <cell r="U52">
            <v>0</v>
          </cell>
          <cell r="V52">
            <v>0</v>
          </cell>
          <cell r="W52">
            <v>0</v>
          </cell>
          <cell r="X52">
            <v>25</v>
          </cell>
          <cell r="Y52">
            <v>0</v>
          </cell>
          <cell r="Z52">
            <v>0</v>
          </cell>
          <cell r="AA52">
            <v>0</v>
          </cell>
          <cell r="AB52">
            <v>45</v>
          </cell>
          <cell r="AC52">
            <v>70</v>
          </cell>
          <cell r="AD52">
            <v>0</v>
          </cell>
          <cell r="AE52">
            <v>0</v>
          </cell>
          <cell r="AF52">
            <v>0</v>
          </cell>
          <cell r="AG52">
            <v>0</v>
          </cell>
          <cell r="AH52">
            <v>0</v>
          </cell>
          <cell r="AI52">
            <v>0</v>
          </cell>
          <cell r="AJ52">
            <v>0</v>
          </cell>
          <cell r="AK52">
            <v>2</v>
          </cell>
          <cell r="AL52">
            <v>1</v>
          </cell>
          <cell r="AM52">
            <v>0</v>
          </cell>
          <cell r="AN52">
            <v>1</v>
          </cell>
          <cell r="AO52">
            <v>0</v>
          </cell>
          <cell r="AP52">
            <v>4</v>
          </cell>
          <cell r="AQ52">
            <v>0</v>
          </cell>
          <cell r="AR52">
            <v>0</v>
          </cell>
          <cell r="AS52">
            <v>0</v>
          </cell>
          <cell r="AT52">
            <v>0</v>
          </cell>
          <cell r="AU52">
            <v>0</v>
          </cell>
          <cell r="AV52">
            <v>0</v>
          </cell>
          <cell r="AW52">
            <v>0</v>
          </cell>
          <cell r="AX52">
            <v>2</v>
          </cell>
          <cell r="AY52">
            <v>1</v>
          </cell>
          <cell r="AZ52">
            <v>0</v>
          </cell>
          <cell r="BA52">
            <v>1</v>
          </cell>
          <cell r="BB52">
            <v>0</v>
          </cell>
          <cell r="BC52">
            <v>4</v>
          </cell>
          <cell r="BD52">
            <v>0</v>
          </cell>
          <cell r="BE52">
            <v>0</v>
          </cell>
          <cell r="BF52">
            <v>0</v>
          </cell>
          <cell r="BG52">
            <v>0</v>
          </cell>
          <cell r="BH52">
            <v>0</v>
          </cell>
          <cell r="BI52">
            <v>0</v>
          </cell>
          <cell r="BJ52">
            <v>0</v>
          </cell>
          <cell r="BK52">
            <v>8.8823593678247193E-4</v>
          </cell>
          <cell r="BL52">
            <v>0</v>
          </cell>
          <cell r="BM52">
            <v>0</v>
          </cell>
          <cell r="BN52">
            <v>8.8823593678247193E-4</v>
          </cell>
          <cell r="BO52">
            <v>8.8823593678247193E-4</v>
          </cell>
          <cell r="BQ52">
            <v>0</v>
          </cell>
          <cell r="BT52">
            <v>0</v>
          </cell>
          <cell r="BY52">
            <v>0</v>
          </cell>
          <cell r="BZ52">
            <v>0</v>
          </cell>
          <cell r="CA52">
            <v>0</v>
          </cell>
          <cell r="CB52">
            <v>0</v>
          </cell>
          <cell r="CC52">
            <v>0.34904350646296506</v>
          </cell>
          <cell r="CD52">
            <v>1</v>
          </cell>
          <cell r="CE52">
            <v>0</v>
          </cell>
          <cell r="CF52">
            <v>8.8823593678247193E-4</v>
          </cell>
          <cell r="CG52">
            <v>4</v>
          </cell>
          <cell r="CH52">
            <v>0</v>
          </cell>
          <cell r="CI52">
            <v>0</v>
          </cell>
          <cell r="CJ52">
            <v>0</v>
          </cell>
          <cell r="CK52">
            <v>0</v>
          </cell>
          <cell r="CL52">
            <v>0</v>
          </cell>
          <cell r="CM52">
            <v>0</v>
          </cell>
          <cell r="CN52">
            <v>0</v>
          </cell>
          <cell r="CO52">
            <v>2</v>
          </cell>
          <cell r="CP52">
            <v>1</v>
          </cell>
          <cell r="CQ52">
            <v>0</v>
          </cell>
          <cell r="CR52">
            <v>1</v>
          </cell>
          <cell r="CS52">
            <v>0</v>
          </cell>
          <cell r="CT52">
            <v>4</v>
          </cell>
        </row>
        <row r="53">
          <cell r="B53" t="str">
            <v>A01M304</v>
          </cell>
          <cell r="C53" t="str">
            <v>DIV</v>
          </cell>
          <cell r="D53">
            <v>0</v>
          </cell>
          <cell r="E53">
            <v>0</v>
          </cell>
          <cell r="F53">
            <v>0</v>
          </cell>
          <cell r="G53">
            <v>0</v>
          </cell>
          <cell r="H53">
            <v>0</v>
          </cell>
          <cell r="I53">
            <v>0</v>
          </cell>
          <cell r="J53">
            <v>0</v>
          </cell>
          <cell r="K53">
            <v>1.7000000000000002</v>
          </cell>
          <cell r="L53">
            <v>3.4000000000000004</v>
          </cell>
          <cell r="M53">
            <v>28.900000000000002</v>
          </cell>
          <cell r="N53">
            <v>33</v>
          </cell>
          <cell r="O53">
            <v>33</v>
          </cell>
          <cell r="P53">
            <v>100</v>
          </cell>
          <cell r="Q53">
            <v>0</v>
          </cell>
          <cell r="R53">
            <v>0</v>
          </cell>
          <cell r="S53">
            <v>0</v>
          </cell>
          <cell r="T53">
            <v>0</v>
          </cell>
          <cell r="U53">
            <v>0</v>
          </cell>
          <cell r="V53">
            <v>0</v>
          </cell>
          <cell r="W53">
            <v>0</v>
          </cell>
          <cell r="X53">
            <v>1.7000000000000002</v>
          </cell>
          <cell r="Y53">
            <v>3.4000000000000004</v>
          </cell>
          <cell r="Z53">
            <v>28.900000000000002</v>
          </cell>
          <cell r="AA53">
            <v>33</v>
          </cell>
          <cell r="AB53">
            <v>33</v>
          </cell>
          <cell r="AC53">
            <v>100</v>
          </cell>
          <cell r="AD53">
            <v>0</v>
          </cell>
          <cell r="AE53">
            <v>0</v>
          </cell>
          <cell r="AF53">
            <v>0</v>
          </cell>
          <cell r="AG53">
            <v>0</v>
          </cell>
          <cell r="AH53">
            <v>0</v>
          </cell>
          <cell r="AI53">
            <v>0</v>
          </cell>
          <cell r="AJ53">
            <v>0</v>
          </cell>
          <cell r="AK53">
            <v>2.2000000000000002</v>
          </cell>
          <cell r="AL53">
            <v>2.5</v>
          </cell>
          <cell r="AM53">
            <v>20.400000000000002</v>
          </cell>
          <cell r="AN53">
            <v>19.899999999999999</v>
          </cell>
          <cell r="AO53">
            <v>25.900000000000002</v>
          </cell>
          <cell r="AP53">
            <v>70.900000000000006</v>
          </cell>
          <cell r="AQ53">
            <v>0</v>
          </cell>
          <cell r="AR53">
            <v>0</v>
          </cell>
          <cell r="AS53">
            <v>0</v>
          </cell>
          <cell r="AT53">
            <v>0</v>
          </cell>
          <cell r="AU53">
            <v>0</v>
          </cell>
          <cell r="AV53">
            <v>0</v>
          </cell>
          <cell r="AW53">
            <v>0</v>
          </cell>
          <cell r="AX53">
            <v>2.2000000000000002</v>
          </cell>
          <cell r="AY53">
            <v>2.5</v>
          </cell>
          <cell r="AZ53">
            <v>20.400000000000002</v>
          </cell>
          <cell r="BA53">
            <v>19.899999999999999</v>
          </cell>
          <cell r="BB53">
            <v>25.900000000000002</v>
          </cell>
          <cell r="BC53">
            <v>70.900000000000006</v>
          </cell>
          <cell r="BD53">
            <v>0</v>
          </cell>
          <cell r="BE53">
            <v>0</v>
          </cell>
          <cell r="BF53">
            <v>0</v>
          </cell>
          <cell r="BG53">
            <v>0</v>
          </cell>
          <cell r="BH53">
            <v>0</v>
          </cell>
          <cell r="BI53">
            <v>0</v>
          </cell>
          <cell r="BJ53">
            <v>0</v>
          </cell>
          <cell r="BK53">
            <v>1.5743981979469315E-2</v>
          </cell>
          <cell r="BL53">
            <v>0</v>
          </cell>
          <cell r="BM53">
            <v>0</v>
          </cell>
          <cell r="BN53">
            <v>1.5743981979469315E-2</v>
          </cell>
          <cell r="BO53">
            <v>1.5743981979469315E-2</v>
          </cell>
          <cell r="BQ53">
            <v>0</v>
          </cell>
          <cell r="BT53">
            <v>0</v>
          </cell>
          <cell r="BY53">
            <v>0</v>
          </cell>
          <cell r="BZ53">
            <v>0</v>
          </cell>
          <cell r="CA53">
            <v>0</v>
          </cell>
          <cell r="CB53">
            <v>0</v>
          </cell>
          <cell r="CC53">
            <v>0.34904350646296506</v>
          </cell>
          <cell r="CD53">
            <v>1</v>
          </cell>
          <cell r="CE53">
            <v>0</v>
          </cell>
          <cell r="CF53">
            <v>1.5743981979469315E-2</v>
          </cell>
          <cell r="CG53">
            <v>70.900000000000006</v>
          </cell>
          <cell r="CH53">
            <v>0</v>
          </cell>
          <cell r="CI53">
            <v>0</v>
          </cell>
          <cell r="CJ53">
            <v>0</v>
          </cell>
          <cell r="CK53">
            <v>0</v>
          </cell>
          <cell r="CL53">
            <v>0</v>
          </cell>
          <cell r="CM53">
            <v>0</v>
          </cell>
          <cell r="CN53">
            <v>0</v>
          </cell>
          <cell r="CO53">
            <v>2.2000000000000002</v>
          </cell>
          <cell r="CP53">
            <v>2.5</v>
          </cell>
          <cell r="CQ53">
            <v>20.400000000000002</v>
          </cell>
          <cell r="CR53">
            <v>19.899999999999999</v>
          </cell>
          <cell r="CS53">
            <v>25.9</v>
          </cell>
          <cell r="CT53">
            <v>70.900000000000006</v>
          </cell>
        </row>
        <row r="54">
          <cell r="B54" t="str">
            <v>A01M305</v>
          </cell>
          <cell r="C54" t="str">
            <v>DIV</v>
          </cell>
          <cell r="D54">
            <v>0</v>
          </cell>
          <cell r="E54">
            <v>0</v>
          </cell>
          <cell r="F54">
            <v>0</v>
          </cell>
          <cell r="G54">
            <v>0</v>
          </cell>
          <cell r="H54">
            <v>0</v>
          </cell>
          <cell r="I54">
            <v>0</v>
          </cell>
          <cell r="J54">
            <v>0</v>
          </cell>
          <cell r="K54">
            <v>1.5</v>
          </cell>
          <cell r="L54">
            <v>3</v>
          </cell>
          <cell r="M54">
            <v>25.5</v>
          </cell>
          <cell r="N54">
            <v>35</v>
          </cell>
          <cell r="O54">
            <v>35</v>
          </cell>
          <cell r="P54">
            <v>100</v>
          </cell>
          <cell r="Q54">
            <v>0</v>
          </cell>
          <cell r="R54">
            <v>0</v>
          </cell>
          <cell r="S54">
            <v>0</v>
          </cell>
          <cell r="T54">
            <v>0</v>
          </cell>
          <cell r="U54">
            <v>0</v>
          </cell>
          <cell r="V54">
            <v>0</v>
          </cell>
          <cell r="W54">
            <v>0</v>
          </cell>
          <cell r="X54">
            <v>1.5</v>
          </cell>
          <cell r="Y54">
            <v>3</v>
          </cell>
          <cell r="Z54">
            <v>25.5</v>
          </cell>
          <cell r="AA54">
            <v>35</v>
          </cell>
          <cell r="AB54">
            <v>35</v>
          </cell>
          <cell r="AC54">
            <v>100</v>
          </cell>
          <cell r="AD54">
            <v>0</v>
          </cell>
          <cell r="AE54">
            <v>0</v>
          </cell>
          <cell r="AF54">
            <v>0</v>
          </cell>
          <cell r="AG54">
            <v>0</v>
          </cell>
          <cell r="AH54">
            <v>0</v>
          </cell>
          <cell r="AI54">
            <v>0</v>
          </cell>
          <cell r="AJ54">
            <v>0</v>
          </cell>
          <cell r="AK54">
            <v>4.4000000000000004</v>
          </cell>
          <cell r="AL54">
            <v>5.6</v>
          </cell>
          <cell r="AM54">
            <v>33.6</v>
          </cell>
          <cell r="AN54">
            <v>39.4</v>
          </cell>
          <cell r="AO54">
            <v>57.7</v>
          </cell>
          <cell r="AP54">
            <v>140.69999999999999</v>
          </cell>
          <cell r="AQ54">
            <v>0</v>
          </cell>
          <cell r="AR54">
            <v>0</v>
          </cell>
          <cell r="AS54">
            <v>0</v>
          </cell>
          <cell r="AT54">
            <v>0</v>
          </cell>
          <cell r="AU54">
            <v>0</v>
          </cell>
          <cell r="AV54">
            <v>0</v>
          </cell>
          <cell r="AW54">
            <v>0</v>
          </cell>
          <cell r="AX54">
            <v>4.4000000000000004</v>
          </cell>
          <cell r="AY54">
            <v>5.6</v>
          </cell>
          <cell r="AZ54">
            <v>33.6</v>
          </cell>
          <cell r="BA54">
            <v>39.4</v>
          </cell>
          <cell r="BB54">
            <v>57.7</v>
          </cell>
          <cell r="BC54">
            <v>140.69999999999999</v>
          </cell>
          <cell r="BD54">
            <v>0</v>
          </cell>
          <cell r="BE54">
            <v>0</v>
          </cell>
          <cell r="BF54">
            <v>0</v>
          </cell>
          <cell r="BG54">
            <v>0</v>
          </cell>
          <cell r="BH54">
            <v>0</v>
          </cell>
          <cell r="BI54">
            <v>0</v>
          </cell>
          <cell r="BJ54">
            <v>0</v>
          </cell>
          <cell r="BK54">
            <v>3.1243699076323447E-2</v>
          </cell>
          <cell r="BL54">
            <v>0</v>
          </cell>
          <cell r="BM54">
            <v>0</v>
          </cell>
          <cell r="BN54">
            <v>3.1243699076323447E-2</v>
          </cell>
          <cell r="BO54">
            <v>3.1243699076323447E-2</v>
          </cell>
          <cell r="BQ54">
            <v>0</v>
          </cell>
          <cell r="BT54">
            <v>0</v>
          </cell>
          <cell r="BY54">
            <v>0</v>
          </cell>
          <cell r="BZ54">
            <v>0</v>
          </cell>
          <cell r="CA54">
            <v>0</v>
          </cell>
          <cell r="CB54">
            <v>0</v>
          </cell>
          <cell r="CC54">
            <v>0.34904350646296506</v>
          </cell>
          <cell r="CD54">
            <v>1</v>
          </cell>
          <cell r="CE54">
            <v>0</v>
          </cell>
          <cell r="CF54">
            <v>3.1243699076323447E-2</v>
          </cell>
          <cell r="CG54">
            <v>140.69999999999999</v>
          </cell>
          <cell r="CH54">
            <v>0</v>
          </cell>
          <cell r="CI54">
            <v>0</v>
          </cell>
          <cell r="CJ54">
            <v>0</v>
          </cell>
          <cell r="CK54">
            <v>0</v>
          </cell>
          <cell r="CL54">
            <v>0</v>
          </cell>
          <cell r="CM54">
            <v>0</v>
          </cell>
          <cell r="CN54">
            <v>0</v>
          </cell>
          <cell r="CO54">
            <v>4.4000000000000004</v>
          </cell>
          <cell r="CP54">
            <v>5.6</v>
          </cell>
          <cell r="CQ54">
            <v>33.6</v>
          </cell>
          <cell r="CR54">
            <v>39.4</v>
          </cell>
          <cell r="CS54">
            <v>57.7</v>
          </cell>
          <cell r="CT54">
            <v>140.69999999999999</v>
          </cell>
        </row>
        <row r="55">
          <cell r="B55" t="str">
            <v>A01M307</v>
          </cell>
          <cell r="C55" t="str">
            <v>DIV</v>
          </cell>
          <cell r="D55">
            <v>0</v>
          </cell>
          <cell r="E55">
            <v>0</v>
          </cell>
          <cell r="F55">
            <v>0</v>
          </cell>
          <cell r="G55">
            <v>0</v>
          </cell>
          <cell r="H55">
            <v>0</v>
          </cell>
          <cell r="I55">
            <v>0</v>
          </cell>
          <cell r="J55">
            <v>0</v>
          </cell>
          <cell r="K55">
            <v>0</v>
          </cell>
          <cell r="L55">
            <v>16.05</v>
          </cell>
          <cell r="M55">
            <v>11.2</v>
          </cell>
          <cell r="N55">
            <v>0</v>
          </cell>
          <cell r="O55">
            <v>46.750000000000007</v>
          </cell>
          <cell r="P55">
            <v>74</v>
          </cell>
          <cell r="Q55">
            <v>0</v>
          </cell>
          <cell r="R55">
            <v>0</v>
          </cell>
          <cell r="S55">
            <v>0</v>
          </cell>
          <cell r="T55">
            <v>0</v>
          </cell>
          <cell r="U55">
            <v>0</v>
          </cell>
          <cell r="V55">
            <v>0</v>
          </cell>
          <cell r="W55">
            <v>0</v>
          </cell>
          <cell r="X55">
            <v>0</v>
          </cell>
          <cell r="Y55">
            <v>16.05</v>
          </cell>
          <cell r="Z55">
            <v>11.2</v>
          </cell>
          <cell r="AA55">
            <v>0</v>
          </cell>
          <cell r="AB55">
            <v>46.750000000000007</v>
          </cell>
          <cell r="AC55">
            <v>74</v>
          </cell>
          <cell r="AD55">
            <v>0</v>
          </cell>
          <cell r="AE55">
            <v>0</v>
          </cell>
          <cell r="AF55">
            <v>0</v>
          </cell>
          <cell r="AG55">
            <v>0</v>
          </cell>
          <cell r="AH55">
            <v>0</v>
          </cell>
          <cell r="AI55">
            <v>0</v>
          </cell>
          <cell r="AJ55">
            <v>1.94</v>
          </cell>
          <cell r="AK55">
            <v>3.1659999999999999</v>
          </cell>
          <cell r="AL55">
            <v>6.5069999999999997</v>
          </cell>
          <cell r="AM55">
            <v>5.2640000000000002</v>
          </cell>
          <cell r="AN55">
            <v>3.2069999999999999</v>
          </cell>
          <cell r="AO55">
            <v>72.473000000000013</v>
          </cell>
          <cell r="AP55">
            <v>92.557000000000016</v>
          </cell>
          <cell r="AQ55">
            <v>0</v>
          </cell>
          <cell r="AR55">
            <v>0</v>
          </cell>
          <cell r="AS55">
            <v>0</v>
          </cell>
          <cell r="AT55">
            <v>0</v>
          </cell>
          <cell r="AU55">
            <v>0</v>
          </cell>
          <cell r="AV55">
            <v>0</v>
          </cell>
          <cell r="AW55">
            <v>2.34</v>
          </cell>
          <cell r="AX55">
            <v>3.2</v>
          </cell>
          <cell r="AY55">
            <v>6.5069999999999997</v>
          </cell>
          <cell r="AZ55">
            <v>5.2640000000000002</v>
          </cell>
          <cell r="BA55">
            <v>3.2069999999999999</v>
          </cell>
          <cell r="BB55">
            <v>72.473000000000013</v>
          </cell>
          <cell r="BC55">
            <v>92.991000000000014</v>
          </cell>
          <cell r="BD55">
            <v>0</v>
          </cell>
          <cell r="BE55">
            <v>0</v>
          </cell>
          <cell r="BF55">
            <v>1.94</v>
          </cell>
          <cell r="BG55">
            <v>2.34</v>
          </cell>
          <cell r="BH55">
            <v>0</v>
          </cell>
          <cell r="BI55">
            <v>-0.44787005452800005</v>
          </cell>
          <cell r="BJ55">
            <v>0</v>
          </cell>
          <cell r="BK55">
            <v>2.0553113400193817E-2</v>
          </cell>
          <cell r="BL55">
            <v>0</v>
          </cell>
          <cell r="BM55">
            <v>0</v>
          </cell>
          <cell r="BN55">
            <v>2.0553113400193817E-2</v>
          </cell>
          <cell r="BO55">
            <v>2.0553113400193817E-2</v>
          </cell>
          <cell r="BQ55">
            <v>-0.44787005452800005</v>
          </cell>
          <cell r="BS55">
            <v>0.85</v>
          </cell>
          <cell r="BT55">
            <v>0</v>
          </cell>
          <cell r="BW55">
            <v>0.88</v>
          </cell>
          <cell r="BY55">
            <v>0</v>
          </cell>
          <cell r="BZ55">
            <v>0</v>
          </cell>
          <cell r="CA55">
            <v>0</v>
          </cell>
          <cell r="CB55">
            <v>-2.34</v>
          </cell>
          <cell r="CC55">
            <v>0.34904350646296506</v>
          </cell>
          <cell r="CD55">
            <v>1</v>
          </cell>
          <cell r="CE55">
            <v>0</v>
          </cell>
          <cell r="CF55">
            <v>2.0553113400193817E-2</v>
          </cell>
          <cell r="CG55">
            <v>92.557000000000016</v>
          </cell>
          <cell r="CH55">
            <v>0</v>
          </cell>
          <cell r="CI55">
            <v>0</v>
          </cell>
          <cell r="CJ55">
            <v>0</v>
          </cell>
          <cell r="CK55">
            <v>0</v>
          </cell>
          <cell r="CL55">
            <v>0</v>
          </cell>
          <cell r="CM55">
            <v>0</v>
          </cell>
          <cell r="CN55">
            <v>2.787870054446461</v>
          </cell>
          <cell r="CO55">
            <v>3.2</v>
          </cell>
          <cell r="CP55">
            <v>6.5069999999999997</v>
          </cell>
          <cell r="CQ55">
            <v>5.2640000000000002</v>
          </cell>
          <cell r="CR55">
            <v>3.2069999999999999</v>
          </cell>
          <cell r="CS55">
            <v>72.473000000000013</v>
          </cell>
          <cell r="CT55">
            <v>93.438870054446483</v>
          </cell>
        </row>
        <row r="56">
          <cell r="B56" t="str">
            <v>A01M308</v>
          </cell>
          <cell r="C56" t="str">
            <v>DIV</v>
          </cell>
          <cell r="D56">
            <v>0</v>
          </cell>
          <cell r="E56">
            <v>0</v>
          </cell>
          <cell r="F56">
            <v>0</v>
          </cell>
          <cell r="G56">
            <v>3</v>
          </cell>
          <cell r="H56">
            <v>14.5</v>
          </cell>
          <cell r="I56">
            <v>2.5</v>
          </cell>
          <cell r="J56">
            <v>33</v>
          </cell>
          <cell r="K56">
            <v>20.75</v>
          </cell>
          <cell r="L56">
            <v>23.625</v>
          </cell>
          <cell r="M56">
            <v>2.625</v>
          </cell>
          <cell r="N56">
            <v>0</v>
          </cell>
          <cell r="O56">
            <v>0</v>
          </cell>
          <cell r="P56">
            <v>100</v>
          </cell>
          <cell r="Q56">
            <v>0</v>
          </cell>
          <cell r="R56">
            <v>0</v>
          </cell>
          <cell r="S56">
            <v>0</v>
          </cell>
          <cell r="T56">
            <v>3</v>
          </cell>
          <cell r="U56">
            <v>8.5</v>
          </cell>
          <cell r="V56">
            <v>7.25</v>
          </cell>
          <cell r="W56">
            <v>0.5</v>
          </cell>
          <cell r="X56">
            <v>48.5</v>
          </cell>
          <cell r="Y56">
            <v>29.625</v>
          </cell>
          <cell r="Z56">
            <v>2.625</v>
          </cell>
          <cell r="AA56">
            <v>0</v>
          </cell>
          <cell r="AB56">
            <v>0</v>
          </cell>
          <cell r="AC56">
            <v>100</v>
          </cell>
          <cell r="AD56">
            <v>0</v>
          </cell>
          <cell r="AE56">
            <v>0</v>
          </cell>
          <cell r="AF56">
            <v>0</v>
          </cell>
          <cell r="AG56">
            <v>1.8</v>
          </cell>
          <cell r="AH56">
            <v>8.6999999999999993</v>
          </cell>
          <cell r="AI56">
            <v>8.6999999999999993</v>
          </cell>
          <cell r="AJ56">
            <v>44.1</v>
          </cell>
          <cell r="AK56">
            <v>12.7</v>
          </cell>
          <cell r="AL56">
            <v>18.5</v>
          </cell>
          <cell r="AM56">
            <v>14.3</v>
          </cell>
          <cell r="AN56">
            <v>0</v>
          </cell>
          <cell r="AO56">
            <v>0</v>
          </cell>
          <cell r="AP56">
            <v>108.8</v>
          </cell>
          <cell r="AQ56">
            <v>0</v>
          </cell>
          <cell r="AR56">
            <v>0</v>
          </cell>
          <cell r="AS56">
            <v>0</v>
          </cell>
          <cell r="AT56">
            <v>1.6</v>
          </cell>
          <cell r="AU56">
            <v>1.6</v>
          </cell>
          <cell r="AV56">
            <v>2.7</v>
          </cell>
          <cell r="AW56">
            <v>1.8</v>
          </cell>
          <cell r="AX56">
            <v>54.400000000000006</v>
          </cell>
          <cell r="AY56">
            <v>26.4</v>
          </cell>
          <cell r="AZ56">
            <v>16.8</v>
          </cell>
          <cell r="BA56">
            <v>0</v>
          </cell>
          <cell r="BB56">
            <v>0</v>
          </cell>
          <cell r="BC56">
            <v>105.3</v>
          </cell>
          <cell r="BD56">
            <v>53</v>
          </cell>
          <cell r="BE56">
            <v>19.25</v>
          </cell>
          <cell r="BF56">
            <v>63.3</v>
          </cell>
          <cell r="BG56">
            <v>7.7</v>
          </cell>
          <cell r="BH56">
            <v>0</v>
          </cell>
          <cell r="BI56">
            <v>-0.95385560278000014</v>
          </cell>
          <cell r="BJ56">
            <v>0</v>
          </cell>
          <cell r="BK56">
            <v>2.4160017480483235E-2</v>
          </cell>
          <cell r="BL56">
            <v>1.2804809264656113E-2</v>
          </cell>
          <cell r="BM56">
            <v>4.650803364993023E-3</v>
          </cell>
          <cell r="BN56">
            <v>2.4160017480483232E-2</v>
          </cell>
          <cell r="BO56">
            <v>2.4160017480483232E-2</v>
          </cell>
          <cell r="BP56">
            <v>-40</v>
          </cell>
          <cell r="BQ56">
            <v>-0.95385560278000014</v>
          </cell>
          <cell r="BS56">
            <v>-14.65</v>
          </cell>
          <cell r="BT56">
            <v>0</v>
          </cell>
          <cell r="BW56">
            <v>1.3</v>
          </cell>
          <cell r="BX56">
            <v>-3.85</v>
          </cell>
          <cell r="BY56">
            <v>0</v>
          </cell>
          <cell r="BZ56">
            <v>0</v>
          </cell>
          <cell r="CA56">
            <v>0</v>
          </cell>
          <cell r="CB56">
            <v>-7.7</v>
          </cell>
          <cell r="CC56">
            <v>0.34904350646296506</v>
          </cell>
          <cell r="CD56">
            <v>1</v>
          </cell>
          <cell r="CE56">
            <v>1.3324423113101209E-2</v>
          </cell>
          <cell r="CF56">
            <v>2.4160017480483232E-2</v>
          </cell>
          <cell r="CG56">
            <v>108.8</v>
          </cell>
          <cell r="CH56">
            <v>0</v>
          </cell>
          <cell r="CI56">
            <v>0</v>
          </cell>
          <cell r="CJ56">
            <v>0</v>
          </cell>
          <cell r="CK56">
            <v>1.7434605048421226</v>
          </cell>
          <cell r="CL56">
            <v>1.7528678068312136</v>
          </cell>
          <cell r="CM56">
            <v>3.0130118646449273</v>
          </cell>
          <cell r="CN56">
            <v>2.1445154264972781</v>
          </cell>
          <cell r="CO56">
            <v>54.400000000000006</v>
          </cell>
          <cell r="CP56">
            <v>26.4</v>
          </cell>
          <cell r="CQ56">
            <v>16.8</v>
          </cell>
          <cell r="CR56">
            <v>0</v>
          </cell>
          <cell r="CS56">
            <v>0</v>
          </cell>
          <cell r="CT56">
            <v>106.25385560281553</v>
          </cell>
        </row>
        <row r="57">
          <cell r="B57" t="str">
            <v>A01M310</v>
          </cell>
          <cell r="C57" t="str">
            <v>DIV</v>
          </cell>
          <cell r="D57">
            <v>0</v>
          </cell>
          <cell r="E57">
            <v>0</v>
          </cell>
          <cell r="F57">
            <v>0</v>
          </cell>
          <cell r="G57">
            <v>0</v>
          </cell>
          <cell r="H57">
            <v>90</v>
          </cell>
          <cell r="I57">
            <v>10</v>
          </cell>
          <cell r="J57">
            <v>0</v>
          </cell>
          <cell r="K57">
            <v>0</v>
          </cell>
          <cell r="L57">
            <v>0</v>
          </cell>
          <cell r="M57">
            <v>0</v>
          </cell>
          <cell r="N57">
            <v>0</v>
          </cell>
          <cell r="O57">
            <v>0</v>
          </cell>
          <cell r="P57">
            <v>100</v>
          </cell>
          <cell r="Q57">
            <v>0</v>
          </cell>
          <cell r="R57">
            <v>0</v>
          </cell>
          <cell r="S57">
            <v>0</v>
          </cell>
          <cell r="T57">
            <v>0</v>
          </cell>
          <cell r="U57">
            <v>90</v>
          </cell>
          <cell r="V57">
            <v>10</v>
          </cell>
          <cell r="W57">
            <v>0</v>
          </cell>
          <cell r="X57">
            <v>0</v>
          </cell>
          <cell r="Y57">
            <v>0</v>
          </cell>
          <cell r="Z57">
            <v>0</v>
          </cell>
          <cell r="AA57">
            <v>0</v>
          </cell>
          <cell r="AB57">
            <v>0</v>
          </cell>
          <cell r="AC57">
            <v>100</v>
          </cell>
          <cell r="AD57">
            <v>0</v>
          </cell>
          <cell r="AE57">
            <v>0</v>
          </cell>
          <cell r="AF57">
            <v>0</v>
          </cell>
          <cell r="AG57">
            <v>0</v>
          </cell>
          <cell r="AH57">
            <v>2.2999999999999998</v>
          </cell>
          <cell r="AI57">
            <v>30.37</v>
          </cell>
          <cell r="AJ57">
            <v>0</v>
          </cell>
          <cell r="AK57">
            <v>0</v>
          </cell>
          <cell r="AL57">
            <v>0</v>
          </cell>
          <cell r="AM57">
            <v>0</v>
          </cell>
          <cell r="AN57">
            <v>0</v>
          </cell>
          <cell r="AO57">
            <v>0</v>
          </cell>
          <cell r="AP57">
            <v>32.67</v>
          </cell>
          <cell r="AQ57">
            <v>0</v>
          </cell>
          <cell r="AR57">
            <v>0</v>
          </cell>
          <cell r="AS57">
            <v>0</v>
          </cell>
          <cell r="AT57">
            <v>0</v>
          </cell>
          <cell r="AU57">
            <v>27.7</v>
          </cell>
          <cell r="AV57">
            <v>4.5999999999999996</v>
          </cell>
          <cell r="AW57">
            <v>0</v>
          </cell>
          <cell r="AX57">
            <v>0</v>
          </cell>
          <cell r="AY57">
            <v>0</v>
          </cell>
          <cell r="AZ57">
            <v>0</v>
          </cell>
          <cell r="BA57">
            <v>0</v>
          </cell>
          <cell r="BB57">
            <v>0</v>
          </cell>
          <cell r="BC57">
            <v>32.299999999999997</v>
          </cell>
          <cell r="BD57">
            <v>100</v>
          </cell>
          <cell r="BE57">
            <v>100</v>
          </cell>
          <cell r="BF57">
            <v>32.67</v>
          </cell>
          <cell r="BG57">
            <v>32.300000000000004</v>
          </cell>
          <cell r="BH57">
            <v>26.8</v>
          </cell>
          <cell r="BI57">
            <v>-3.1798033795299996</v>
          </cell>
          <cell r="BJ57">
            <v>-2.56053576524</v>
          </cell>
          <cell r="BK57">
            <v>7.2546670136708399E-3</v>
          </cell>
          <cell r="BL57">
            <v>7.2546670136708399E-3</v>
          </cell>
          <cell r="BM57">
            <v>7.2546670136708399E-3</v>
          </cell>
          <cell r="BN57">
            <v>7.2546670136708399E-3</v>
          </cell>
          <cell r="BO57">
            <v>7.2546670136708399E-3</v>
          </cell>
          <cell r="BQ57">
            <v>-3.1798033795299996</v>
          </cell>
          <cell r="BS57">
            <v>2.81</v>
          </cell>
          <cell r="BT57">
            <v>0</v>
          </cell>
          <cell r="BW57">
            <v>2.81</v>
          </cell>
          <cell r="BY57">
            <v>0</v>
          </cell>
          <cell r="BZ57">
            <v>26.8</v>
          </cell>
          <cell r="CA57">
            <v>0</v>
          </cell>
          <cell r="CB57">
            <v>-5.5000000000000036</v>
          </cell>
          <cell r="CC57">
            <v>0.34904350646296506</v>
          </cell>
          <cell r="CD57">
            <v>1</v>
          </cell>
          <cell r="CE57">
            <v>2.0784420507305983E-2</v>
          </cell>
          <cell r="CF57">
            <v>7.2546670136708399E-3</v>
          </cell>
          <cell r="CG57">
            <v>32.67</v>
          </cell>
          <cell r="CH57">
            <v>0</v>
          </cell>
          <cell r="CI57">
            <v>0</v>
          </cell>
          <cell r="CJ57">
            <v>0</v>
          </cell>
          <cell r="CK57">
            <v>0</v>
          </cell>
          <cell r="CL57">
            <v>30.346523905765384</v>
          </cell>
          <cell r="CM57">
            <v>5.1332794730987645</v>
          </cell>
          <cell r="CN57">
            <v>0</v>
          </cell>
          <cell r="CO57">
            <v>0</v>
          </cell>
          <cell r="CP57">
            <v>0</v>
          </cell>
          <cell r="CQ57">
            <v>0</v>
          </cell>
          <cell r="CR57">
            <v>0</v>
          </cell>
          <cell r="CS57">
            <v>0</v>
          </cell>
          <cell r="CT57">
            <v>35.479803378864148</v>
          </cell>
        </row>
        <row r="58">
          <cell r="B58" t="str">
            <v>A01M312</v>
          </cell>
          <cell r="C58" t="str">
            <v>DIV</v>
          </cell>
          <cell r="D58">
            <v>0</v>
          </cell>
          <cell r="E58">
            <v>0</v>
          </cell>
          <cell r="F58">
            <v>0</v>
          </cell>
          <cell r="G58">
            <v>0</v>
          </cell>
          <cell r="H58">
            <v>0</v>
          </cell>
          <cell r="I58">
            <v>0</v>
          </cell>
          <cell r="J58">
            <v>3.3149999999999999</v>
          </cell>
          <cell r="K58">
            <v>13.100000000000001</v>
          </cell>
          <cell r="L58">
            <v>83.669999999999987</v>
          </cell>
          <cell r="M58">
            <v>0</v>
          </cell>
          <cell r="N58">
            <v>0</v>
          </cell>
          <cell r="O58">
            <v>0</v>
          </cell>
          <cell r="P58">
            <v>100.08499999999999</v>
          </cell>
          <cell r="Q58">
            <v>0</v>
          </cell>
          <cell r="R58">
            <v>0</v>
          </cell>
          <cell r="S58">
            <v>0</v>
          </cell>
          <cell r="T58">
            <v>0</v>
          </cell>
          <cell r="U58">
            <v>0</v>
          </cell>
          <cell r="V58">
            <v>0</v>
          </cell>
          <cell r="W58">
            <v>3.3149999999999999</v>
          </cell>
          <cell r="X58">
            <v>13.100000000000001</v>
          </cell>
          <cell r="Y58">
            <v>83.669999999999987</v>
          </cell>
          <cell r="Z58">
            <v>0</v>
          </cell>
          <cell r="AA58">
            <v>0</v>
          </cell>
          <cell r="AB58">
            <v>0</v>
          </cell>
          <cell r="AC58">
            <v>100.08499999999999</v>
          </cell>
          <cell r="AD58">
            <v>0</v>
          </cell>
          <cell r="AE58">
            <v>0</v>
          </cell>
          <cell r="AF58">
            <v>0</v>
          </cell>
          <cell r="AG58">
            <v>0</v>
          </cell>
          <cell r="AH58">
            <v>0.5</v>
          </cell>
          <cell r="AI58">
            <v>3.4</v>
          </cell>
          <cell r="AJ58">
            <v>7.6</v>
          </cell>
          <cell r="AK58">
            <v>22.7</v>
          </cell>
          <cell r="AL58">
            <v>66.3</v>
          </cell>
          <cell r="AM58">
            <v>0</v>
          </cell>
          <cell r="AN58">
            <v>0</v>
          </cell>
          <cell r="AO58">
            <v>0</v>
          </cell>
          <cell r="AP58">
            <v>100.5</v>
          </cell>
          <cell r="AQ58">
            <v>0</v>
          </cell>
          <cell r="AR58">
            <v>0</v>
          </cell>
          <cell r="AS58">
            <v>0</v>
          </cell>
          <cell r="AT58">
            <v>0</v>
          </cell>
          <cell r="AU58">
            <v>3</v>
          </cell>
          <cell r="AV58">
            <v>6.1</v>
          </cell>
          <cell r="AW58">
            <v>3.3</v>
          </cell>
          <cell r="AX58">
            <v>22.7</v>
          </cell>
          <cell r="AY58">
            <v>66.3</v>
          </cell>
          <cell r="AZ58">
            <v>0</v>
          </cell>
          <cell r="BA58">
            <v>0</v>
          </cell>
          <cell r="BB58">
            <v>0</v>
          </cell>
          <cell r="BC58">
            <v>101.39999999999999</v>
          </cell>
          <cell r="BD58">
            <v>3.3149999999999999</v>
          </cell>
          <cell r="BE58">
            <v>3.3149999999999999</v>
          </cell>
          <cell r="BF58">
            <v>11.499999999999998</v>
          </cell>
          <cell r="BG58">
            <v>12.399999999999999</v>
          </cell>
          <cell r="BH58">
            <v>0</v>
          </cell>
          <cell r="BI58">
            <v>-1.6254137064800001</v>
          </cell>
          <cell r="BJ58">
            <v>0</v>
          </cell>
          <cell r="BK58">
            <v>2.2316927911659606E-2</v>
          </cell>
          <cell r="BL58">
            <v>7.3917785909128828E-4</v>
          </cell>
          <cell r="BM58">
            <v>7.3917785909128828E-4</v>
          </cell>
          <cell r="BN58">
            <v>2.2316927911659602E-2</v>
          </cell>
          <cell r="BO58">
            <v>2.2316927911659602E-2</v>
          </cell>
          <cell r="BQ58">
            <v>-1.6254137064800001</v>
          </cell>
          <cell r="BS58">
            <v>2.5299999999999998</v>
          </cell>
          <cell r="BT58">
            <v>0</v>
          </cell>
          <cell r="BW58">
            <v>2.5299999999999998</v>
          </cell>
          <cell r="BY58">
            <v>0</v>
          </cell>
          <cell r="BZ58">
            <v>0</v>
          </cell>
          <cell r="CA58">
            <v>0</v>
          </cell>
          <cell r="CB58">
            <v>-12.399999999999999</v>
          </cell>
          <cell r="CC58">
            <v>0.34904350646296506</v>
          </cell>
          <cell r="CD58">
            <v>1</v>
          </cell>
          <cell r="CE58">
            <v>2.1177241386947793E-3</v>
          </cell>
          <cell r="CF58">
            <v>2.2316927911659602E-2</v>
          </cell>
          <cell r="CG58">
            <v>100.5</v>
          </cell>
          <cell r="CH58">
            <v>0</v>
          </cell>
          <cell r="CI58">
            <v>0</v>
          </cell>
          <cell r="CJ58">
            <v>0</v>
          </cell>
          <cell r="CK58">
            <v>0</v>
          </cell>
          <cell r="CL58">
            <v>3.2866271378085257</v>
          </cell>
          <cell r="CM58">
            <v>6.8071749534570571</v>
          </cell>
          <cell r="CN58">
            <v>3.9316116152450094</v>
          </cell>
          <cell r="CO58">
            <v>22.7</v>
          </cell>
          <cell r="CP58">
            <v>66.3</v>
          </cell>
          <cell r="CQ58">
            <v>0</v>
          </cell>
          <cell r="CR58">
            <v>0</v>
          </cell>
          <cell r="CS58">
            <v>0</v>
          </cell>
          <cell r="CT58">
            <v>103.02541370651059</v>
          </cell>
        </row>
        <row r="59">
          <cell r="B59" t="str">
            <v>A01M317</v>
          </cell>
          <cell r="C59" t="str">
            <v>DIV</v>
          </cell>
          <cell r="D59">
            <v>0</v>
          </cell>
          <cell r="E59">
            <v>0</v>
          </cell>
          <cell r="F59">
            <v>0</v>
          </cell>
          <cell r="G59">
            <v>0</v>
          </cell>
          <cell r="H59">
            <v>0</v>
          </cell>
          <cell r="I59">
            <v>0</v>
          </cell>
          <cell r="J59">
            <v>2.8000000000000003</v>
          </cell>
          <cell r="K59">
            <v>7.65</v>
          </cell>
          <cell r="L59">
            <v>21.414999999999999</v>
          </cell>
          <cell r="M59">
            <v>53.924999999999997</v>
          </cell>
          <cell r="N59">
            <v>14.209999999999999</v>
          </cell>
          <cell r="O59">
            <v>0</v>
          </cell>
          <cell r="P59">
            <v>99.999999999999986</v>
          </cell>
          <cell r="Q59">
            <v>0</v>
          </cell>
          <cell r="R59">
            <v>0</v>
          </cell>
          <cell r="S59">
            <v>0</v>
          </cell>
          <cell r="T59">
            <v>0</v>
          </cell>
          <cell r="U59">
            <v>0</v>
          </cell>
          <cell r="V59">
            <v>0</v>
          </cell>
          <cell r="W59">
            <v>0.70000000000000007</v>
          </cell>
          <cell r="X59">
            <v>9.75</v>
          </cell>
          <cell r="Y59">
            <v>21.414999999999999</v>
          </cell>
          <cell r="Z59">
            <v>53.924999999999997</v>
          </cell>
          <cell r="AA59">
            <v>14.209999999999999</v>
          </cell>
          <cell r="AB59">
            <v>0</v>
          </cell>
          <cell r="AC59">
            <v>99.999999999999986</v>
          </cell>
          <cell r="AD59">
            <v>0</v>
          </cell>
          <cell r="AE59">
            <v>0</v>
          </cell>
          <cell r="AF59">
            <v>0</v>
          </cell>
          <cell r="AG59">
            <v>0</v>
          </cell>
          <cell r="AH59">
            <v>0</v>
          </cell>
          <cell r="AI59">
            <v>0</v>
          </cell>
          <cell r="AJ59">
            <v>6</v>
          </cell>
          <cell r="AK59">
            <v>7.4</v>
          </cell>
          <cell r="AL59">
            <v>27.200000000000003</v>
          </cell>
          <cell r="AM59">
            <v>76.399999999999991</v>
          </cell>
          <cell r="AN59">
            <v>21.900000000000002</v>
          </cell>
          <cell r="AO59">
            <v>16.3</v>
          </cell>
          <cell r="AP59">
            <v>155.20000000000002</v>
          </cell>
          <cell r="AQ59">
            <v>0</v>
          </cell>
          <cell r="AR59">
            <v>0</v>
          </cell>
          <cell r="AS59">
            <v>0</v>
          </cell>
          <cell r="AT59">
            <v>0</v>
          </cell>
          <cell r="AU59">
            <v>0</v>
          </cell>
          <cell r="AV59">
            <v>0</v>
          </cell>
          <cell r="AW59">
            <v>3.1</v>
          </cell>
          <cell r="AX59">
            <v>7.4</v>
          </cell>
          <cell r="AY59">
            <v>28.900000000000002</v>
          </cell>
          <cell r="AZ59">
            <v>76.399999999999991</v>
          </cell>
          <cell r="BA59">
            <v>21.900000000000002</v>
          </cell>
          <cell r="BB59">
            <v>16.8</v>
          </cell>
          <cell r="BC59">
            <v>154.5</v>
          </cell>
          <cell r="BD59">
            <v>2.8000000000000003</v>
          </cell>
          <cell r="BE59">
            <v>0.70000000000000007</v>
          </cell>
          <cell r="BF59">
            <v>6</v>
          </cell>
          <cell r="BG59">
            <v>3.1</v>
          </cell>
          <cell r="BH59">
            <v>0</v>
          </cell>
          <cell r="BI59">
            <v>-0.59333212352000009</v>
          </cell>
          <cell r="BJ59">
            <v>0</v>
          </cell>
          <cell r="BK59">
            <v>3.4463554347159912E-2</v>
          </cell>
          <cell r="BL59">
            <v>9.6497952172047772E-4</v>
          </cell>
          <cell r="BM59">
            <v>2.4124488043011943E-4</v>
          </cell>
          <cell r="BN59">
            <v>3.4463554347159912E-2</v>
          </cell>
          <cell r="BO59">
            <v>3.4463554347159912E-2</v>
          </cell>
          <cell r="BQ59">
            <v>-0.59333212352000009</v>
          </cell>
          <cell r="BS59">
            <v>-2.31</v>
          </cell>
          <cell r="BT59">
            <v>0</v>
          </cell>
          <cell r="BX59">
            <v>-0.11</v>
          </cell>
          <cell r="BY59">
            <v>0</v>
          </cell>
          <cell r="BZ59">
            <v>0</v>
          </cell>
          <cell r="CA59">
            <v>0</v>
          </cell>
          <cell r="CB59">
            <v>-3.1</v>
          </cell>
          <cell r="CC59">
            <v>0.34904350646296506</v>
          </cell>
          <cell r="CD59">
            <v>1</v>
          </cell>
          <cell r="CE59">
            <v>6.9115991549241582E-4</v>
          </cell>
          <cell r="CF59">
            <v>3.4463554347159912E-2</v>
          </cell>
          <cell r="CG59">
            <v>155.20000000000002</v>
          </cell>
          <cell r="CH59">
            <v>0</v>
          </cell>
          <cell r="CI59">
            <v>0</v>
          </cell>
          <cell r="CJ59">
            <v>0</v>
          </cell>
          <cell r="CK59">
            <v>0</v>
          </cell>
          <cell r="CL59">
            <v>0</v>
          </cell>
          <cell r="CM59">
            <v>0</v>
          </cell>
          <cell r="CN59">
            <v>3.6933321234119787</v>
          </cell>
          <cell r="CO59">
            <v>7.4</v>
          </cell>
          <cell r="CP59">
            <v>28.900000000000002</v>
          </cell>
          <cell r="CQ59">
            <v>76.400000000000006</v>
          </cell>
          <cell r="CR59">
            <v>21.900000000000002</v>
          </cell>
          <cell r="CS59">
            <v>16.8</v>
          </cell>
          <cell r="CT59">
            <v>155.09333212341201</v>
          </cell>
        </row>
        <row r="60">
          <cell r="B60" t="str">
            <v>A01M321</v>
          </cell>
          <cell r="C60" t="str">
            <v>DIV</v>
          </cell>
          <cell r="D60">
            <v>0</v>
          </cell>
          <cell r="E60">
            <v>0</v>
          </cell>
          <cell r="F60">
            <v>0</v>
          </cell>
          <cell r="G60">
            <v>0</v>
          </cell>
          <cell r="H60">
            <v>14.444799999999999</v>
          </cell>
          <cell r="I60">
            <v>13.1568</v>
          </cell>
          <cell r="J60">
            <v>15.559200000000001</v>
          </cell>
          <cell r="K60">
            <v>15.559200000000001</v>
          </cell>
          <cell r="L60">
            <v>15.559200000000001</v>
          </cell>
          <cell r="M60">
            <v>13.1568</v>
          </cell>
          <cell r="N60">
            <v>10.1616</v>
          </cell>
          <cell r="O60">
            <v>2.4024000000000001</v>
          </cell>
          <cell r="P60">
            <v>100</v>
          </cell>
          <cell r="Q60">
            <v>0</v>
          </cell>
          <cell r="R60">
            <v>0</v>
          </cell>
          <cell r="S60">
            <v>0</v>
          </cell>
          <cell r="T60">
            <v>0</v>
          </cell>
          <cell r="U60">
            <v>11.4375</v>
          </cell>
          <cell r="V60">
            <v>15.4931</v>
          </cell>
          <cell r="W60">
            <v>16.035600000000002</v>
          </cell>
          <cell r="X60">
            <v>19.286299999999997</v>
          </cell>
          <cell r="Y60">
            <v>19.286299999999997</v>
          </cell>
          <cell r="Z60">
            <v>15.820900000000002</v>
          </cell>
          <cell r="AA60">
            <v>2.6402999999999999</v>
          </cell>
          <cell r="AB60">
            <v>0</v>
          </cell>
          <cell r="AC60">
            <v>100</v>
          </cell>
          <cell r="AD60">
            <v>0</v>
          </cell>
          <cell r="AE60">
            <v>0</v>
          </cell>
          <cell r="AF60">
            <v>0</v>
          </cell>
          <cell r="AG60">
            <v>0</v>
          </cell>
          <cell r="AH60">
            <v>35.963999999999999</v>
          </cell>
          <cell r="AI60">
            <v>81.114000000000004</v>
          </cell>
          <cell r="AJ60">
            <v>85.72</v>
          </cell>
          <cell r="AK60">
            <v>92.312999999999988</v>
          </cell>
          <cell r="AL60">
            <v>72.25</v>
          </cell>
          <cell r="AM60">
            <v>37.353000000000002</v>
          </cell>
          <cell r="AN60">
            <v>48.553000000000004</v>
          </cell>
          <cell r="AO60">
            <v>31.343999999999998</v>
          </cell>
          <cell r="AP60">
            <v>484.61099999999999</v>
          </cell>
          <cell r="AQ60">
            <v>0</v>
          </cell>
          <cell r="AR60">
            <v>0</v>
          </cell>
          <cell r="AS60">
            <v>0</v>
          </cell>
          <cell r="AT60">
            <v>0</v>
          </cell>
          <cell r="AU60">
            <v>13</v>
          </cell>
          <cell r="AV60">
            <v>58</v>
          </cell>
          <cell r="AW60">
            <v>81</v>
          </cell>
          <cell r="AX60">
            <v>83</v>
          </cell>
          <cell r="AY60">
            <v>89</v>
          </cell>
          <cell r="AZ60">
            <v>72</v>
          </cell>
          <cell r="BA60">
            <v>41</v>
          </cell>
          <cell r="BB60">
            <v>23</v>
          </cell>
          <cell r="BC60">
            <v>460</v>
          </cell>
          <cell r="BD60">
            <v>43.160799999999995</v>
          </cell>
          <cell r="BE60">
            <v>42.966200000000001</v>
          </cell>
          <cell r="BF60">
            <v>202.798</v>
          </cell>
          <cell r="BG60">
            <v>152</v>
          </cell>
          <cell r="BH60">
            <v>1</v>
          </cell>
          <cell r="BI60">
            <v>-23.469203697699999</v>
          </cell>
          <cell r="BJ60">
            <v>-9.5542379299999994E-2</v>
          </cell>
          <cell r="BK60">
            <v>0.10761222639002262</v>
          </cell>
          <cell r="BL60">
            <v>4.6446297807744875E-2</v>
          </cell>
          <cell r="BM60">
            <v>4.6236884415189895E-2</v>
          </cell>
          <cell r="BN60">
            <v>0.1076122263900226</v>
          </cell>
          <cell r="BO60">
            <v>0.1076122263900226</v>
          </cell>
          <cell r="BP60">
            <v>-27.33</v>
          </cell>
          <cell r="BQ60">
            <v>-23.469203697699999</v>
          </cell>
          <cell r="BT60">
            <v>0</v>
          </cell>
          <cell r="BX60">
            <v>-1.1399999999999999</v>
          </cell>
          <cell r="BY60">
            <v>0</v>
          </cell>
          <cell r="BZ60">
            <v>1</v>
          </cell>
          <cell r="CA60">
            <v>0</v>
          </cell>
          <cell r="CB60">
            <v>-151</v>
          </cell>
          <cell r="CC60">
            <v>0.34904350646296506</v>
          </cell>
          <cell r="CD60">
            <v>1</v>
          </cell>
          <cell r="CE60">
            <v>0.13246739606684479</v>
          </cell>
          <cell r="CF60">
            <v>0.1076122263900226</v>
          </cell>
          <cell r="CG60">
            <v>484.61099999999999</v>
          </cell>
          <cell r="CH60">
            <v>0</v>
          </cell>
          <cell r="CI60">
            <v>0</v>
          </cell>
          <cell r="CJ60">
            <v>0</v>
          </cell>
          <cell r="CK60">
            <v>0</v>
          </cell>
          <cell r="CL60">
            <v>14.242050930503611</v>
          </cell>
          <cell r="CM60">
            <v>64.723958573853992</v>
          </cell>
          <cell r="CN60">
            <v>96.503194192377507</v>
          </cell>
          <cell r="CO60">
            <v>83</v>
          </cell>
          <cell r="CP60">
            <v>89</v>
          </cell>
          <cell r="CQ60">
            <v>72</v>
          </cell>
          <cell r="CR60">
            <v>41</v>
          </cell>
          <cell r="CS60">
            <v>23</v>
          </cell>
          <cell r="CT60">
            <v>483.46920369673512</v>
          </cell>
        </row>
        <row r="61">
          <cell r="B61" t="str">
            <v>A01M322</v>
          </cell>
          <cell r="C61" t="str">
            <v>DIV</v>
          </cell>
          <cell r="D61">
            <v>0</v>
          </cell>
          <cell r="E61">
            <v>0</v>
          </cell>
          <cell r="F61">
            <v>0</v>
          </cell>
          <cell r="G61">
            <v>0</v>
          </cell>
          <cell r="H61">
            <v>21.254999999999999</v>
          </cell>
          <cell r="I61">
            <v>75.415000000000006</v>
          </cell>
          <cell r="J61">
            <v>1.125</v>
          </cell>
          <cell r="K61">
            <v>1.125</v>
          </cell>
          <cell r="L61">
            <v>0.58500000000000008</v>
          </cell>
          <cell r="M61">
            <v>0.49500000000000005</v>
          </cell>
          <cell r="N61">
            <v>0</v>
          </cell>
          <cell r="O61">
            <v>0</v>
          </cell>
          <cell r="P61">
            <v>100</v>
          </cell>
          <cell r="Q61">
            <v>0</v>
          </cell>
          <cell r="R61">
            <v>0</v>
          </cell>
          <cell r="S61">
            <v>0</v>
          </cell>
          <cell r="T61">
            <v>0</v>
          </cell>
          <cell r="U61">
            <v>21.254999999999999</v>
          </cell>
          <cell r="V61">
            <v>75.415000000000006</v>
          </cell>
          <cell r="W61">
            <v>0.58500000000000008</v>
          </cell>
          <cell r="X61">
            <v>0.58500000000000008</v>
          </cell>
          <cell r="Y61">
            <v>1.71</v>
          </cell>
          <cell r="Z61">
            <v>0.45</v>
          </cell>
          <cell r="AA61">
            <v>0</v>
          </cell>
          <cell r="AB61">
            <v>0</v>
          </cell>
          <cell r="AC61">
            <v>99.999999999999986</v>
          </cell>
          <cell r="AD61">
            <v>0</v>
          </cell>
          <cell r="AE61">
            <v>0</v>
          </cell>
          <cell r="AF61">
            <v>0</v>
          </cell>
          <cell r="AG61">
            <v>0</v>
          </cell>
          <cell r="AH61">
            <v>41.2</v>
          </cell>
          <cell r="AI61">
            <v>74.400000000000006</v>
          </cell>
          <cell r="AJ61">
            <v>21.4</v>
          </cell>
          <cell r="AK61">
            <v>14.700000000000001</v>
          </cell>
          <cell r="AL61">
            <v>4.4000000000000004</v>
          </cell>
          <cell r="AM61">
            <v>4.4000000000000004</v>
          </cell>
          <cell r="AN61">
            <v>17.100000000000001</v>
          </cell>
          <cell r="AO61">
            <v>0</v>
          </cell>
          <cell r="AP61">
            <v>177.6</v>
          </cell>
          <cell r="AQ61">
            <v>0</v>
          </cell>
          <cell r="AR61">
            <v>0</v>
          </cell>
          <cell r="AS61">
            <v>0</v>
          </cell>
          <cell r="AT61">
            <v>0</v>
          </cell>
          <cell r="AU61">
            <v>41.2</v>
          </cell>
          <cell r="AV61">
            <v>99.500000000000014</v>
          </cell>
          <cell r="AW61">
            <v>3</v>
          </cell>
          <cell r="AX61">
            <v>1.5</v>
          </cell>
          <cell r="AY61">
            <v>17.5</v>
          </cell>
          <cell r="AZ61">
            <v>1.5</v>
          </cell>
          <cell r="BA61">
            <v>2</v>
          </cell>
          <cell r="BB61">
            <v>0</v>
          </cell>
          <cell r="BC61">
            <v>166.20000000000002</v>
          </cell>
          <cell r="BD61">
            <v>97.795000000000016</v>
          </cell>
          <cell r="BE61">
            <v>97.254999999999995</v>
          </cell>
          <cell r="BF61">
            <v>137</v>
          </cell>
          <cell r="BG61">
            <v>143.70000000000002</v>
          </cell>
          <cell r="BH61">
            <v>0</v>
          </cell>
          <cell r="BI61">
            <v>-16.045605264660004</v>
          </cell>
          <cell r="BJ61">
            <v>0</v>
          </cell>
          <cell r="BK61">
            <v>3.9437675593141749E-2</v>
          </cell>
          <cell r="BL61">
            <v>3.8568074846312979E-2</v>
          </cell>
          <cell r="BM61">
            <v>3.8355111398110008E-2</v>
          </cell>
          <cell r="BN61">
            <v>3.9437675593141749E-2</v>
          </cell>
          <cell r="BO61">
            <v>3.9437675593141742E-2</v>
          </cell>
          <cell r="BQ61">
            <v>-16.045605264660004</v>
          </cell>
          <cell r="BS61">
            <v>22.75</v>
          </cell>
          <cell r="BT61">
            <v>0</v>
          </cell>
          <cell r="BW61">
            <v>4.6500000000000004</v>
          </cell>
          <cell r="BY61">
            <v>0</v>
          </cell>
          <cell r="BZ61">
            <v>0</v>
          </cell>
          <cell r="CA61">
            <v>0</v>
          </cell>
          <cell r="CB61">
            <v>-143.70000000000002</v>
          </cell>
          <cell r="CC61">
            <v>0.34904350646296506</v>
          </cell>
          <cell r="CD61">
            <v>1</v>
          </cell>
          <cell r="CE61">
            <v>0.10988633419020399</v>
          </cell>
          <cell r="CF61">
            <v>3.9437675593141742E-2</v>
          </cell>
          <cell r="CG61">
            <v>177.6</v>
          </cell>
          <cell r="CH61">
            <v>0</v>
          </cell>
          <cell r="CI61">
            <v>0</v>
          </cell>
          <cell r="CJ61">
            <v>0</v>
          </cell>
          <cell r="CK61">
            <v>0</v>
          </cell>
          <cell r="CL61">
            <v>45.136346025903755</v>
          </cell>
          <cell r="CM61">
            <v>111.03506686376676</v>
          </cell>
          <cell r="CN61">
            <v>3.5741923774954634</v>
          </cell>
          <cell r="CO61">
            <v>1.5</v>
          </cell>
          <cell r="CP61">
            <v>17.5</v>
          </cell>
          <cell r="CQ61">
            <v>1.5</v>
          </cell>
          <cell r="CR61">
            <v>2</v>
          </cell>
          <cell r="CS61">
            <v>0</v>
          </cell>
          <cell r="CT61">
            <v>182.24560526716596</v>
          </cell>
        </row>
        <row r="62">
          <cell r="B62" t="str">
            <v>A01M323</v>
          </cell>
          <cell r="C62" t="str">
            <v>DIV</v>
          </cell>
          <cell r="D62">
            <v>0</v>
          </cell>
          <cell r="E62">
            <v>0</v>
          </cell>
          <cell r="F62">
            <v>0</v>
          </cell>
          <cell r="G62">
            <v>0</v>
          </cell>
          <cell r="H62">
            <v>62</v>
          </cell>
          <cell r="I62">
            <v>8</v>
          </cell>
          <cell r="J62">
            <v>0</v>
          </cell>
          <cell r="K62">
            <v>0</v>
          </cell>
          <cell r="L62">
            <v>0</v>
          </cell>
          <cell r="M62">
            <v>15</v>
          </cell>
          <cell r="N62">
            <v>15</v>
          </cell>
          <cell r="O62">
            <v>0</v>
          </cell>
          <cell r="P62">
            <v>100</v>
          </cell>
          <cell r="Q62">
            <v>0</v>
          </cell>
          <cell r="R62">
            <v>0</v>
          </cell>
          <cell r="S62">
            <v>0</v>
          </cell>
          <cell r="T62">
            <v>0</v>
          </cell>
          <cell r="U62">
            <v>0</v>
          </cell>
          <cell r="V62">
            <v>56</v>
          </cell>
          <cell r="W62">
            <v>14</v>
          </cell>
          <cell r="X62">
            <v>0</v>
          </cell>
          <cell r="Y62">
            <v>0</v>
          </cell>
          <cell r="Z62">
            <v>15</v>
          </cell>
          <cell r="AA62">
            <v>15</v>
          </cell>
          <cell r="AB62">
            <v>0</v>
          </cell>
          <cell r="AC62">
            <v>100</v>
          </cell>
          <cell r="AD62">
            <v>0</v>
          </cell>
          <cell r="AE62">
            <v>0</v>
          </cell>
          <cell r="AF62">
            <v>0</v>
          </cell>
          <cell r="AG62">
            <v>0</v>
          </cell>
          <cell r="AH62">
            <v>0</v>
          </cell>
          <cell r="AI62">
            <v>100.3</v>
          </cell>
          <cell r="AJ62">
            <v>0</v>
          </cell>
          <cell r="AK62">
            <v>0</v>
          </cell>
          <cell r="AL62">
            <v>0</v>
          </cell>
          <cell r="AM62">
            <v>22.59</v>
          </cell>
          <cell r="AN62">
            <v>28.08</v>
          </cell>
          <cell r="AO62">
            <v>0</v>
          </cell>
          <cell r="AP62">
            <v>150.97</v>
          </cell>
          <cell r="AQ62">
            <v>0</v>
          </cell>
          <cell r="AR62">
            <v>0</v>
          </cell>
          <cell r="AS62">
            <v>0</v>
          </cell>
          <cell r="AT62">
            <v>0</v>
          </cell>
          <cell r="AU62">
            <v>0</v>
          </cell>
          <cell r="AV62">
            <v>79.900000000000006</v>
          </cell>
          <cell r="AW62">
            <v>1.5</v>
          </cell>
          <cell r="AX62">
            <v>14.5</v>
          </cell>
          <cell r="AY62">
            <v>0</v>
          </cell>
          <cell r="AZ62">
            <v>23.8</v>
          </cell>
          <cell r="BA62">
            <v>35.799999999999997</v>
          </cell>
          <cell r="BB62">
            <v>0</v>
          </cell>
          <cell r="BC62">
            <v>155.5</v>
          </cell>
          <cell r="BD62">
            <v>70</v>
          </cell>
          <cell r="BE62">
            <v>70</v>
          </cell>
          <cell r="BF62">
            <v>100.3</v>
          </cell>
          <cell r="BG62">
            <v>81.400000000000006</v>
          </cell>
          <cell r="BH62">
            <v>0</v>
          </cell>
          <cell r="BI62">
            <v>-9.5499287727800013</v>
          </cell>
          <cell r="BJ62">
            <v>0</v>
          </cell>
          <cell r="BK62">
            <v>3.3524244844012445E-2</v>
          </cell>
          <cell r="BL62">
            <v>2.3466971390808711E-2</v>
          </cell>
          <cell r="BM62">
            <v>2.3466971390808711E-2</v>
          </cell>
          <cell r="BN62">
            <v>3.3524244844012445E-2</v>
          </cell>
          <cell r="BO62">
            <v>3.3524244844012445E-2</v>
          </cell>
          <cell r="BQ62">
            <v>-9.5499287727800013</v>
          </cell>
          <cell r="BS62">
            <v>-9.35</v>
          </cell>
          <cell r="BT62">
            <v>0</v>
          </cell>
          <cell r="BW62">
            <v>14.08</v>
          </cell>
          <cell r="BY62">
            <v>0</v>
          </cell>
          <cell r="BZ62">
            <v>0</v>
          </cell>
          <cell r="CA62">
            <v>0</v>
          </cell>
          <cell r="CB62">
            <v>-81.400000000000006</v>
          </cell>
          <cell r="CC62">
            <v>0.34904350646296506</v>
          </cell>
          <cell r="CD62">
            <v>1</v>
          </cell>
          <cell r="CE62">
            <v>6.723222451152705E-2</v>
          </cell>
          <cell r="CF62">
            <v>3.3524244844012445E-2</v>
          </cell>
          <cell r="CG62">
            <v>150.97</v>
          </cell>
          <cell r="CH62">
            <v>0</v>
          </cell>
          <cell r="CI62">
            <v>0</v>
          </cell>
          <cell r="CJ62">
            <v>0</v>
          </cell>
          <cell r="CK62">
            <v>0</v>
          </cell>
          <cell r="CL62">
            <v>0</v>
          </cell>
          <cell r="CM62">
            <v>89.162832587085077</v>
          </cell>
          <cell r="CN62">
            <v>1.7870961887477317</v>
          </cell>
          <cell r="CO62">
            <v>14.5</v>
          </cell>
          <cell r="CP62">
            <v>0</v>
          </cell>
          <cell r="CQ62">
            <v>23.8</v>
          </cell>
          <cell r="CR62">
            <v>35.799999999999997</v>
          </cell>
          <cell r="CS62">
            <v>0</v>
          </cell>
          <cell r="CT62">
            <v>165.04992877583283</v>
          </cell>
        </row>
        <row r="63">
          <cell r="B63" t="str">
            <v>A01MDIVI</v>
          </cell>
          <cell r="C63" t="str">
            <v>DIV</v>
          </cell>
          <cell r="D63">
            <v>0</v>
          </cell>
          <cell r="E63">
            <v>0</v>
          </cell>
          <cell r="F63">
            <v>0</v>
          </cell>
          <cell r="G63">
            <v>0</v>
          </cell>
          <cell r="H63">
            <v>0</v>
          </cell>
          <cell r="I63">
            <v>0</v>
          </cell>
          <cell r="J63">
            <v>0</v>
          </cell>
          <cell r="K63">
            <v>0</v>
          </cell>
          <cell r="L63">
            <v>20</v>
          </cell>
          <cell r="M63">
            <v>25</v>
          </cell>
          <cell r="N63">
            <v>25</v>
          </cell>
          <cell r="O63">
            <v>30</v>
          </cell>
          <cell r="P63">
            <v>100</v>
          </cell>
          <cell r="Q63">
            <v>0</v>
          </cell>
          <cell r="R63">
            <v>0</v>
          </cell>
          <cell r="S63">
            <v>0</v>
          </cell>
          <cell r="T63">
            <v>0</v>
          </cell>
          <cell r="U63">
            <v>0</v>
          </cell>
          <cell r="V63">
            <v>0</v>
          </cell>
          <cell r="W63">
            <v>0</v>
          </cell>
          <cell r="X63">
            <v>0</v>
          </cell>
          <cell r="Y63">
            <v>20</v>
          </cell>
          <cell r="Z63">
            <v>25</v>
          </cell>
          <cell r="AA63">
            <v>25</v>
          </cell>
          <cell r="AB63">
            <v>30</v>
          </cell>
          <cell r="AC63">
            <v>100</v>
          </cell>
          <cell r="AD63">
            <v>0</v>
          </cell>
          <cell r="AE63">
            <v>0</v>
          </cell>
          <cell r="AF63">
            <v>0</v>
          </cell>
          <cell r="AG63">
            <v>0</v>
          </cell>
          <cell r="AH63">
            <v>0</v>
          </cell>
          <cell r="AI63">
            <v>0</v>
          </cell>
          <cell r="AJ63">
            <v>0</v>
          </cell>
          <cell r="AK63">
            <v>0</v>
          </cell>
          <cell r="AL63">
            <v>260</v>
          </cell>
          <cell r="AM63">
            <v>325</v>
          </cell>
          <cell r="AN63">
            <v>325</v>
          </cell>
          <cell r="AO63">
            <v>390</v>
          </cell>
          <cell r="AP63">
            <v>1300</v>
          </cell>
          <cell r="AQ63">
            <v>0</v>
          </cell>
          <cell r="AR63">
            <v>0</v>
          </cell>
          <cell r="AS63">
            <v>0</v>
          </cell>
          <cell r="AT63">
            <v>0</v>
          </cell>
          <cell r="AU63">
            <v>0</v>
          </cell>
          <cell r="AV63">
            <v>0</v>
          </cell>
          <cell r="AW63">
            <v>0</v>
          </cell>
          <cell r="AX63">
            <v>0</v>
          </cell>
          <cell r="AY63">
            <v>260</v>
          </cell>
          <cell r="AZ63">
            <v>325</v>
          </cell>
          <cell r="BA63">
            <v>325</v>
          </cell>
          <cell r="BB63">
            <v>390</v>
          </cell>
          <cell r="BC63">
            <v>1300</v>
          </cell>
          <cell r="BD63">
            <v>0</v>
          </cell>
          <cell r="BE63">
            <v>0</v>
          </cell>
          <cell r="BF63">
            <v>0</v>
          </cell>
          <cell r="BG63">
            <v>0</v>
          </cell>
          <cell r="BH63">
            <v>0</v>
          </cell>
          <cell r="BI63">
            <v>0</v>
          </cell>
          <cell r="BJ63">
            <v>0</v>
          </cell>
          <cell r="BK63">
            <v>0.28867667945430336</v>
          </cell>
          <cell r="BL63">
            <v>0</v>
          </cell>
          <cell r="BM63">
            <v>0</v>
          </cell>
          <cell r="BN63">
            <v>0.28867667945430336</v>
          </cell>
          <cell r="BO63">
            <v>0.28867667945430336</v>
          </cell>
          <cell r="BQ63">
            <v>0</v>
          </cell>
          <cell r="BT63">
            <v>0</v>
          </cell>
          <cell r="BY63">
            <v>0</v>
          </cell>
          <cell r="BZ63">
            <v>0</v>
          </cell>
          <cell r="CA63">
            <v>0</v>
          </cell>
          <cell r="CB63">
            <v>0</v>
          </cell>
          <cell r="CC63">
            <v>0.34904350646296506</v>
          </cell>
          <cell r="CD63">
            <v>1</v>
          </cell>
          <cell r="CE63">
            <v>0</v>
          </cell>
          <cell r="CF63">
            <v>0.28867667945430336</v>
          </cell>
          <cell r="CG63">
            <v>1300</v>
          </cell>
          <cell r="CH63">
            <v>0</v>
          </cell>
          <cell r="CI63">
            <v>0</v>
          </cell>
          <cell r="CJ63">
            <v>0</v>
          </cell>
          <cell r="CK63">
            <v>0</v>
          </cell>
          <cell r="CL63">
            <v>0</v>
          </cell>
          <cell r="CM63">
            <v>0</v>
          </cell>
          <cell r="CN63">
            <v>0</v>
          </cell>
          <cell r="CO63">
            <v>0</v>
          </cell>
          <cell r="CP63">
            <v>260</v>
          </cell>
          <cell r="CQ63">
            <v>325</v>
          </cell>
          <cell r="CR63">
            <v>325</v>
          </cell>
          <cell r="CS63">
            <v>390</v>
          </cell>
          <cell r="CT63">
            <v>1300</v>
          </cell>
        </row>
        <row r="64">
          <cell r="B64" t="str">
            <v>A01MEXT</v>
          </cell>
          <cell r="C64" t="str">
            <v>EXT</v>
          </cell>
          <cell r="D64">
            <v>0</v>
          </cell>
          <cell r="E64">
            <v>0</v>
          </cell>
          <cell r="F64">
            <v>0</v>
          </cell>
          <cell r="G64">
            <v>0</v>
          </cell>
          <cell r="H64">
            <v>0</v>
          </cell>
          <cell r="I64">
            <v>0</v>
          </cell>
          <cell r="J64">
            <v>0</v>
          </cell>
          <cell r="K64">
            <v>0</v>
          </cell>
          <cell r="L64">
            <v>20</v>
          </cell>
          <cell r="M64">
            <v>25</v>
          </cell>
          <cell r="N64">
            <v>25</v>
          </cell>
          <cell r="O64">
            <v>30</v>
          </cell>
          <cell r="P64">
            <v>100</v>
          </cell>
          <cell r="Q64">
            <v>0</v>
          </cell>
          <cell r="R64">
            <v>0</v>
          </cell>
          <cell r="S64">
            <v>0</v>
          </cell>
          <cell r="T64">
            <v>0</v>
          </cell>
          <cell r="U64">
            <v>0</v>
          </cell>
          <cell r="V64">
            <v>0</v>
          </cell>
          <cell r="W64">
            <v>0</v>
          </cell>
          <cell r="X64">
            <v>0</v>
          </cell>
          <cell r="Y64">
            <v>20</v>
          </cell>
          <cell r="Z64">
            <v>25</v>
          </cell>
          <cell r="AA64">
            <v>25</v>
          </cell>
          <cell r="AB64">
            <v>30</v>
          </cell>
          <cell r="AC64">
            <v>100</v>
          </cell>
          <cell r="AD64">
            <v>0</v>
          </cell>
          <cell r="AE64">
            <v>0</v>
          </cell>
          <cell r="AF64">
            <v>0</v>
          </cell>
          <cell r="AG64">
            <v>0</v>
          </cell>
          <cell r="AH64">
            <v>0</v>
          </cell>
          <cell r="AI64">
            <v>0</v>
          </cell>
          <cell r="AJ64">
            <v>0</v>
          </cell>
          <cell r="AK64">
            <v>0</v>
          </cell>
          <cell r="AL64">
            <v>1172.4000000000001</v>
          </cell>
          <cell r="AM64">
            <v>1465.5</v>
          </cell>
          <cell r="AN64">
            <v>1465.5</v>
          </cell>
          <cell r="AO64">
            <v>1758.6000000000001</v>
          </cell>
          <cell r="AP64">
            <v>5862</v>
          </cell>
          <cell r="AQ64">
            <v>0</v>
          </cell>
          <cell r="AR64">
            <v>0</v>
          </cell>
          <cell r="AS64">
            <v>0</v>
          </cell>
          <cell r="AT64">
            <v>0</v>
          </cell>
          <cell r="AU64">
            <v>0</v>
          </cell>
          <cell r="AV64">
            <v>0</v>
          </cell>
          <cell r="AW64">
            <v>0</v>
          </cell>
          <cell r="AX64">
            <v>0</v>
          </cell>
          <cell r="AY64">
            <v>1172.4000000000001</v>
          </cell>
          <cell r="AZ64">
            <v>1465.5</v>
          </cell>
          <cell r="BA64">
            <v>1465.5</v>
          </cell>
          <cell r="BB64">
            <v>1758.6000000000001</v>
          </cell>
          <cell r="BC64">
            <v>5862</v>
          </cell>
          <cell r="BD64">
            <v>0</v>
          </cell>
          <cell r="BE64">
            <v>0</v>
          </cell>
          <cell r="BF64">
            <v>0</v>
          </cell>
          <cell r="BG64">
            <v>0</v>
          </cell>
          <cell r="BH64">
            <v>0</v>
          </cell>
          <cell r="BI64">
            <v>0</v>
          </cell>
          <cell r="BJ64">
            <v>0</v>
          </cell>
          <cell r="BK64">
            <v>0.82565706076227496</v>
          </cell>
          <cell r="BL64">
            <v>0</v>
          </cell>
          <cell r="BM64">
            <v>0</v>
          </cell>
          <cell r="BN64">
            <v>0.82565706076227496</v>
          </cell>
          <cell r="BO64">
            <v>0.82565706076227496</v>
          </cell>
          <cell r="BQ64">
            <v>0</v>
          </cell>
          <cell r="BT64">
            <v>0</v>
          </cell>
          <cell r="BY64">
            <v>0</v>
          </cell>
          <cell r="BZ64">
            <v>0</v>
          </cell>
          <cell r="CA64">
            <v>0</v>
          </cell>
          <cell r="CB64">
            <v>0</v>
          </cell>
          <cell r="CC64">
            <v>0</v>
          </cell>
          <cell r="CD64">
            <v>1</v>
          </cell>
          <cell r="CE64">
            <v>0</v>
          </cell>
          <cell r="CF64">
            <v>0.82565706076227496</v>
          </cell>
          <cell r="CG64">
            <v>5862</v>
          </cell>
          <cell r="CH64">
            <v>0</v>
          </cell>
          <cell r="CI64">
            <v>0</v>
          </cell>
          <cell r="CJ64">
            <v>0</v>
          </cell>
          <cell r="CK64">
            <v>0</v>
          </cell>
          <cell r="CL64">
            <v>0</v>
          </cell>
          <cell r="CM64">
            <v>0</v>
          </cell>
          <cell r="CN64">
            <v>0</v>
          </cell>
          <cell r="CO64">
            <v>0</v>
          </cell>
          <cell r="CP64">
            <v>1172.4000000000001</v>
          </cell>
          <cell r="CQ64">
            <v>1465.5</v>
          </cell>
          <cell r="CR64">
            <v>1465.5</v>
          </cell>
          <cell r="CS64">
            <v>1758.6000000000001</v>
          </cell>
          <cell r="CT64">
            <v>5862</v>
          </cell>
        </row>
        <row r="65">
          <cell r="B65" t="str">
            <v>A00M417</v>
          </cell>
          <cell r="C65" t="str">
            <v>PRI</v>
          </cell>
          <cell r="D65">
            <v>24.612174999999997</v>
          </cell>
          <cell r="E65">
            <v>25.540223999999998</v>
          </cell>
          <cell r="F65">
            <v>14.145533</v>
          </cell>
          <cell r="G65">
            <v>1.8554409999999999</v>
          </cell>
          <cell r="H65">
            <v>0</v>
          </cell>
          <cell r="I65">
            <v>0</v>
          </cell>
          <cell r="J65">
            <v>0</v>
          </cell>
          <cell r="K65">
            <v>0</v>
          </cell>
          <cell r="L65">
            <v>0</v>
          </cell>
          <cell r="M65">
            <v>0</v>
          </cell>
          <cell r="N65">
            <v>0</v>
          </cell>
          <cell r="O65">
            <v>0</v>
          </cell>
          <cell r="P65">
            <v>66.153373000000002</v>
          </cell>
          <cell r="Q65">
            <v>24.612174999999997</v>
          </cell>
          <cell r="R65">
            <v>25.540223999999998</v>
          </cell>
          <cell r="S65">
            <v>14.145533</v>
          </cell>
          <cell r="T65">
            <v>1.8554409999999999</v>
          </cell>
          <cell r="U65">
            <v>0</v>
          </cell>
          <cell r="V65">
            <v>0</v>
          </cell>
          <cell r="W65">
            <v>0</v>
          </cell>
          <cell r="X65">
            <v>0</v>
          </cell>
          <cell r="Y65">
            <v>0</v>
          </cell>
          <cell r="Z65">
            <v>0</v>
          </cell>
          <cell r="AA65">
            <v>0</v>
          </cell>
          <cell r="AB65">
            <v>0</v>
          </cell>
          <cell r="AC65">
            <v>66.153373000000002</v>
          </cell>
          <cell r="AD65">
            <v>-53</v>
          </cell>
          <cell r="AE65">
            <v>1053</v>
          </cell>
          <cell r="AF65">
            <v>2665</v>
          </cell>
          <cell r="AG65">
            <v>5013</v>
          </cell>
          <cell r="AH65">
            <v>110</v>
          </cell>
          <cell r="AI65">
            <v>0</v>
          </cell>
          <cell r="AJ65">
            <v>0</v>
          </cell>
          <cell r="AK65">
            <v>0</v>
          </cell>
          <cell r="AL65">
            <v>0</v>
          </cell>
          <cell r="AM65">
            <v>0</v>
          </cell>
          <cell r="AN65">
            <v>0</v>
          </cell>
          <cell r="AO65">
            <v>0</v>
          </cell>
          <cell r="AP65">
            <v>8788</v>
          </cell>
          <cell r="AQ65">
            <v>-51</v>
          </cell>
          <cell r="AR65">
            <v>1018</v>
          </cell>
          <cell r="AS65">
            <v>2492.3999999999996</v>
          </cell>
          <cell r="AT65">
            <v>5689</v>
          </cell>
          <cell r="AU65">
            <v>83</v>
          </cell>
          <cell r="AV65">
            <v>-28.220000000000006</v>
          </cell>
          <cell r="AW65">
            <v>19</v>
          </cell>
          <cell r="AX65">
            <v>19</v>
          </cell>
          <cell r="AY65">
            <v>19</v>
          </cell>
          <cell r="AZ65">
            <v>12</v>
          </cell>
          <cell r="BA65">
            <v>161</v>
          </cell>
          <cell r="BB65">
            <v>-1230</v>
          </cell>
          <cell r="BC65">
            <v>8203.18</v>
          </cell>
          <cell r="BD65">
            <v>66.153372999999988</v>
          </cell>
          <cell r="BE65">
            <v>66.153372999999988</v>
          </cell>
          <cell r="BF65">
            <v>8788</v>
          </cell>
          <cell r="BG65">
            <v>9222.18</v>
          </cell>
          <cell r="BH65">
            <v>6990</v>
          </cell>
          <cell r="BI65">
            <v>-524.97650917528597</v>
          </cell>
          <cell r="BJ65">
            <v>-355.60155306270002</v>
          </cell>
          <cell r="BK65">
            <v>0.36744851079658059</v>
          </cell>
          <cell r="BL65">
            <v>0.36744851079658053</v>
          </cell>
          <cell r="BM65">
            <v>0.36744851079658053</v>
          </cell>
          <cell r="BN65">
            <v>0.36744851079658059</v>
          </cell>
          <cell r="BO65">
            <v>0.36744851079658059</v>
          </cell>
          <cell r="BQ65">
            <v>-524.97650917528597</v>
          </cell>
          <cell r="BS65">
            <v>959.16</v>
          </cell>
          <cell r="BT65">
            <v>0</v>
          </cell>
          <cell r="BW65">
            <v>1170.1600000000001</v>
          </cell>
          <cell r="BX65">
            <v>-1230</v>
          </cell>
          <cell r="BY65">
            <v>0</v>
          </cell>
          <cell r="BZ65">
            <v>6990</v>
          </cell>
          <cell r="CA65">
            <v>0</v>
          </cell>
          <cell r="CB65">
            <v>-2232.1800000000003</v>
          </cell>
          <cell r="CC65">
            <v>0.59007388048636522</v>
          </cell>
          <cell r="CD65">
            <v>1</v>
          </cell>
          <cell r="CE65">
            <v>0.6227161088603228</v>
          </cell>
          <cell r="CF65">
            <v>0.36744851079658059</v>
          </cell>
          <cell r="CG65">
            <v>8788</v>
          </cell>
          <cell r="CH65">
            <v>-53.350018940399828</v>
          </cell>
          <cell r="CI65">
            <v>1053.2163397497388</v>
          </cell>
          <cell r="CJ65">
            <v>2665.4575158150474</v>
          </cell>
          <cell r="CK65">
            <v>6006.9676808081213</v>
          </cell>
          <cell r="CL65">
            <v>85.250183361558868</v>
          </cell>
          <cell r="CM65">
            <v>-33.021743148147713</v>
          </cell>
          <cell r="CN65">
            <v>22.636551724137934</v>
          </cell>
          <cell r="CO65">
            <v>19</v>
          </cell>
          <cell r="CP65">
            <v>19</v>
          </cell>
          <cell r="CQ65">
            <v>12</v>
          </cell>
          <cell r="CR65">
            <v>161</v>
          </cell>
          <cell r="CS65">
            <v>-1230</v>
          </cell>
          <cell r="CT65">
            <v>8728.1565093700574</v>
          </cell>
        </row>
        <row r="66">
          <cell r="B66" t="str">
            <v>A01M401</v>
          </cell>
          <cell r="C66" t="str">
            <v>PRI</v>
          </cell>
          <cell r="D66">
            <v>0</v>
          </cell>
          <cell r="E66">
            <v>0</v>
          </cell>
          <cell r="F66">
            <v>0</v>
          </cell>
          <cell r="G66">
            <v>0</v>
          </cell>
          <cell r="H66">
            <v>0</v>
          </cell>
          <cell r="I66">
            <v>4.1802000000000001</v>
          </cell>
          <cell r="J66">
            <v>2.8587000000000002</v>
          </cell>
          <cell r="K66">
            <v>3.9699</v>
          </cell>
          <cell r="L66">
            <v>3.5684999999999998</v>
          </cell>
          <cell r="M66">
            <v>4.0873999999999997</v>
          </cell>
          <cell r="N66">
            <v>3.8791000000000002</v>
          </cell>
          <cell r="O66">
            <v>5.8650000000000002</v>
          </cell>
          <cell r="P66">
            <v>28.408799999999999</v>
          </cell>
          <cell r="Q66">
            <v>0</v>
          </cell>
          <cell r="R66">
            <v>0</v>
          </cell>
          <cell r="S66">
            <v>0</v>
          </cell>
          <cell r="T66">
            <v>0</v>
          </cell>
          <cell r="U66">
            <v>0</v>
          </cell>
          <cell r="V66">
            <v>3.8811</v>
          </cell>
          <cell r="W66">
            <v>2.2981999999999996</v>
          </cell>
          <cell r="X66">
            <v>4.0911</v>
          </cell>
          <cell r="Y66">
            <v>3.5684999999999998</v>
          </cell>
          <cell r="Z66">
            <v>4.0873999999999997</v>
          </cell>
          <cell r="AA66">
            <v>4.4097000000000008</v>
          </cell>
          <cell r="AB66">
            <v>7.8163</v>
          </cell>
          <cell r="AC66">
            <v>30.152299999999997</v>
          </cell>
          <cell r="AD66">
            <v>0</v>
          </cell>
          <cell r="AE66">
            <v>0</v>
          </cell>
          <cell r="AF66">
            <v>0</v>
          </cell>
          <cell r="AG66">
            <v>0</v>
          </cell>
          <cell r="AH66">
            <v>0</v>
          </cell>
          <cell r="AI66">
            <v>1130</v>
          </cell>
          <cell r="AJ66">
            <v>1103</v>
          </cell>
          <cell r="AK66">
            <v>1075</v>
          </cell>
          <cell r="AL66">
            <v>1102</v>
          </cell>
          <cell r="AM66">
            <v>1948</v>
          </cell>
          <cell r="AN66">
            <v>2053</v>
          </cell>
          <cell r="AO66">
            <v>2864</v>
          </cell>
          <cell r="AP66">
            <v>11275</v>
          </cell>
          <cell r="AQ66">
            <v>0</v>
          </cell>
          <cell r="AR66">
            <v>0</v>
          </cell>
          <cell r="AS66">
            <v>0</v>
          </cell>
          <cell r="AT66">
            <v>0</v>
          </cell>
          <cell r="AU66">
            <v>0</v>
          </cell>
          <cell r="AV66">
            <v>838</v>
          </cell>
          <cell r="AW66">
            <v>573</v>
          </cell>
          <cell r="AX66">
            <v>1286</v>
          </cell>
          <cell r="AY66">
            <v>1368</v>
          </cell>
          <cell r="AZ66">
            <v>2134</v>
          </cell>
          <cell r="BA66">
            <v>2053</v>
          </cell>
          <cell r="BB66">
            <v>2854</v>
          </cell>
          <cell r="BC66">
            <v>11106</v>
          </cell>
          <cell r="BD66">
            <v>7.0388999999999999</v>
          </cell>
          <cell r="BE66">
            <v>6.1792999999999996</v>
          </cell>
          <cell r="BF66">
            <v>2233</v>
          </cell>
          <cell r="BG66">
            <v>1411</v>
          </cell>
          <cell r="BH66">
            <v>0</v>
          </cell>
          <cell r="BI66">
            <v>-167.95448014160002</v>
          </cell>
          <cell r="BJ66">
            <v>0</v>
          </cell>
          <cell r="BK66">
            <v>0.47143627210189415</v>
          </cell>
          <cell r="BL66">
            <v>0.11680862182485788</v>
          </cell>
          <cell r="BM66">
            <v>0.10254379474667125</v>
          </cell>
          <cell r="BN66">
            <v>0.47143627210189415</v>
          </cell>
          <cell r="BO66">
            <v>0.50036917811727144</v>
          </cell>
          <cell r="BP66">
            <v>-654.04999999999995</v>
          </cell>
          <cell r="BQ66">
            <v>-167.95448014160002</v>
          </cell>
          <cell r="BT66">
            <v>0</v>
          </cell>
          <cell r="BX66">
            <v>-1.05</v>
          </cell>
          <cell r="BY66">
            <v>0</v>
          </cell>
          <cell r="BZ66">
            <v>0</v>
          </cell>
          <cell r="CA66">
            <v>0</v>
          </cell>
          <cell r="CB66">
            <v>-1411</v>
          </cell>
          <cell r="CC66">
            <v>0.59007388048636522</v>
          </cell>
          <cell r="CD66">
            <v>1</v>
          </cell>
          <cell r="CE66">
            <v>0.17378128084935751</v>
          </cell>
          <cell r="CF66">
            <v>0.50036917811727144</v>
          </cell>
          <cell r="CG66">
            <v>11275</v>
          </cell>
          <cell r="CH66">
            <v>0</v>
          </cell>
          <cell r="CI66">
            <v>0</v>
          </cell>
          <cell r="CJ66">
            <v>0</v>
          </cell>
          <cell r="CK66">
            <v>0</v>
          </cell>
          <cell r="CL66">
            <v>0</v>
          </cell>
          <cell r="CM66">
            <v>935.14960836016633</v>
          </cell>
          <cell r="CN66">
            <v>643.80487180236651</v>
          </cell>
          <cell r="CO66">
            <v>1286</v>
          </cell>
          <cell r="CP66">
            <v>1368</v>
          </cell>
          <cell r="CQ66">
            <v>2134</v>
          </cell>
          <cell r="CR66">
            <v>2053</v>
          </cell>
          <cell r="CS66">
            <v>2854</v>
          </cell>
          <cell r="CT66">
            <v>11273.954480162532</v>
          </cell>
        </row>
        <row r="67">
          <cell r="B67" t="str">
            <v>A01M403</v>
          </cell>
          <cell r="C67" t="str">
            <v>OTR</v>
          </cell>
          <cell r="D67">
            <v>0</v>
          </cell>
          <cell r="E67">
            <v>0</v>
          </cell>
          <cell r="F67">
            <v>0</v>
          </cell>
          <cell r="G67">
            <v>0</v>
          </cell>
          <cell r="H67">
            <v>1</v>
          </cell>
          <cell r="I67">
            <v>5</v>
          </cell>
          <cell r="J67">
            <v>13</v>
          </cell>
          <cell r="K67">
            <v>32.279999999999994</v>
          </cell>
          <cell r="L67">
            <v>5.28</v>
          </cell>
          <cell r="M67">
            <v>8.6999999999999993</v>
          </cell>
          <cell r="N67">
            <v>9.24</v>
          </cell>
          <cell r="O67">
            <v>4.5</v>
          </cell>
          <cell r="P67">
            <v>78.999999999999986</v>
          </cell>
          <cell r="Q67">
            <v>0</v>
          </cell>
          <cell r="R67">
            <v>0</v>
          </cell>
          <cell r="S67">
            <v>0</v>
          </cell>
          <cell r="T67">
            <v>0</v>
          </cell>
          <cell r="U67">
            <v>7.1999999999999993</v>
          </cell>
          <cell r="V67">
            <v>4.8</v>
          </cell>
          <cell r="W67">
            <v>12</v>
          </cell>
          <cell r="X67">
            <v>13.5</v>
          </cell>
          <cell r="Y67">
            <v>7.5</v>
          </cell>
          <cell r="Z67">
            <v>1</v>
          </cell>
          <cell r="AA67">
            <v>18</v>
          </cell>
          <cell r="AB67">
            <v>15</v>
          </cell>
          <cell r="AC67">
            <v>79</v>
          </cell>
          <cell r="AD67">
            <v>0</v>
          </cell>
          <cell r="AE67">
            <v>0</v>
          </cell>
          <cell r="AF67">
            <v>0.3</v>
          </cell>
          <cell r="AG67">
            <v>7.2</v>
          </cell>
          <cell r="AH67">
            <v>10.8</v>
          </cell>
          <cell r="AI67">
            <v>40.200000000000003</v>
          </cell>
          <cell r="AJ67">
            <v>36.6</v>
          </cell>
          <cell r="AK67">
            <v>4.0999999999999996</v>
          </cell>
          <cell r="AL67">
            <v>4.0999999999999996</v>
          </cell>
          <cell r="AM67">
            <v>12.7</v>
          </cell>
          <cell r="AN67">
            <v>484.70000000000005</v>
          </cell>
          <cell r="AO67">
            <v>53.5</v>
          </cell>
          <cell r="AP67">
            <v>654.20000000000005</v>
          </cell>
          <cell r="AQ67">
            <v>0</v>
          </cell>
          <cell r="AR67">
            <v>0</v>
          </cell>
          <cell r="AS67">
            <v>0.3</v>
          </cell>
          <cell r="AT67">
            <v>6.6</v>
          </cell>
          <cell r="AU67">
            <v>6.5</v>
          </cell>
          <cell r="AV67">
            <v>4.7</v>
          </cell>
          <cell r="AW67">
            <v>8.6999999999999993</v>
          </cell>
          <cell r="AX67">
            <v>6.3</v>
          </cell>
          <cell r="AY67">
            <v>18.100000000000001</v>
          </cell>
          <cell r="AZ67">
            <v>5.2</v>
          </cell>
          <cell r="BA67">
            <v>23.8</v>
          </cell>
          <cell r="BB67">
            <v>523.80000000000007</v>
          </cell>
          <cell r="BC67">
            <v>604.00000000000011</v>
          </cell>
          <cell r="BD67">
            <v>19</v>
          </cell>
          <cell r="BE67">
            <v>24</v>
          </cell>
          <cell r="BF67">
            <v>95.1</v>
          </cell>
          <cell r="BG67">
            <v>26.799999999999997</v>
          </cell>
          <cell r="BH67">
            <v>6.9</v>
          </cell>
          <cell r="BI67">
            <v>-3.4452186400099998</v>
          </cell>
          <cell r="BJ67">
            <v>-0.65924241716999998</v>
          </cell>
          <cell r="BK67">
            <v>0.32633311717463964</v>
          </cell>
          <cell r="BL67">
            <v>7.8485180079976638E-2</v>
          </cell>
          <cell r="BM67">
            <v>9.9139174837865232E-2</v>
          </cell>
          <cell r="BN67">
            <v>0.32633311717463964</v>
          </cell>
          <cell r="BO67">
            <v>0.3263331171746397</v>
          </cell>
          <cell r="BQ67">
            <v>-3.4452186400099998</v>
          </cell>
          <cell r="BS67">
            <v>-64.849999999999994</v>
          </cell>
          <cell r="BT67">
            <v>0</v>
          </cell>
          <cell r="BX67">
            <v>-46.75</v>
          </cell>
          <cell r="BY67">
            <v>0</v>
          </cell>
          <cell r="BZ67">
            <v>6.9</v>
          </cell>
          <cell r="CA67">
            <v>0</v>
          </cell>
          <cell r="CB67">
            <v>-19.899999999999999</v>
          </cell>
          <cell r="CC67">
            <v>0.52895998461554139</v>
          </cell>
          <cell r="CD67">
            <v>1</v>
          </cell>
          <cell r="CE67">
            <v>0.18742282539561392</v>
          </cell>
          <cell r="CF67">
            <v>0.3263331171746397</v>
          </cell>
          <cell r="CG67">
            <v>654.20000000000005</v>
          </cell>
          <cell r="CH67">
            <v>0</v>
          </cell>
          <cell r="CI67">
            <v>0</v>
          </cell>
          <cell r="CJ67">
            <v>0.32238819229308235</v>
          </cell>
          <cell r="CK67">
            <v>7.1917745824737551</v>
          </cell>
          <cell r="CL67">
            <v>7.1210254652518055</v>
          </cell>
          <cell r="CM67">
            <v>5.2448725051226512</v>
          </cell>
          <cell r="CN67">
            <v>10.365157894736843</v>
          </cell>
          <cell r="CO67">
            <v>6.3</v>
          </cell>
          <cell r="CP67">
            <v>18.100000000000001</v>
          </cell>
          <cell r="CQ67">
            <v>5.2</v>
          </cell>
          <cell r="CR67">
            <v>23.8</v>
          </cell>
          <cell r="CS67">
            <v>523.80000000000007</v>
          </cell>
          <cell r="CT67">
            <v>607.44521863987825</v>
          </cell>
        </row>
        <row r="68">
          <cell r="B68" t="str">
            <v>A01M407</v>
          </cell>
          <cell r="C68" t="str">
            <v>DIV</v>
          </cell>
          <cell r="D68">
            <v>0</v>
          </cell>
          <cell r="E68">
            <v>0</v>
          </cell>
          <cell r="F68">
            <v>0</v>
          </cell>
          <cell r="G68">
            <v>0</v>
          </cell>
          <cell r="H68">
            <v>25</v>
          </cell>
          <cell r="I68">
            <v>0</v>
          </cell>
          <cell r="J68">
            <v>0</v>
          </cell>
          <cell r="K68">
            <v>0</v>
          </cell>
          <cell r="L68">
            <v>0</v>
          </cell>
          <cell r="M68">
            <v>45</v>
          </cell>
          <cell r="N68">
            <v>20</v>
          </cell>
          <cell r="O68">
            <v>10</v>
          </cell>
          <cell r="P68">
            <v>100</v>
          </cell>
          <cell r="Q68">
            <v>0</v>
          </cell>
          <cell r="R68">
            <v>0</v>
          </cell>
          <cell r="S68">
            <v>0</v>
          </cell>
          <cell r="T68">
            <v>0</v>
          </cell>
          <cell r="U68">
            <v>0</v>
          </cell>
          <cell r="V68">
            <v>0</v>
          </cell>
          <cell r="W68">
            <v>5</v>
          </cell>
          <cell r="X68">
            <v>20</v>
          </cell>
          <cell r="Y68">
            <v>0</v>
          </cell>
          <cell r="Z68">
            <v>0</v>
          </cell>
          <cell r="AA68">
            <v>0</v>
          </cell>
          <cell r="AB68">
            <v>55</v>
          </cell>
          <cell r="AC68">
            <v>80</v>
          </cell>
          <cell r="AD68">
            <v>0</v>
          </cell>
          <cell r="AE68">
            <v>0</v>
          </cell>
          <cell r="AF68">
            <v>0</v>
          </cell>
          <cell r="AG68">
            <v>3</v>
          </cell>
          <cell r="AH68">
            <v>4</v>
          </cell>
          <cell r="AI68">
            <v>3</v>
          </cell>
          <cell r="AJ68">
            <v>3</v>
          </cell>
          <cell r="AK68">
            <v>3</v>
          </cell>
          <cell r="AL68">
            <v>3</v>
          </cell>
          <cell r="AM68">
            <v>281</v>
          </cell>
          <cell r="AN68">
            <v>4</v>
          </cell>
          <cell r="AO68">
            <v>4</v>
          </cell>
          <cell r="AP68">
            <v>308</v>
          </cell>
          <cell r="AQ68">
            <v>0</v>
          </cell>
          <cell r="AR68">
            <v>0</v>
          </cell>
          <cell r="AS68">
            <v>0</v>
          </cell>
          <cell r="AT68">
            <v>2.8</v>
          </cell>
          <cell r="AU68">
            <v>4</v>
          </cell>
          <cell r="AV68">
            <v>4.2</v>
          </cell>
          <cell r="AW68">
            <v>3</v>
          </cell>
          <cell r="AX68">
            <v>2</v>
          </cell>
          <cell r="AY68">
            <v>3</v>
          </cell>
          <cell r="AZ68">
            <v>4</v>
          </cell>
          <cell r="BA68">
            <v>4</v>
          </cell>
          <cell r="BB68">
            <v>281</v>
          </cell>
          <cell r="BC68">
            <v>308</v>
          </cell>
          <cell r="BD68">
            <v>25</v>
          </cell>
          <cell r="BE68">
            <v>5</v>
          </cell>
          <cell r="BF68">
            <v>13</v>
          </cell>
          <cell r="BG68">
            <v>14</v>
          </cell>
          <cell r="BH68">
            <v>6</v>
          </cell>
          <cell r="BI68">
            <v>-1.69432512304</v>
          </cell>
          <cell r="BJ68">
            <v>-0.57325427579999999</v>
          </cell>
          <cell r="BK68">
            <v>6.8394167132250341E-2</v>
          </cell>
          <cell r="BL68">
            <v>1.7098541783062585E-2</v>
          </cell>
          <cell r="BM68">
            <v>3.4197083566125169E-3</v>
          </cell>
          <cell r="BN68">
            <v>6.8394167132250341E-2</v>
          </cell>
          <cell r="BO68">
            <v>5.471533370580027E-2</v>
          </cell>
          <cell r="BQ68">
            <v>-1.69432512304</v>
          </cell>
          <cell r="BS68">
            <v>2.69</v>
          </cell>
          <cell r="BT68">
            <v>0</v>
          </cell>
          <cell r="BW68">
            <v>1.69</v>
          </cell>
          <cell r="BY68">
            <v>0</v>
          </cell>
          <cell r="BZ68">
            <v>6</v>
          </cell>
          <cell r="CA68">
            <v>0</v>
          </cell>
          <cell r="CB68">
            <v>-8</v>
          </cell>
          <cell r="CC68">
            <v>0.34904350646296506</v>
          </cell>
          <cell r="CD68">
            <v>1</v>
          </cell>
          <cell r="CE68">
            <v>9.7973699361038301E-3</v>
          </cell>
          <cell r="CF68">
            <v>5.471533370580027E-2</v>
          </cell>
          <cell r="CG68">
            <v>308</v>
          </cell>
          <cell r="CH68">
            <v>0</v>
          </cell>
          <cell r="CI68">
            <v>0</v>
          </cell>
          <cell r="CJ68">
            <v>0</v>
          </cell>
          <cell r="CK68">
            <v>3.0510558834737145</v>
          </cell>
          <cell r="CL68">
            <v>4.3821695170780339</v>
          </cell>
          <cell r="CM68">
            <v>4.6869073450032204</v>
          </cell>
          <cell r="CN68">
            <v>3.5741923774954634</v>
          </cell>
          <cell r="CO68">
            <v>2</v>
          </cell>
          <cell r="CP68">
            <v>3</v>
          </cell>
          <cell r="CQ68">
            <v>4</v>
          </cell>
          <cell r="CR68">
            <v>4</v>
          </cell>
          <cell r="CS68">
            <v>281</v>
          </cell>
          <cell r="CT68">
            <v>309.69432512305042</v>
          </cell>
        </row>
        <row r="69">
          <cell r="B69" t="str">
            <v>A01M412</v>
          </cell>
          <cell r="C69" t="str">
            <v>OTR</v>
          </cell>
          <cell r="D69">
            <v>0</v>
          </cell>
          <cell r="E69">
            <v>0</v>
          </cell>
          <cell r="F69">
            <v>0</v>
          </cell>
          <cell r="G69">
            <v>0</v>
          </cell>
          <cell r="H69">
            <v>1.891</v>
          </cell>
          <cell r="I69">
            <v>10.689</v>
          </cell>
          <cell r="J69">
            <v>20.571999999999999</v>
          </cell>
          <cell r="K69">
            <v>22.791</v>
          </cell>
          <cell r="L69">
            <v>3.8340000000000001</v>
          </cell>
          <cell r="M69">
            <v>18.406999999999996</v>
          </cell>
          <cell r="N69">
            <v>0.10800000000000001</v>
          </cell>
          <cell r="O69">
            <v>1.4080000000000001</v>
          </cell>
          <cell r="P69">
            <v>79.7</v>
          </cell>
          <cell r="Q69">
            <v>0</v>
          </cell>
          <cell r="R69">
            <v>0</v>
          </cell>
          <cell r="S69">
            <v>0</v>
          </cell>
          <cell r="T69">
            <v>0</v>
          </cell>
          <cell r="U69">
            <v>0</v>
          </cell>
          <cell r="V69">
            <v>0</v>
          </cell>
          <cell r="W69">
            <v>0</v>
          </cell>
          <cell r="X69">
            <v>44.033000000000001</v>
          </cell>
          <cell r="Y69">
            <v>29.659999999999997</v>
          </cell>
          <cell r="Z69">
            <v>2.871</v>
          </cell>
          <cell r="AA69">
            <v>0.93800000000000006</v>
          </cell>
          <cell r="AB69">
            <v>1.149</v>
          </cell>
          <cell r="AC69">
            <v>78.650999999999996</v>
          </cell>
          <cell r="AD69">
            <v>0</v>
          </cell>
          <cell r="AE69">
            <v>0</v>
          </cell>
          <cell r="AF69">
            <v>2.4</v>
          </cell>
          <cell r="AG69">
            <v>2.2999999999999998</v>
          </cell>
          <cell r="AH69">
            <v>3.1</v>
          </cell>
          <cell r="AI69">
            <v>11.6</v>
          </cell>
          <cell r="AJ69">
            <v>10.199999999999999</v>
          </cell>
          <cell r="AK69">
            <v>149.5</v>
          </cell>
          <cell r="AL69">
            <v>2.2000000000000002</v>
          </cell>
          <cell r="AM69">
            <v>538.70000000000005</v>
          </cell>
          <cell r="AN69">
            <v>17.600000000000001</v>
          </cell>
          <cell r="AO69">
            <v>28.5</v>
          </cell>
          <cell r="AP69">
            <v>766.1</v>
          </cell>
          <cell r="AQ69">
            <v>0</v>
          </cell>
          <cell r="AR69">
            <v>0</v>
          </cell>
          <cell r="AS69">
            <v>1</v>
          </cell>
          <cell r="AT69">
            <v>1</v>
          </cell>
          <cell r="AU69">
            <v>5</v>
          </cell>
          <cell r="AV69">
            <v>2</v>
          </cell>
          <cell r="AW69">
            <v>3</v>
          </cell>
          <cell r="AX69">
            <v>155.9</v>
          </cell>
          <cell r="AY69">
            <v>12</v>
          </cell>
          <cell r="AZ69">
            <v>532.20000000000005</v>
          </cell>
          <cell r="BA69">
            <v>8</v>
          </cell>
          <cell r="BB69">
            <v>25</v>
          </cell>
          <cell r="BC69">
            <v>745.1</v>
          </cell>
          <cell r="BD69">
            <v>33.152000000000001</v>
          </cell>
          <cell r="BE69">
            <v>0</v>
          </cell>
          <cell r="BF69">
            <v>29.599999999999998</v>
          </cell>
          <cell r="BG69">
            <v>12</v>
          </cell>
          <cell r="BH69">
            <v>7</v>
          </cell>
          <cell r="BI69">
            <v>-1.4480550376000001</v>
          </cell>
          <cell r="BJ69">
            <v>-0.66879665509999997</v>
          </cell>
          <cell r="BK69">
            <v>0.38215194293410493</v>
          </cell>
          <cell r="BL69">
            <v>0.15895986464430922</v>
          </cell>
          <cell r="BM69">
            <v>0</v>
          </cell>
          <cell r="BN69">
            <v>0.38215194293410493</v>
          </cell>
          <cell r="BO69">
            <v>0.37712211372283921</v>
          </cell>
          <cell r="BQ69">
            <v>-1.4480550376000001</v>
          </cell>
          <cell r="BS69">
            <v>-16.149999999999999</v>
          </cell>
          <cell r="BT69">
            <v>0</v>
          </cell>
          <cell r="BX69">
            <v>-19.55</v>
          </cell>
          <cell r="BY69">
            <v>0</v>
          </cell>
          <cell r="BZ69">
            <v>7</v>
          </cell>
          <cell r="CA69">
            <v>0</v>
          </cell>
          <cell r="CB69">
            <v>-5</v>
          </cell>
          <cell r="CC69">
            <v>0.52895998461554139</v>
          </cell>
          <cell r="CD69">
            <v>1</v>
          </cell>
          <cell r="CE69">
            <v>0</v>
          </cell>
          <cell r="CF69">
            <v>0.37712211372283921</v>
          </cell>
          <cell r="CG69">
            <v>766.1</v>
          </cell>
          <cell r="CH69">
            <v>0</v>
          </cell>
          <cell r="CI69">
            <v>0</v>
          </cell>
          <cell r="CJ69">
            <v>1.0746273076436079</v>
          </cell>
          <cell r="CK69">
            <v>1.0896628155263266</v>
          </cell>
          <cell r="CL69">
            <v>5.4777118963475422</v>
          </cell>
          <cell r="CM69">
            <v>2.2318606404777239</v>
          </cell>
          <cell r="CN69">
            <v>3.5741923774954634</v>
          </cell>
          <cell r="CO69">
            <v>155.9</v>
          </cell>
          <cell r="CP69">
            <v>12</v>
          </cell>
          <cell r="CQ69">
            <v>532.20000000000005</v>
          </cell>
          <cell r="CR69">
            <v>8</v>
          </cell>
          <cell r="CS69">
            <v>25</v>
          </cell>
          <cell r="CT69">
            <v>746.54805503749071</v>
          </cell>
        </row>
        <row r="70">
          <cell r="B70" t="str">
            <v>A01M415</v>
          </cell>
          <cell r="C70" t="str">
            <v>PRI</v>
          </cell>
          <cell r="D70">
            <v>0</v>
          </cell>
          <cell r="E70">
            <v>0</v>
          </cell>
          <cell r="F70">
            <v>0</v>
          </cell>
          <cell r="G70">
            <v>0</v>
          </cell>
          <cell r="H70">
            <v>0</v>
          </cell>
          <cell r="I70">
            <v>0</v>
          </cell>
          <cell r="J70">
            <v>0</v>
          </cell>
          <cell r="K70">
            <v>100</v>
          </cell>
          <cell r="L70">
            <v>0</v>
          </cell>
          <cell r="M70">
            <v>0</v>
          </cell>
          <cell r="N70">
            <v>0</v>
          </cell>
          <cell r="O70">
            <v>0</v>
          </cell>
          <cell r="P70">
            <v>100</v>
          </cell>
          <cell r="Q70">
            <v>0</v>
          </cell>
          <cell r="R70">
            <v>0</v>
          </cell>
          <cell r="S70">
            <v>0</v>
          </cell>
          <cell r="T70">
            <v>0</v>
          </cell>
          <cell r="U70">
            <v>0</v>
          </cell>
          <cell r="V70">
            <v>0</v>
          </cell>
          <cell r="W70">
            <v>0</v>
          </cell>
          <cell r="X70">
            <v>100</v>
          </cell>
          <cell r="Y70">
            <v>0</v>
          </cell>
          <cell r="Z70">
            <v>0</v>
          </cell>
          <cell r="AA70">
            <v>0</v>
          </cell>
          <cell r="AB70">
            <v>0</v>
          </cell>
          <cell r="AC70">
            <v>100</v>
          </cell>
          <cell r="AD70">
            <v>0</v>
          </cell>
          <cell r="AE70">
            <v>0</v>
          </cell>
          <cell r="AF70">
            <v>0</v>
          </cell>
          <cell r="AG70">
            <v>0</v>
          </cell>
          <cell r="AH70">
            <v>0</v>
          </cell>
          <cell r="AI70">
            <v>0</v>
          </cell>
          <cell r="AJ70">
            <v>0</v>
          </cell>
          <cell r="AK70">
            <v>1000</v>
          </cell>
          <cell r="AL70">
            <v>4</v>
          </cell>
          <cell r="AM70">
            <v>0</v>
          </cell>
          <cell r="AN70">
            <v>0</v>
          </cell>
          <cell r="AO70">
            <v>0</v>
          </cell>
          <cell r="AP70">
            <v>1004</v>
          </cell>
          <cell r="AQ70">
            <v>0</v>
          </cell>
          <cell r="AR70">
            <v>0</v>
          </cell>
          <cell r="AS70">
            <v>0</v>
          </cell>
          <cell r="AT70">
            <v>0</v>
          </cell>
          <cell r="AU70">
            <v>0</v>
          </cell>
          <cell r="AV70">
            <v>0</v>
          </cell>
          <cell r="AW70">
            <v>0</v>
          </cell>
          <cell r="AX70">
            <v>1000</v>
          </cell>
          <cell r="AY70">
            <v>4</v>
          </cell>
          <cell r="AZ70">
            <v>0</v>
          </cell>
          <cell r="BA70">
            <v>0</v>
          </cell>
          <cell r="BB70">
            <v>0</v>
          </cell>
          <cell r="BC70">
            <v>1004</v>
          </cell>
          <cell r="BD70">
            <v>0</v>
          </cell>
          <cell r="BE70">
            <v>0</v>
          </cell>
          <cell r="BF70">
            <v>0</v>
          </cell>
          <cell r="BG70">
            <v>0</v>
          </cell>
          <cell r="BH70">
            <v>0</v>
          </cell>
          <cell r="BI70">
            <v>0</v>
          </cell>
          <cell r="BJ70">
            <v>0</v>
          </cell>
          <cell r="BK70">
            <v>4.1979779795148713E-2</v>
          </cell>
          <cell r="BL70">
            <v>0</v>
          </cell>
          <cell r="BM70">
            <v>0</v>
          </cell>
          <cell r="BN70">
            <v>4.1979779795148706E-2</v>
          </cell>
          <cell r="BO70">
            <v>4.1979779795148706E-2</v>
          </cell>
          <cell r="BQ70">
            <v>0</v>
          </cell>
          <cell r="BT70">
            <v>0</v>
          </cell>
          <cell r="BY70">
            <v>0</v>
          </cell>
          <cell r="BZ70">
            <v>0</v>
          </cell>
          <cell r="CA70">
            <v>0</v>
          </cell>
          <cell r="CB70">
            <v>0</v>
          </cell>
          <cell r="CC70">
            <v>0.59007388048636522</v>
          </cell>
          <cell r="CD70">
            <v>1</v>
          </cell>
          <cell r="CE70">
            <v>0</v>
          </cell>
          <cell r="CF70">
            <v>4.1979779795148706E-2</v>
          </cell>
          <cell r="CG70">
            <v>1004</v>
          </cell>
          <cell r="CH70">
            <v>0</v>
          </cell>
          <cell r="CI70">
            <v>0</v>
          </cell>
          <cell r="CJ70">
            <v>0</v>
          </cell>
          <cell r="CK70">
            <v>0</v>
          </cell>
          <cell r="CL70">
            <v>0</v>
          </cell>
          <cell r="CM70">
            <v>0</v>
          </cell>
          <cell r="CN70">
            <v>0</v>
          </cell>
          <cell r="CO70">
            <v>1000</v>
          </cell>
          <cell r="CP70">
            <v>4</v>
          </cell>
          <cell r="CQ70">
            <v>0</v>
          </cell>
          <cell r="CR70">
            <v>0</v>
          </cell>
          <cell r="CS70">
            <v>0</v>
          </cell>
          <cell r="CT70">
            <v>1004</v>
          </cell>
        </row>
        <row r="71">
          <cell r="B71" t="str">
            <v>A01M416</v>
          </cell>
          <cell r="C71" t="str">
            <v>PRI</v>
          </cell>
          <cell r="D71">
            <v>0</v>
          </cell>
          <cell r="E71">
            <v>0</v>
          </cell>
          <cell r="F71">
            <v>34.679066000000006</v>
          </cell>
          <cell r="G71">
            <v>38.685524999999998</v>
          </cell>
          <cell r="H71">
            <v>14.308263</v>
          </cell>
          <cell r="I71">
            <v>0</v>
          </cell>
          <cell r="J71">
            <v>0</v>
          </cell>
          <cell r="K71">
            <v>0</v>
          </cell>
          <cell r="L71">
            <v>0</v>
          </cell>
          <cell r="M71">
            <v>3.8538540000000006</v>
          </cell>
          <cell r="N71">
            <v>4.937812000000001</v>
          </cell>
          <cell r="O71">
            <v>3.5354800000000006</v>
          </cell>
          <cell r="P71">
            <v>100</v>
          </cell>
          <cell r="Q71">
            <v>0</v>
          </cell>
          <cell r="R71">
            <v>0</v>
          </cell>
          <cell r="S71">
            <v>40.846282000000002</v>
          </cell>
          <cell r="T71">
            <v>23.168048000000002</v>
          </cell>
          <cell r="U71">
            <v>8.1423899999999989</v>
          </cell>
          <cell r="V71">
            <v>8.1912979999999997</v>
          </cell>
          <cell r="W71">
            <v>0.48746400000000001</v>
          </cell>
          <cell r="X71">
            <v>1.4023320000000001</v>
          </cell>
          <cell r="Y71">
            <v>0</v>
          </cell>
          <cell r="Z71">
            <v>6.3280140000000014</v>
          </cell>
          <cell r="AA71">
            <v>10.372852</v>
          </cell>
          <cell r="AB71">
            <v>1.06132</v>
          </cell>
          <cell r="AC71">
            <v>100</v>
          </cell>
          <cell r="AD71">
            <v>0</v>
          </cell>
          <cell r="AE71">
            <v>0</v>
          </cell>
          <cell r="AF71">
            <v>152.26999999999998</v>
          </cell>
          <cell r="AG71">
            <v>562.91999999999996</v>
          </cell>
          <cell r="AH71">
            <v>333.8</v>
          </cell>
          <cell r="AI71">
            <v>130.29</v>
          </cell>
          <cell r="AJ71">
            <v>16.98</v>
          </cell>
          <cell r="AK71">
            <v>16.98</v>
          </cell>
          <cell r="AL71">
            <v>210.89</v>
          </cell>
          <cell r="AM71">
            <v>331.13</v>
          </cell>
          <cell r="AN71">
            <v>432.58000000000004</v>
          </cell>
          <cell r="AO71">
            <v>396.16</v>
          </cell>
          <cell r="AP71">
            <v>2584</v>
          </cell>
          <cell r="AQ71">
            <v>0</v>
          </cell>
          <cell r="AR71">
            <v>0</v>
          </cell>
          <cell r="AS71">
            <v>380</v>
          </cell>
          <cell r="AT71">
            <v>186</v>
          </cell>
          <cell r="AU71">
            <v>208</v>
          </cell>
          <cell r="AV71">
            <v>48</v>
          </cell>
          <cell r="AW71">
            <v>19</v>
          </cell>
          <cell r="AX71">
            <v>91</v>
          </cell>
          <cell r="AY71">
            <v>55</v>
          </cell>
          <cell r="AZ71">
            <v>113</v>
          </cell>
          <cell r="BA71">
            <v>614</v>
          </cell>
          <cell r="BB71">
            <v>424</v>
          </cell>
          <cell r="BC71">
            <v>2138</v>
          </cell>
          <cell r="BD71">
            <v>87.672854000000001</v>
          </cell>
          <cell r="BE71">
            <v>80.835482000000013</v>
          </cell>
          <cell r="BF71">
            <v>1196.2599999999998</v>
          </cell>
          <cell r="BG71">
            <v>841</v>
          </cell>
          <cell r="BH71">
            <v>526</v>
          </cell>
          <cell r="BI71">
            <v>-74.109682559799992</v>
          </cell>
          <cell r="BJ71">
            <v>-43.812461449399997</v>
          </cell>
          <cell r="BK71">
            <v>0.10804357668392855</v>
          </cell>
          <cell r="BL71">
            <v>9.4724887242478725E-2</v>
          </cell>
          <cell r="BM71">
            <v>8.7337545982493284E-2</v>
          </cell>
          <cell r="BN71">
            <v>0.10804357668392855</v>
          </cell>
          <cell r="BO71">
            <v>0.10804357668392855</v>
          </cell>
          <cell r="BP71">
            <v>-155</v>
          </cell>
          <cell r="BQ71">
            <v>-74.109682559799992</v>
          </cell>
          <cell r="BS71">
            <v>-126.15</v>
          </cell>
          <cell r="BT71">
            <v>0</v>
          </cell>
          <cell r="BX71">
            <v>-371.89</v>
          </cell>
          <cell r="BY71">
            <v>0</v>
          </cell>
          <cell r="BZ71">
            <v>526</v>
          </cell>
          <cell r="CA71">
            <v>0</v>
          </cell>
          <cell r="CB71">
            <v>-315</v>
          </cell>
          <cell r="CC71">
            <v>0.59007388048636522</v>
          </cell>
          <cell r="CD71">
            <v>1</v>
          </cell>
          <cell r="CE71">
            <v>0.1480112048181251</v>
          </cell>
          <cell r="CF71">
            <v>0.10804357668392855</v>
          </cell>
          <cell r="CG71">
            <v>2584</v>
          </cell>
          <cell r="CH71">
            <v>0</v>
          </cell>
          <cell r="CI71">
            <v>0</v>
          </cell>
          <cell r="CJ71">
            <v>408.358376904571</v>
          </cell>
          <cell r="CK71">
            <v>202.67728368789676</v>
          </cell>
          <cell r="CL71">
            <v>227.87281488805777</v>
          </cell>
          <cell r="CM71">
            <v>53.564655371465378</v>
          </cell>
          <cell r="CN71">
            <v>22.636551724137934</v>
          </cell>
          <cell r="CO71">
            <v>91</v>
          </cell>
          <cell r="CP71">
            <v>55</v>
          </cell>
          <cell r="CQ71">
            <v>113</v>
          </cell>
          <cell r="CR71">
            <v>614</v>
          </cell>
          <cell r="CS71">
            <v>424</v>
          </cell>
          <cell r="CT71">
            <v>2212.1096825761288</v>
          </cell>
        </row>
        <row r="72">
          <cell r="B72" t="str">
            <v>A99M101</v>
          </cell>
          <cell r="C72" t="str">
            <v>DIV</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T72">
            <v>0</v>
          </cell>
          <cell r="BY72">
            <v>0</v>
          </cell>
          <cell r="BZ72">
            <v>0</v>
          </cell>
          <cell r="CA72">
            <v>0</v>
          </cell>
          <cell r="CB72">
            <v>0</v>
          </cell>
          <cell r="CC72">
            <v>0.34904350646296506</v>
          </cell>
          <cell r="CD72">
            <v>1</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row>
        <row r="73">
          <cell r="B73" t="str">
            <v>A99M102</v>
          </cell>
          <cell r="C73" t="str">
            <v>DIV</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T73">
            <v>0</v>
          </cell>
          <cell r="BY73">
            <v>0</v>
          </cell>
          <cell r="BZ73">
            <v>0</v>
          </cell>
          <cell r="CA73">
            <v>0</v>
          </cell>
          <cell r="CB73">
            <v>0</v>
          </cell>
          <cell r="CC73">
            <v>0.34904350646296506</v>
          </cell>
          <cell r="CD73">
            <v>1</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row>
        <row r="74">
          <cell r="B74" t="str">
            <v>A99M103</v>
          </cell>
          <cell r="C74" t="str">
            <v>DIV</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T74">
            <v>0</v>
          </cell>
          <cell r="BY74">
            <v>0</v>
          </cell>
          <cell r="BZ74">
            <v>0</v>
          </cell>
          <cell r="CA74">
            <v>0</v>
          </cell>
          <cell r="CB74">
            <v>0</v>
          </cell>
          <cell r="CC74">
            <v>0.34904350646296506</v>
          </cell>
          <cell r="CD74">
            <v>1</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row>
        <row r="75">
          <cell r="B75" t="str">
            <v>A99M301</v>
          </cell>
          <cell r="C75" t="str">
            <v>DIV</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T75">
            <v>0</v>
          </cell>
          <cell r="BY75">
            <v>0</v>
          </cell>
          <cell r="BZ75">
            <v>0</v>
          </cell>
          <cell r="CA75">
            <v>0</v>
          </cell>
          <cell r="CB75">
            <v>0</v>
          </cell>
          <cell r="CC75">
            <v>0.34904350646296506</v>
          </cell>
          <cell r="CD75">
            <v>1</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row>
        <row r="76">
          <cell r="B76" t="str">
            <v>A99M302</v>
          </cell>
          <cell r="C76" t="str">
            <v>DIV</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T76">
            <v>0</v>
          </cell>
          <cell r="BY76">
            <v>0</v>
          </cell>
          <cell r="BZ76">
            <v>0</v>
          </cell>
          <cell r="CA76">
            <v>0</v>
          </cell>
          <cell r="CB76">
            <v>0</v>
          </cell>
          <cell r="CC76">
            <v>0.34904350646296506</v>
          </cell>
          <cell r="CD76">
            <v>1</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row>
        <row r="77">
          <cell r="B77" t="str">
            <v>A99M304</v>
          </cell>
          <cell r="C77" t="str">
            <v>DIV</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T77">
            <v>0</v>
          </cell>
          <cell r="BY77">
            <v>0</v>
          </cell>
          <cell r="BZ77">
            <v>0</v>
          </cell>
          <cell r="CA77">
            <v>0</v>
          </cell>
          <cell r="CB77">
            <v>0</v>
          </cell>
          <cell r="CC77">
            <v>0.34904350646296506</v>
          </cell>
          <cell r="CD77">
            <v>1</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row>
        <row r="78">
          <cell r="B78" t="str">
            <v>A99M305</v>
          </cell>
          <cell r="C78" t="str">
            <v>DIV</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T78">
            <v>0</v>
          </cell>
          <cell r="BY78">
            <v>0</v>
          </cell>
          <cell r="BZ78">
            <v>0</v>
          </cell>
          <cell r="CA78">
            <v>0</v>
          </cell>
          <cell r="CB78">
            <v>0</v>
          </cell>
          <cell r="CC78">
            <v>0.34904350646296506</v>
          </cell>
          <cell r="CD78">
            <v>1</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row>
        <row r="79">
          <cell r="B79" t="str">
            <v>A99M306</v>
          </cell>
          <cell r="C79" t="str">
            <v>DIV</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T79">
            <v>0</v>
          </cell>
          <cell r="BY79">
            <v>0</v>
          </cell>
          <cell r="BZ79">
            <v>0</v>
          </cell>
          <cell r="CA79">
            <v>0</v>
          </cell>
          <cell r="CB79">
            <v>0</v>
          </cell>
          <cell r="CC79">
            <v>0.34904350646296506</v>
          </cell>
          <cell r="CD79">
            <v>1</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row>
        <row r="80">
          <cell r="B80" t="str">
            <v>A99M307</v>
          </cell>
          <cell r="C80" t="str">
            <v>DIV</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T80">
            <v>0</v>
          </cell>
          <cell r="BY80">
            <v>0</v>
          </cell>
          <cell r="BZ80">
            <v>0</v>
          </cell>
          <cell r="CA80">
            <v>0</v>
          </cell>
          <cell r="CB80">
            <v>0</v>
          </cell>
          <cell r="CC80">
            <v>0.34904350646296506</v>
          </cell>
          <cell r="CD80">
            <v>1</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row>
        <row r="81">
          <cell r="B81" t="str">
            <v>A99M309</v>
          </cell>
          <cell r="C81" t="str">
            <v>DIV</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T81">
            <v>0</v>
          </cell>
          <cell r="BY81">
            <v>0</v>
          </cell>
          <cell r="BZ81">
            <v>0</v>
          </cell>
          <cell r="CA81">
            <v>0</v>
          </cell>
          <cell r="CB81">
            <v>0</v>
          </cell>
          <cell r="CC81">
            <v>0.34904350646296506</v>
          </cell>
          <cell r="CD81">
            <v>1</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row>
        <row r="82">
          <cell r="B82" t="str">
            <v>A99M310</v>
          </cell>
          <cell r="C82" t="str">
            <v>DIV</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T82">
            <v>0</v>
          </cell>
          <cell r="BY82">
            <v>0</v>
          </cell>
          <cell r="BZ82">
            <v>0</v>
          </cell>
          <cell r="CA82">
            <v>0</v>
          </cell>
          <cell r="CB82">
            <v>0</v>
          </cell>
          <cell r="CC82">
            <v>0.34904350646296506</v>
          </cell>
          <cell r="CD82">
            <v>1</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row>
        <row r="83">
          <cell r="B83" t="str">
            <v>A99M312</v>
          </cell>
          <cell r="C83" t="str">
            <v>DIV</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T83">
            <v>0</v>
          </cell>
          <cell r="BY83">
            <v>0</v>
          </cell>
          <cell r="BZ83">
            <v>0</v>
          </cell>
          <cell r="CA83">
            <v>0</v>
          </cell>
          <cell r="CB83">
            <v>0</v>
          </cell>
          <cell r="CC83">
            <v>0.34904350646296506</v>
          </cell>
          <cell r="CD83">
            <v>1</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row>
        <row r="84">
          <cell r="B84" t="str">
            <v>A99M314</v>
          </cell>
          <cell r="C84" t="str">
            <v>DIV</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T84">
            <v>0</v>
          </cell>
          <cell r="BY84">
            <v>0</v>
          </cell>
          <cell r="BZ84">
            <v>0</v>
          </cell>
          <cell r="CA84">
            <v>0</v>
          </cell>
          <cell r="CB84">
            <v>0</v>
          </cell>
          <cell r="CC84">
            <v>0.34904350646296506</v>
          </cell>
          <cell r="CD84">
            <v>1</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row>
        <row r="85">
          <cell r="B85" t="str">
            <v>981002-1</v>
          </cell>
          <cell r="C85" t="str">
            <v>OTR</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T85">
            <v>0</v>
          </cell>
          <cell r="BY85">
            <v>0</v>
          </cell>
          <cell r="BZ85">
            <v>0</v>
          </cell>
          <cell r="CA85">
            <v>0</v>
          </cell>
          <cell r="CB85">
            <v>0</v>
          </cell>
          <cell r="CC85">
            <v>0.52895998461554139</v>
          </cell>
          <cell r="CD85">
            <v>1</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row>
        <row r="86">
          <cell r="B86" t="str">
            <v>981501-1</v>
          </cell>
          <cell r="C86" t="str">
            <v>PRI</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T86">
            <v>0</v>
          </cell>
          <cell r="BY86">
            <v>0</v>
          </cell>
          <cell r="BZ86">
            <v>0</v>
          </cell>
          <cell r="CA86">
            <v>0</v>
          </cell>
          <cell r="CB86">
            <v>0</v>
          </cell>
          <cell r="CC86">
            <v>0.59007388048636522</v>
          </cell>
          <cell r="CD86">
            <v>1</v>
          </cell>
          <cell r="CE86">
            <v>0</v>
          </cell>
          <cell r="CF86">
            <v>0</v>
          </cell>
          <cell r="CG86">
            <v>0</v>
          </cell>
          <cell r="CH86">
            <v>0</v>
          </cell>
          <cell r="CI86">
            <v>0</v>
          </cell>
          <cell r="CJ86">
            <v>0</v>
          </cell>
          <cell r="CK86">
            <v>0</v>
          </cell>
          <cell r="CL86">
            <v>0</v>
          </cell>
          <cell r="CM86">
            <v>0</v>
          </cell>
          <cell r="CN86">
            <v>0</v>
          </cell>
          <cell r="CO86">
            <v>0</v>
          </cell>
          <cell r="CP86">
            <v>0</v>
          </cell>
          <cell r="CQ86">
            <v>0</v>
          </cell>
          <cell r="CR86">
            <v>0</v>
          </cell>
          <cell r="CS86">
            <v>0</v>
          </cell>
          <cell r="CT86">
            <v>0</v>
          </cell>
        </row>
        <row r="87">
          <cell r="B87" t="str">
            <v>981501-2</v>
          </cell>
          <cell r="C87" t="str">
            <v>PRI</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T87">
            <v>0</v>
          </cell>
          <cell r="BY87">
            <v>0</v>
          </cell>
          <cell r="BZ87">
            <v>0</v>
          </cell>
          <cell r="CA87">
            <v>0</v>
          </cell>
          <cell r="CB87">
            <v>0</v>
          </cell>
          <cell r="CC87">
            <v>0.59007388048636522</v>
          </cell>
          <cell r="CD87">
            <v>1</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row>
        <row r="89">
          <cell r="CT89">
            <v>37036.617102357253</v>
          </cell>
        </row>
        <row r="112">
          <cell r="B112" t="str">
            <v>PRI</v>
          </cell>
          <cell r="AD112">
            <v>135.08600000000001</v>
          </cell>
          <cell r="AE112">
            <v>1105.25</v>
          </cell>
          <cell r="AF112">
            <v>2842.21</v>
          </cell>
          <cell r="AG112">
            <v>5575.92</v>
          </cell>
          <cell r="AH112">
            <v>443.8</v>
          </cell>
          <cell r="AI112">
            <v>1260.29</v>
          </cell>
          <cell r="AJ112">
            <v>1119.98</v>
          </cell>
          <cell r="AK112">
            <v>2091.98</v>
          </cell>
          <cell r="AL112">
            <v>1316.8899999999999</v>
          </cell>
          <cell r="AM112">
            <v>2279.13</v>
          </cell>
          <cell r="AN112">
            <v>2485.58</v>
          </cell>
          <cell r="AO112">
            <v>3260.16</v>
          </cell>
          <cell r="AP112">
            <v>23916.275999999998</v>
          </cell>
          <cell r="AQ112">
            <v>129</v>
          </cell>
          <cell r="AR112">
            <v>1069</v>
          </cell>
          <cell r="AS112">
            <v>2906.3999999999996</v>
          </cell>
          <cell r="AT112">
            <v>5875</v>
          </cell>
          <cell r="AU112">
            <v>291</v>
          </cell>
          <cell r="AV112">
            <v>857.78</v>
          </cell>
          <cell r="AW112">
            <v>611</v>
          </cell>
          <cell r="AX112">
            <v>2396</v>
          </cell>
          <cell r="AY112">
            <v>1446</v>
          </cell>
          <cell r="AZ112">
            <v>2259</v>
          </cell>
          <cell r="BA112">
            <v>2828</v>
          </cell>
          <cell r="BB112">
            <v>2048</v>
          </cell>
          <cell r="BC112">
            <v>22716.18</v>
          </cell>
          <cell r="BD112">
            <v>0.59007388048636522</v>
          </cell>
          <cell r="BE112">
            <v>0.56842171214819315</v>
          </cell>
          <cell r="BF112">
            <v>12482.536</v>
          </cell>
          <cell r="BG112">
            <v>11739.18</v>
          </cell>
          <cell r="BH112">
            <v>7781</v>
          </cell>
          <cell r="BI112">
            <v>-779.63811515368604</v>
          </cell>
          <cell r="BJ112">
            <v>-412.01145778910006</v>
          </cell>
          <cell r="BK112">
            <v>0.6373580231831909</v>
          </cell>
          <cell r="BL112">
            <v>0.59007388048636522</v>
          </cell>
          <cell r="BM112">
            <v>0.56842171214819315</v>
          </cell>
          <cell r="BN112">
            <v>1</v>
          </cell>
          <cell r="BO112">
            <v>1.0289329060153773</v>
          </cell>
          <cell r="BP112">
            <v>-809.05</v>
          </cell>
          <cell r="BQ112">
            <v>-779.63811515368604</v>
          </cell>
          <cell r="BR112">
            <v>0</v>
          </cell>
          <cell r="BS112">
            <v>845.33</v>
          </cell>
          <cell r="BT112">
            <v>0</v>
          </cell>
          <cell r="BU112">
            <v>0</v>
          </cell>
          <cell r="BV112">
            <v>0</v>
          </cell>
          <cell r="BW112">
            <v>1182.48</v>
          </cell>
          <cell r="BX112">
            <v>-1602.94</v>
          </cell>
          <cell r="BY112">
            <v>0</v>
          </cell>
          <cell r="BZ112">
            <v>7781</v>
          </cell>
          <cell r="CA112">
            <v>0</v>
          </cell>
          <cell r="CB112">
            <v>-3958.1800000000003</v>
          </cell>
        </row>
        <row r="113">
          <cell r="B113" t="str">
            <v>EXT</v>
          </cell>
          <cell r="AD113">
            <v>0</v>
          </cell>
          <cell r="AE113">
            <v>0</v>
          </cell>
          <cell r="AF113">
            <v>0</v>
          </cell>
          <cell r="AG113">
            <v>0</v>
          </cell>
          <cell r="AH113">
            <v>0</v>
          </cell>
          <cell r="AI113">
            <v>0</v>
          </cell>
          <cell r="AJ113">
            <v>0</v>
          </cell>
          <cell r="AK113">
            <v>277</v>
          </cell>
          <cell r="AL113">
            <v>1367.3000000000002</v>
          </cell>
          <cell r="AM113">
            <v>1707.7</v>
          </cell>
          <cell r="AN113">
            <v>1766.9</v>
          </cell>
          <cell r="AO113">
            <v>1980.9</v>
          </cell>
          <cell r="AP113">
            <v>7099.8</v>
          </cell>
          <cell r="AQ113">
            <v>0</v>
          </cell>
          <cell r="AR113">
            <v>0</v>
          </cell>
          <cell r="AS113">
            <v>0</v>
          </cell>
          <cell r="AT113">
            <v>0</v>
          </cell>
          <cell r="AU113">
            <v>0</v>
          </cell>
          <cell r="AV113">
            <v>0</v>
          </cell>
          <cell r="AW113">
            <v>0</v>
          </cell>
          <cell r="AX113">
            <v>277</v>
          </cell>
          <cell r="AY113">
            <v>1367.3000000000002</v>
          </cell>
          <cell r="AZ113">
            <v>1707.7</v>
          </cell>
          <cell r="BA113">
            <v>1766.9</v>
          </cell>
          <cell r="BB113">
            <v>1980.9</v>
          </cell>
          <cell r="BC113">
            <v>7099.8</v>
          </cell>
          <cell r="BD113">
            <v>0</v>
          </cell>
          <cell r="BE113">
            <v>0</v>
          </cell>
          <cell r="BF113">
            <v>0</v>
          </cell>
          <cell r="BG113">
            <v>0</v>
          </cell>
          <cell r="BH113">
            <v>0</v>
          </cell>
          <cell r="BI113">
            <v>0</v>
          </cell>
          <cell r="BJ113">
            <v>0</v>
          </cell>
          <cell r="BK113">
            <v>0.18920648402769807</v>
          </cell>
          <cell r="BL113">
            <v>0</v>
          </cell>
          <cell r="BM113">
            <v>0</v>
          </cell>
          <cell r="BN113">
            <v>1</v>
          </cell>
          <cell r="BO113">
            <v>1</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row>
        <row r="114">
          <cell r="B114" t="str">
            <v>DIV</v>
          </cell>
          <cell r="AD114">
            <v>-71.5</v>
          </cell>
          <cell r="AE114">
            <v>82.1</v>
          </cell>
          <cell r="AF114">
            <v>301.3</v>
          </cell>
          <cell r="AG114">
            <v>258.8</v>
          </cell>
          <cell r="AH114">
            <v>178.86399999999998</v>
          </cell>
          <cell r="AI114">
            <v>475.28400000000005</v>
          </cell>
          <cell r="AJ114">
            <v>249.06</v>
          </cell>
          <cell r="AK114">
            <v>412.97899999999993</v>
          </cell>
          <cell r="AL114">
            <v>616.15699999999993</v>
          </cell>
          <cell r="AM114">
            <v>837.80700000000002</v>
          </cell>
          <cell r="AN114">
            <v>544.44000000000005</v>
          </cell>
          <cell r="AO114">
            <v>618.01700000000005</v>
          </cell>
          <cell r="AP114">
            <v>4503.308</v>
          </cell>
          <cell r="AQ114">
            <v>-68.349999999999994</v>
          </cell>
          <cell r="AR114">
            <v>79.349999999999994</v>
          </cell>
          <cell r="AS114">
            <v>300.48</v>
          </cell>
          <cell r="AT114">
            <v>206.96999999999997</v>
          </cell>
          <cell r="AU114">
            <v>224.2</v>
          </cell>
          <cell r="AV114">
            <v>347.8</v>
          </cell>
          <cell r="AW114">
            <v>138.74</v>
          </cell>
          <cell r="AX114">
            <v>534.89999999999986</v>
          </cell>
          <cell r="AY114">
            <v>604.00699999999995</v>
          </cell>
          <cell r="AZ114">
            <v>596.26400000000001</v>
          </cell>
          <cell r="BA114">
            <v>529.50700000000006</v>
          </cell>
          <cell r="BB114">
            <v>887.173</v>
          </cell>
          <cell r="BC114">
            <v>4381.0410000000002</v>
          </cell>
          <cell r="BD114">
            <v>0.34904350646296506</v>
          </cell>
          <cell r="BE114">
            <v>0.34515128705701897</v>
          </cell>
          <cell r="BF114">
            <v>1473.9079999999997</v>
          </cell>
          <cell r="BG114">
            <v>1229.19</v>
          </cell>
          <cell r="BH114">
            <v>602.39999999999986</v>
          </cell>
          <cell r="BI114">
            <v>-119.58638961307102</v>
          </cell>
          <cell r="BJ114">
            <v>-38.322242523509999</v>
          </cell>
          <cell r="BK114">
            <v>0.12001113738046212</v>
          </cell>
          <cell r="BL114">
            <v>0.34904350646296506</v>
          </cell>
          <cell r="BM114">
            <v>0.34515128705701897</v>
          </cell>
          <cell r="BN114">
            <v>1</v>
          </cell>
          <cell r="BO114">
            <v>0.98516265313028939</v>
          </cell>
          <cell r="BP114">
            <v>-70.53</v>
          </cell>
          <cell r="BQ114">
            <v>-119.58638961307102</v>
          </cell>
          <cell r="BR114">
            <v>-49.46</v>
          </cell>
          <cell r="BS114">
            <v>-5.129999999999999</v>
          </cell>
          <cell r="BT114">
            <v>0</v>
          </cell>
          <cell r="BU114">
            <v>-2.5300000000000002</v>
          </cell>
          <cell r="BV114">
            <v>-47.08</v>
          </cell>
          <cell r="BW114">
            <v>67.849999999999994</v>
          </cell>
          <cell r="BX114">
            <v>-20.91</v>
          </cell>
          <cell r="BY114">
            <v>0</v>
          </cell>
          <cell r="BZ114">
            <v>602.39999999999986</v>
          </cell>
          <cell r="CA114">
            <v>72.319999999999993</v>
          </cell>
          <cell r="CB114">
            <v>-699.1099999999999</v>
          </cell>
        </row>
        <row r="115">
          <cell r="B115" t="str">
            <v>OTR</v>
          </cell>
          <cell r="AD115">
            <v>-314.20000000000005</v>
          </cell>
          <cell r="AE115">
            <v>329.5</v>
          </cell>
          <cell r="AF115">
            <v>66.099999999999994</v>
          </cell>
          <cell r="AG115">
            <v>55.6</v>
          </cell>
          <cell r="AH115">
            <v>425.6</v>
          </cell>
          <cell r="AI115">
            <v>78.599999999999994</v>
          </cell>
          <cell r="AJ115">
            <v>67.900000000000006</v>
          </cell>
          <cell r="AK115">
            <v>153.6</v>
          </cell>
          <cell r="AL115">
            <v>6.3</v>
          </cell>
          <cell r="AM115">
            <v>551.40000000000009</v>
          </cell>
          <cell r="AN115">
            <v>502.30000000000007</v>
          </cell>
          <cell r="AO115">
            <v>82</v>
          </cell>
          <cell r="AP115">
            <v>2004.6999999999998</v>
          </cell>
          <cell r="AQ115">
            <v>-319.30000000000007</v>
          </cell>
          <cell r="AR115">
            <v>328.40000000000003</v>
          </cell>
          <cell r="AS115">
            <v>57.199999999999996</v>
          </cell>
          <cell r="AT115">
            <v>59.800000000000004</v>
          </cell>
          <cell r="AU115">
            <v>17.2</v>
          </cell>
          <cell r="AV115">
            <v>357.69999999999993</v>
          </cell>
          <cell r="AW115">
            <v>12.7</v>
          </cell>
          <cell r="AX115">
            <v>217.2</v>
          </cell>
          <cell r="AY115">
            <v>30.1</v>
          </cell>
          <cell r="AZ115">
            <v>537.40000000000009</v>
          </cell>
          <cell r="BA115">
            <v>31.8</v>
          </cell>
          <cell r="BB115">
            <v>548.80000000000007</v>
          </cell>
          <cell r="BC115">
            <v>1879</v>
          </cell>
          <cell r="BD115">
            <v>0.52895998461554139</v>
          </cell>
          <cell r="BE115">
            <v>0.38290290526416543</v>
          </cell>
          <cell r="BF115">
            <v>709.1</v>
          </cell>
          <cell r="BG115">
            <v>513.70000000000005</v>
          </cell>
          <cell r="BH115">
            <v>49.9</v>
          </cell>
          <cell r="BI115">
            <v>-61.371597333159997</v>
          </cell>
          <cell r="BJ115">
            <v>-4.1600910828700002</v>
          </cell>
          <cell r="BK115">
            <v>5.3424355408649017E-2</v>
          </cell>
          <cell r="BL115">
            <v>0.52895998461554139</v>
          </cell>
          <cell r="BM115">
            <v>0.38290290526416543</v>
          </cell>
          <cell r="BN115">
            <v>1</v>
          </cell>
          <cell r="BO115">
            <v>0.99497017078873451</v>
          </cell>
          <cell r="BP115">
            <v>-63.39</v>
          </cell>
          <cell r="BQ115">
            <v>-61.371597333159997</v>
          </cell>
          <cell r="BR115">
            <v>-19</v>
          </cell>
          <cell r="BS115">
            <v>-51.62</v>
          </cell>
          <cell r="BT115">
            <v>0</v>
          </cell>
          <cell r="BU115">
            <v>0</v>
          </cell>
          <cell r="BV115">
            <v>-19</v>
          </cell>
          <cell r="BW115">
            <v>29.38</v>
          </cell>
          <cell r="BX115">
            <v>-74.69</v>
          </cell>
          <cell r="BY115">
            <v>0</v>
          </cell>
          <cell r="BZ115">
            <v>49.9</v>
          </cell>
          <cell r="CA115">
            <v>0</v>
          </cell>
          <cell r="CB115">
            <v>-463.8</v>
          </cell>
        </row>
      </sheetData>
      <sheetData sheetId="9" refreshError="1">
        <row r="2">
          <cell r="C2">
            <v>37073</v>
          </cell>
        </row>
        <row r="3">
          <cell r="C3" t="str">
            <v xml:space="preserve"> 23 Agosto 2001</v>
          </cell>
        </row>
        <row r="4">
          <cell r="C4">
            <v>7</v>
          </cell>
        </row>
        <row r="12">
          <cell r="D12" t="str">
            <v>TOTAL PROYECTO (KUS$, MONEDA BASE;PROM. 2001;  T. CAMBIO 551 $/US$)</v>
          </cell>
        </row>
      </sheetData>
      <sheetData sheetId="10"/>
      <sheetData sheetId="11" refreshError="1">
        <row r="10">
          <cell r="G10">
            <v>35796</v>
          </cell>
          <cell r="H10">
            <v>35827</v>
          </cell>
          <cell r="I10">
            <v>35855</v>
          </cell>
          <cell r="J10">
            <v>35886</v>
          </cell>
          <cell r="K10">
            <v>35916</v>
          </cell>
          <cell r="L10">
            <v>35947</v>
          </cell>
          <cell r="M10">
            <v>35977</v>
          </cell>
          <cell r="N10">
            <v>36008</v>
          </cell>
          <cell r="O10">
            <v>36039</v>
          </cell>
          <cell r="P10">
            <v>36069</v>
          </cell>
          <cell r="Q10">
            <v>36100</v>
          </cell>
          <cell r="R10">
            <v>36130</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
      <sheetName val="AR"/>
      <sheetName val="FACT"/>
      <sheetName val="DIF"/>
      <sheetName val="CI"/>
      <sheetName val="CR"/>
      <sheetName val="CP"/>
      <sheetName val="DAT"/>
      <sheetName val="EX-DIF"/>
      <sheetName val="SAP"/>
      <sheetName val="H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loba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bol(01)"/>
      <sheetName val="Arbol(02)"/>
      <sheetName val="Arbol(Acum)"/>
      <sheetName val="Prod"/>
      <sheetName val="Global"/>
      <sheetName val="Rev 0"/>
      <sheetName val="prod2004"/>
      <sheetName val="prodewconc"/>
      <sheetName val="Rev_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pa"/>
      <sheetName val="Resumen Ejecutivo"/>
      <sheetName val="Tapa (2)"/>
      <sheetName val="Avances Financieros Cartera"/>
      <sheetName val="Avances Físicos Cartera"/>
      <sheetName val="Tapa (3)"/>
      <sheetName val="PMG 1"/>
      <sheetName val="PMG 2"/>
      <sheetName val="Datos"/>
      <sheetName val="Tabla "/>
    </sheetNames>
    <sheetDataSet>
      <sheetData sheetId="0"/>
      <sheetData sheetId="1"/>
      <sheetData sheetId="2"/>
      <sheetData sheetId="3"/>
      <sheetData sheetId="4"/>
      <sheetData sheetId="5"/>
      <sheetData sheetId="6" refreshError="1">
        <row r="6">
          <cell r="E6" t="str">
            <v>Tipo</v>
          </cell>
          <cell r="H6" t="str">
            <v>Jefe Proy.</v>
          </cell>
        </row>
        <row r="7">
          <cell r="D7" t="e">
            <v>#REF!</v>
          </cell>
          <cell r="E7" t="str">
            <v>Clasificación</v>
          </cell>
          <cell r="H7" t="str">
            <v>Coordin.</v>
          </cell>
        </row>
        <row r="8">
          <cell r="H8" t="str">
            <v>Estado</v>
          </cell>
        </row>
        <row r="9">
          <cell r="H9" t="str">
            <v>Sub UNA</v>
          </cell>
        </row>
        <row r="26">
          <cell r="F26" t="e">
            <v>#REF!</v>
          </cell>
          <cell r="G26" t="e">
            <v>#REF!</v>
          </cell>
          <cell r="H26" t="e">
            <v>#REF!</v>
          </cell>
          <cell r="I26" t="e">
            <v>#REF!</v>
          </cell>
          <cell r="J26" t="e">
            <v>#REF!</v>
          </cell>
          <cell r="K26" t="e">
            <v>#REF!</v>
          </cell>
          <cell r="L26" t="e">
            <v>#REF!</v>
          </cell>
          <cell r="M26" t="e">
            <v>#REF!</v>
          </cell>
          <cell r="N26" t="e">
            <v>#REF!</v>
          </cell>
          <cell r="O26" t="e">
            <v>#REF!</v>
          </cell>
          <cell r="P26" t="e">
            <v>#REF!</v>
          </cell>
          <cell r="Q26" t="e">
            <v>#REF!</v>
          </cell>
          <cell r="R26" t="e">
            <v>#REF!</v>
          </cell>
          <cell r="S26" t="e">
            <v>#REF!</v>
          </cell>
        </row>
        <row r="27">
          <cell r="F27" t="e">
            <v>#REF!</v>
          </cell>
          <cell r="G27" t="e">
            <v>#REF!</v>
          </cell>
          <cell r="H27" t="e">
            <v>#REF!</v>
          </cell>
          <cell r="I27" t="e">
            <v>#REF!</v>
          </cell>
          <cell r="J27" t="e">
            <v>#REF!</v>
          </cell>
          <cell r="K27" t="e">
            <v>#REF!</v>
          </cell>
          <cell r="L27" t="e">
            <v>#REF!</v>
          </cell>
          <cell r="M27" t="e">
            <v>#REF!</v>
          </cell>
          <cell r="N27" t="e">
            <v>#REF!</v>
          </cell>
          <cell r="O27" t="e">
            <v>#REF!</v>
          </cell>
          <cell r="P27" t="e">
            <v>#REF!</v>
          </cell>
          <cell r="Q27" t="e">
            <v>#REF!</v>
          </cell>
          <cell r="R27" t="e">
            <v>#REF!</v>
          </cell>
          <cell r="S27" t="e">
            <v>#REF!</v>
          </cell>
        </row>
        <row r="28">
          <cell r="F28" t="e">
            <v>#REF!</v>
          </cell>
          <cell r="G28" t="e">
            <v>#REF!</v>
          </cell>
          <cell r="H28" t="e">
            <v>#REF!</v>
          </cell>
          <cell r="I28" t="e">
            <v>#REF!</v>
          </cell>
          <cell r="J28" t="e">
            <v>#REF!</v>
          </cell>
          <cell r="K28" t="e">
            <v>#REF!</v>
          </cell>
          <cell r="L28" t="e">
            <v>#REF!</v>
          </cell>
          <cell r="M28" t="e">
            <v>#REF!</v>
          </cell>
          <cell r="N28" t="e">
            <v>#REF!</v>
          </cell>
          <cell r="O28" t="e">
            <v>#REF!</v>
          </cell>
          <cell r="P28" t="e">
            <v>#REF!</v>
          </cell>
          <cell r="Q28" t="e">
            <v>#REF!</v>
          </cell>
          <cell r="R28" t="e">
            <v>#REF!</v>
          </cell>
          <cell r="S28" t="e">
            <v>#REF!</v>
          </cell>
        </row>
        <row r="29">
          <cell r="F29" t="e">
            <v>#REF!</v>
          </cell>
          <cell r="G29" t="e">
            <v>#REF!</v>
          </cell>
          <cell r="H29" t="e">
            <v>#REF!</v>
          </cell>
          <cell r="I29" t="e">
            <v>#REF!</v>
          </cell>
          <cell r="J29" t="e">
            <v>#REF!</v>
          </cell>
          <cell r="K29" t="e">
            <v>#REF!</v>
          </cell>
          <cell r="L29" t="e">
            <v>#REF!</v>
          </cell>
          <cell r="M29" t="e">
            <v>#REF!</v>
          </cell>
          <cell r="N29" t="e">
            <v>#REF!</v>
          </cell>
          <cell r="O29" t="e">
            <v>#REF!</v>
          </cell>
          <cell r="P29" t="e">
            <v>#REF!</v>
          </cell>
          <cell r="Q29" t="e">
            <v>#REF!</v>
          </cell>
          <cell r="R29" t="e">
            <v>#REF!</v>
          </cell>
          <cell r="S29" t="e">
            <v>#REF!</v>
          </cell>
        </row>
        <row r="30">
          <cell r="F30" t="e">
            <v>#REF!</v>
          </cell>
          <cell r="G30" t="e">
            <v>#REF!</v>
          </cell>
          <cell r="H30" t="e">
            <v>#REF!</v>
          </cell>
          <cell r="I30" t="e">
            <v>#REF!</v>
          </cell>
          <cell r="J30" t="e">
            <v>#REF!</v>
          </cell>
          <cell r="K30" t="e">
            <v>#REF!</v>
          </cell>
          <cell r="L30" t="e">
            <v>#REF!</v>
          </cell>
          <cell r="M30" t="e">
            <v>#REF!</v>
          </cell>
          <cell r="N30" t="e">
            <v>#REF!</v>
          </cell>
          <cell r="O30" t="e">
            <v>#REF!</v>
          </cell>
          <cell r="P30" t="e">
            <v>#REF!</v>
          </cell>
          <cell r="Q30" t="e">
            <v>#REF!</v>
          </cell>
          <cell r="R30" t="e">
            <v>#REF!</v>
          </cell>
          <cell r="S30" t="e">
            <v>#REF!</v>
          </cell>
        </row>
        <row r="31">
          <cell r="F31" t="e">
            <v>#REF!</v>
          </cell>
          <cell r="G31" t="e">
            <v>#REF!</v>
          </cell>
          <cell r="H31" t="e">
            <v>#REF!</v>
          </cell>
          <cell r="I31" t="e">
            <v>#REF!</v>
          </cell>
          <cell r="J31" t="e">
            <v>#REF!</v>
          </cell>
          <cell r="K31" t="e">
            <v>#REF!</v>
          </cell>
          <cell r="L31" t="e">
            <v>#REF!</v>
          </cell>
          <cell r="M31" t="e">
            <v>#REF!</v>
          </cell>
          <cell r="N31" t="e">
            <v>#REF!</v>
          </cell>
          <cell r="O31" t="e">
            <v>#REF!</v>
          </cell>
          <cell r="P31" t="e">
            <v>#REF!</v>
          </cell>
          <cell r="Q31" t="e">
            <v>#REF!</v>
          </cell>
          <cell r="R31" t="e">
            <v>#REF!</v>
          </cell>
          <cell r="S31" t="e">
            <v>#REF!</v>
          </cell>
        </row>
        <row r="32">
          <cell r="F32" t="e">
            <v>#REF!</v>
          </cell>
          <cell r="G32" t="e">
            <v>#REF!</v>
          </cell>
          <cell r="H32" t="e">
            <v>#REF!</v>
          </cell>
          <cell r="I32" t="e">
            <v>#REF!</v>
          </cell>
          <cell r="J32" t="e">
            <v>#REF!</v>
          </cell>
          <cell r="K32" t="e">
            <v>#REF!</v>
          </cell>
          <cell r="L32" t="e">
            <v>#REF!</v>
          </cell>
          <cell r="M32" t="e">
            <v>#REF!</v>
          </cell>
          <cell r="N32" t="e">
            <v>#REF!</v>
          </cell>
          <cell r="O32" t="e">
            <v>#REF!</v>
          </cell>
          <cell r="P32" t="e">
            <v>#REF!</v>
          </cell>
          <cell r="Q32" t="e">
            <v>#REF!</v>
          </cell>
          <cell r="R32" t="e">
            <v>#REF!</v>
          </cell>
          <cell r="S32" t="e">
            <v>#REF!</v>
          </cell>
        </row>
        <row r="33">
          <cell r="F33" t="e">
            <v>#REF!</v>
          </cell>
          <cell r="G33" t="e">
            <v>#REF!</v>
          </cell>
          <cell r="H33" t="e">
            <v>#REF!</v>
          </cell>
          <cell r="I33" t="e">
            <v>#REF!</v>
          </cell>
          <cell r="J33" t="e">
            <v>#REF!</v>
          </cell>
          <cell r="K33" t="e">
            <v>#REF!</v>
          </cell>
          <cell r="L33" t="e">
            <v>#REF!</v>
          </cell>
          <cell r="M33" t="e">
            <v>#REF!</v>
          </cell>
          <cell r="N33" t="e">
            <v>#REF!</v>
          </cell>
          <cell r="O33" t="e">
            <v>#REF!</v>
          </cell>
          <cell r="P33" t="e">
            <v>#REF!</v>
          </cell>
          <cell r="Q33" t="e">
            <v>#REF!</v>
          </cell>
          <cell r="R33" t="e">
            <v>#REF!</v>
          </cell>
          <cell r="S33" t="e">
            <v>#REF!</v>
          </cell>
        </row>
        <row r="34">
          <cell r="F34" t="e">
            <v>#REF!</v>
          </cell>
          <cell r="G34" t="e">
            <v>#REF!</v>
          </cell>
          <cell r="H34" t="e">
            <v>#REF!</v>
          </cell>
          <cell r="I34" t="e">
            <v>#REF!</v>
          </cell>
          <cell r="J34" t="e">
            <v>#REF!</v>
          </cell>
          <cell r="K34" t="e">
            <v>#REF!</v>
          </cell>
          <cell r="L34" t="e">
            <v>#REF!</v>
          </cell>
          <cell r="M34" t="e">
            <v>#REF!</v>
          </cell>
          <cell r="N34" t="e">
            <v>#REF!</v>
          </cell>
          <cell r="O34" t="e">
            <v>#REF!</v>
          </cell>
          <cell r="P34" t="e">
            <v>#REF!</v>
          </cell>
          <cell r="Q34" t="e">
            <v>#REF!</v>
          </cell>
          <cell r="R34" t="e">
            <v>#REF!</v>
          </cell>
          <cell r="S34" t="e">
            <v>#REF!</v>
          </cell>
        </row>
        <row r="35">
          <cell r="F35" t="e">
            <v>#REF!</v>
          </cell>
          <cell r="G35" t="e">
            <v>#REF!</v>
          </cell>
          <cell r="H35" t="e">
            <v>#REF!</v>
          </cell>
          <cell r="I35" t="e">
            <v>#REF!</v>
          </cell>
          <cell r="J35" t="e">
            <v>#REF!</v>
          </cell>
          <cell r="K35" t="e">
            <v>#REF!</v>
          </cell>
          <cell r="L35" t="e">
            <v>#REF!</v>
          </cell>
          <cell r="M35" t="e">
            <v>#REF!</v>
          </cell>
          <cell r="N35" t="e">
            <v>#REF!</v>
          </cell>
          <cell r="O35" t="e">
            <v>#REF!</v>
          </cell>
          <cell r="P35" t="e">
            <v>#REF!</v>
          </cell>
          <cell r="Q35" t="e">
            <v>#REF!</v>
          </cell>
          <cell r="R35" t="e">
            <v>#REF!</v>
          </cell>
          <cell r="S35" t="e">
            <v>#REF!</v>
          </cell>
        </row>
        <row r="36">
          <cell r="F36" t="e">
            <v>#REF!</v>
          </cell>
          <cell r="G36" t="e">
            <v>#REF!</v>
          </cell>
          <cell r="H36" t="e">
            <v>#REF!</v>
          </cell>
          <cell r="I36" t="e">
            <v>#REF!</v>
          </cell>
          <cell r="J36" t="e">
            <v>#REF!</v>
          </cell>
          <cell r="K36" t="e">
            <v>#REF!</v>
          </cell>
          <cell r="L36" t="e">
            <v>#REF!</v>
          </cell>
          <cell r="M36" t="e">
            <v>#REF!</v>
          </cell>
          <cell r="N36" t="e">
            <v>#REF!</v>
          </cell>
          <cell r="O36" t="e">
            <v>#REF!</v>
          </cell>
          <cell r="P36" t="e">
            <v>#REF!</v>
          </cell>
          <cell r="Q36" t="e">
            <v>#REF!</v>
          </cell>
          <cell r="R36" t="e">
            <v>#REF!</v>
          </cell>
          <cell r="S36" t="e">
            <v>#REF!</v>
          </cell>
        </row>
        <row r="50">
          <cell r="C50" t="e">
            <v>#REF!</v>
          </cell>
          <cell r="D50" t="e">
            <v>#REF!</v>
          </cell>
        </row>
        <row r="52">
          <cell r="C52" t="e">
            <v>#REF!</v>
          </cell>
          <cell r="D52" t="e">
            <v>#REF!</v>
          </cell>
        </row>
        <row r="53">
          <cell r="F53" t="e">
            <v>#REF!</v>
          </cell>
          <cell r="G53" t="e">
            <v>#REF!</v>
          </cell>
          <cell r="H53" t="e">
            <v>#REF!</v>
          </cell>
          <cell r="I53" t="e">
            <v>#REF!</v>
          </cell>
          <cell r="J53" t="e">
            <v>#REF!</v>
          </cell>
          <cell r="K53" t="e">
            <v>#REF!</v>
          </cell>
          <cell r="L53" t="e">
            <v>#REF!</v>
          </cell>
          <cell r="M53" t="e">
            <v>#REF!</v>
          </cell>
          <cell r="N53" t="e">
            <v>#REF!</v>
          </cell>
          <cell r="O53" t="e">
            <v>#REF!</v>
          </cell>
          <cell r="P53" t="e">
            <v>#REF!</v>
          </cell>
          <cell r="Q53" t="e">
            <v>#REF!</v>
          </cell>
          <cell r="R53" t="e">
            <v>#REF!</v>
          </cell>
          <cell r="S53" t="e">
            <v>#REF!</v>
          </cell>
        </row>
        <row r="54">
          <cell r="F54" t="e">
            <v>#REF!</v>
          </cell>
          <cell r="G54" t="e">
            <v>#REF!</v>
          </cell>
          <cell r="H54" t="e">
            <v>#REF!</v>
          </cell>
          <cell r="I54" t="e">
            <v>#REF!</v>
          </cell>
          <cell r="J54" t="e">
            <v>#REF!</v>
          </cell>
          <cell r="K54" t="e">
            <v>#REF!</v>
          </cell>
          <cell r="L54" t="e">
            <v>#REF!</v>
          </cell>
          <cell r="M54" t="e">
            <v>#REF!</v>
          </cell>
          <cell r="N54" t="e">
            <v>#REF!</v>
          </cell>
          <cell r="O54" t="e">
            <v>#REF!</v>
          </cell>
          <cell r="P54" t="e">
            <v>#REF!</v>
          </cell>
          <cell r="Q54" t="e">
            <v>#REF!</v>
          </cell>
          <cell r="R54" t="e">
            <v>#REF!</v>
          </cell>
          <cell r="S54" t="e">
            <v>#REF!</v>
          </cell>
        </row>
        <row r="55">
          <cell r="F55" t="e">
            <v>#REF!</v>
          </cell>
          <cell r="G55" t="e">
            <v>#REF!</v>
          </cell>
          <cell r="H55" t="e">
            <v>#REF!</v>
          </cell>
          <cell r="I55" t="e">
            <v>#REF!</v>
          </cell>
          <cell r="J55" t="e">
            <v>#REF!</v>
          </cell>
          <cell r="K55" t="e">
            <v>#REF!</v>
          </cell>
          <cell r="L55" t="e">
            <v>#REF!</v>
          </cell>
          <cell r="M55" t="e">
            <v>#REF!</v>
          </cell>
          <cell r="N55" t="e">
            <v>#REF!</v>
          </cell>
          <cell r="O55" t="e">
            <v>#REF!</v>
          </cell>
          <cell r="P55" t="e">
            <v>#REF!</v>
          </cell>
          <cell r="Q55" t="e">
            <v>#REF!</v>
          </cell>
          <cell r="R55" t="e">
            <v>#REF!</v>
          </cell>
          <cell r="S55" t="e">
            <v>#REF!</v>
          </cell>
        </row>
        <row r="56">
          <cell r="F56">
            <v>0.9</v>
          </cell>
          <cell r="G56">
            <v>0.95</v>
          </cell>
          <cell r="H56">
            <v>0.95</v>
          </cell>
          <cell r="I56">
            <v>0.95</v>
          </cell>
          <cell r="J56">
            <v>0.95</v>
          </cell>
          <cell r="K56">
            <v>0.95</v>
          </cell>
          <cell r="L56">
            <v>0.95</v>
          </cell>
          <cell r="M56">
            <v>0.95</v>
          </cell>
          <cell r="N56">
            <v>0.95</v>
          </cell>
          <cell r="O56">
            <v>0.95</v>
          </cell>
          <cell r="P56">
            <v>0.95</v>
          </cell>
          <cell r="Q56" t="e">
            <v>#REF!</v>
          </cell>
          <cell r="R56" t="e">
            <v>#REF!</v>
          </cell>
          <cell r="S56" t="e">
            <v>#REF!</v>
          </cell>
        </row>
        <row r="57">
          <cell r="G57">
            <v>0.37</v>
          </cell>
          <cell r="H57">
            <v>0.3</v>
          </cell>
          <cell r="I57">
            <v>0.27</v>
          </cell>
        </row>
      </sheetData>
      <sheetData sheetId="7"/>
      <sheetData sheetId="8"/>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MG 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 val="Sistema de gestión"/>
      <sheetName val="Implementación y Operación"/>
      <sheetName val="Verificación y seguimiento"/>
      <sheetName val="EVALUACIÓN"/>
      <sheetName val="HALLAZGOS"/>
      <sheetName val="RESUMEN COMENTARIOS"/>
    </sheetNames>
    <sheetDataSet>
      <sheetData sheetId="0">
        <row r="2">
          <cell r="B2" t="str">
            <v>A</v>
          </cell>
        </row>
        <row r="3">
          <cell r="B3" t="str">
            <v>B</v>
          </cell>
        </row>
        <row r="4">
          <cell r="B4" t="str">
            <v>C</v>
          </cell>
        </row>
        <row r="5">
          <cell r="B5" t="str">
            <v>D</v>
          </cell>
        </row>
        <row r="22">
          <cell r="B22" t="str">
            <v>Radomiro Tomic</v>
          </cell>
        </row>
        <row r="23">
          <cell r="B23" t="str">
            <v>Chuquicamata</v>
          </cell>
        </row>
        <row r="24">
          <cell r="B24" t="str">
            <v>Ministro Hales</v>
          </cell>
        </row>
        <row r="25">
          <cell r="B25" t="str">
            <v>Gabriela Mistral</v>
          </cell>
        </row>
        <row r="26">
          <cell r="B26" t="str">
            <v>Salvador</v>
          </cell>
        </row>
        <row r="27">
          <cell r="B27" t="str">
            <v>Andina</v>
          </cell>
        </row>
        <row r="28">
          <cell r="B28" t="str">
            <v>Ventanas</v>
          </cell>
        </row>
        <row r="29">
          <cell r="B29" t="str">
            <v>El Teniente</v>
          </cell>
        </row>
        <row r="30">
          <cell r="B30" t="str">
            <v>Vicepresidencia de Proyectos</v>
          </cell>
        </row>
      </sheetData>
      <sheetData sheetId="1"/>
      <sheetData sheetId="2"/>
      <sheetData sheetId="3"/>
      <sheetData sheetId="4"/>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a"/>
      <sheetName val="Sistema de gestión"/>
      <sheetName val="Implementación y Operación"/>
      <sheetName val="Verificación y seguimiento"/>
      <sheetName val="EVALUACIÓN"/>
      <sheetName val="HALLAZGOS"/>
      <sheetName val="RESUMEN COMENTARIOS"/>
      <sheetName val="Hoja1"/>
    </sheetNames>
    <sheetDataSet>
      <sheetData sheetId="0"/>
      <sheetData sheetId="1"/>
      <sheetData sheetId="2"/>
      <sheetData sheetId="3"/>
      <sheetData sheetId="4"/>
      <sheetData sheetId="5"/>
      <sheetData sheetId="6"/>
      <sheetData sheetId="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d"/>
      <sheetName val="AreaDand"/>
      <sheetName val="CalDand"/>
      <sheetName val="HHDand"/>
    </sheetNames>
    <sheetDataSet>
      <sheetData sheetId="0">
        <row r="5">
          <cell r="BS5" t="str">
            <v>GERENCIA</v>
          </cell>
          <cell r="BU5" t="str">
            <v>UNIDAD GMIN</v>
          </cell>
          <cell r="BV5" t="str">
            <v>UNIDAD GPLTA</v>
          </cell>
          <cell r="BW5" t="str">
            <v>UNIDAD GSYS</v>
          </cell>
          <cell r="CF5" t="str">
            <v>CLASE</v>
          </cell>
          <cell r="CG5" t="str">
            <v>TIPO SG</v>
          </cell>
          <cell r="CH5" t="str">
            <v>TIPO SO</v>
          </cell>
        </row>
        <row r="6">
          <cell r="BS6" t="str">
            <v>GERENCIA MINAS</v>
          </cell>
          <cell r="BU6" t="str">
            <v>Superintendencia Ingeniería de Minas y Gestión</v>
          </cell>
          <cell r="BV6" t="str">
            <v>Superintendencia Concentración</v>
          </cell>
          <cell r="BW6" t="str">
            <v>Superintendencia de Servicios Divisionales</v>
          </cell>
          <cell r="CF6" t="str">
            <v>SEGURIDAD</v>
          </cell>
          <cell r="CG6" t="str">
            <v>Accidente tránsito interior mina (choque, volcamiento, colisión)</v>
          </cell>
          <cell r="CH6" t="str">
            <v>Exposición a agentes biológicos (bacterias, hongos, etc).</v>
          </cell>
        </row>
        <row r="7">
          <cell r="BS7" t="str">
            <v>GERENCIA PLANTA</v>
          </cell>
          <cell r="BU7" t="str">
            <v>Superintendencia Mina Rajo</v>
          </cell>
          <cell r="BV7" t="str">
            <v>Superintendencia Planta Productos Comerciales</v>
          </cell>
          <cell r="BW7" t="str">
            <v>Superintendencia de Servicios a la Sustentabilidad</v>
          </cell>
          <cell r="CF7" t="str">
            <v>SALUD OCUPACIONAL</v>
          </cell>
          <cell r="CG7" t="str">
            <v>Apretado por Jumbo en movimiento</v>
          </cell>
          <cell r="CH7" t="str">
            <v>Exposición a calor</v>
          </cell>
        </row>
        <row r="8">
          <cell r="BS8" t="str">
            <v>GERENCIA SERVICIOS Y SUMINISTROS</v>
          </cell>
          <cell r="BU8" t="str">
            <v>Superintendencia Mina Subterránea</v>
          </cell>
          <cell r="BV8" t="str">
            <v>Superintendencia Mantención Planta</v>
          </cell>
          <cell r="BW8" t="str">
            <v>Superintendencia de Suministro y Logística</v>
          </cell>
          <cell r="CG8" t="str">
            <v>Asfixia por exceso de Nitrógeno o falta de Oxigeno</v>
          </cell>
          <cell r="CH8" t="str">
            <v>Exposición a Compuestos Arsenicales</v>
          </cell>
        </row>
        <row r="9">
          <cell r="BS9" t="str">
            <v>DIRECCIONES Y DEPARTAMENTOS SGGO</v>
          </cell>
          <cell r="BU9" t="str">
            <v>Superintendencia Mantención</v>
          </cell>
          <cell r="BW9" t="str">
            <v>Superintendencia de Servicios a la UOT</v>
          </cell>
          <cell r="CG9" t="str">
            <v>Atrapado por (rueda de trapiche, maquina punzadora)</v>
          </cell>
          <cell r="CH9" t="str">
            <v>Exposición a Dióxido de Azufre</v>
          </cell>
        </row>
        <row r="10">
          <cell r="BS10" t="str">
            <v>GERENCIA DE DESARROLLO HUMANO</v>
          </cell>
          <cell r="CG10" t="str">
            <v>Atrapado por correa transportadora</v>
          </cell>
          <cell r="CH10" t="str">
            <v>Exposición a frió</v>
          </cell>
        </row>
        <row r="11">
          <cell r="BS11" t="str">
            <v>GERENCIA DE PROYECTOS</v>
          </cell>
          <cell r="CG11" t="str">
            <v>Atrapado por puerta metálica</v>
          </cell>
          <cell r="CH11" t="str">
            <v>Exposición a gases</v>
          </cell>
        </row>
        <row r="12">
          <cell r="BS12" t="str">
            <v>GERENCIA DE RECURSOS MINEROS Y DESARROLLO</v>
          </cell>
          <cell r="CG12" t="str">
            <v>Atrapamiento entre objetos en movimiento o fijo y movimiento</v>
          </cell>
          <cell r="CH12" t="str">
            <v>Exposición a humos metálicos</v>
          </cell>
        </row>
        <row r="13">
          <cell r="BS13" t="str">
            <v>DIRECCION DE ESTRATEGIA Y CONTROL DE GESTION</v>
          </cell>
          <cell r="CG13" t="str">
            <v>Atrapamiento por objeto fijo o en movimiento</v>
          </cell>
          <cell r="CH13" t="str">
            <v>Exposición a nieblas</v>
          </cell>
        </row>
        <row r="14">
          <cell r="BS14" t="str">
            <v>DIRECCION DE ESTRATEGIA Y CONTROL DE PROYECTOS</v>
          </cell>
          <cell r="CG14" t="str">
            <v>Atropellado por montacargas</v>
          </cell>
          <cell r="CH14" t="str">
            <v>Exposición a polvo</v>
          </cell>
        </row>
        <row r="15">
          <cell r="BS15" t="str">
            <v>SERVICIOS COMPARTIDOS</v>
          </cell>
          <cell r="CG15" t="str">
            <v>Atropellamiento por LHD</v>
          </cell>
          <cell r="CH15" t="str">
            <v>Exposición a presiones anormales</v>
          </cell>
        </row>
        <row r="16">
          <cell r="CG16" t="str">
            <v>Atropellamiento por tren</v>
          </cell>
          <cell r="CH16" t="str">
            <v>Exposición a radiaciones infrarrojas</v>
          </cell>
        </row>
        <row r="17">
          <cell r="CG17" t="str">
            <v>Bombeo de piques</v>
          </cell>
          <cell r="CH17" t="str">
            <v>Exposición a radiaciones ionizantes</v>
          </cell>
        </row>
        <row r="18">
          <cell r="CG18" t="str">
            <v>Caída a Caballo</v>
          </cell>
          <cell r="CH18" t="str">
            <v>Exposición a radiaciones ultravioletas</v>
          </cell>
        </row>
        <row r="19">
          <cell r="CG19" t="str">
            <v>Caída a cráter</v>
          </cell>
          <cell r="CH19" t="str">
            <v>Exposición a rocíos</v>
          </cell>
        </row>
        <row r="20">
          <cell r="CG20" t="str">
            <v>Caída a diferente nivel</v>
          </cell>
          <cell r="CH20" t="str">
            <v>Exposición a ruido</v>
          </cell>
        </row>
        <row r="21">
          <cell r="CG21" t="str">
            <v>Caída a pique</v>
          </cell>
          <cell r="CH21" t="str">
            <v>Exposición a trabajos en espacios confinados</v>
          </cell>
        </row>
        <row r="22">
          <cell r="CG22" t="str">
            <v>Caída al mismo nivel</v>
          </cell>
          <cell r="CH22" t="str">
            <v>Exposición a vapores</v>
          </cell>
        </row>
        <row r="23">
          <cell r="CG23" t="str">
            <v>Caída interior chancador</v>
          </cell>
          <cell r="CH23" t="str">
            <v>Exposición a vibraciones</v>
          </cell>
        </row>
        <row r="24">
          <cell r="CG24" t="str">
            <v>Caídas de Rocas</v>
          </cell>
          <cell r="CH24" t="str">
            <v>Sobre tensión física</v>
          </cell>
        </row>
        <row r="25">
          <cell r="CG25" t="str">
            <v>Choque contra elementos móviles</v>
          </cell>
          <cell r="CH25" t="str">
            <v>Sobre tensión mental y psicológica</v>
          </cell>
        </row>
        <row r="26">
          <cell r="CG26" t="str">
            <v>Choque contra objetos o estructura fija</v>
          </cell>
          <cell r="CH26" t="str">
            <v>Sobreesfuerzo por manejo manual de materiales</v>
          </cell>
        </row>
        <row r="27">
          <cell r="CG27" t="str">
            <v>Choque por otro vehículo</v>
          </cell>
          <cell r="CH27" t="str">
            <v>Sobreesfuerzo por movimiento repetitivo</v>
          </cell>
        </row>
        <row r="28">
          <cell r="CG28" t="str">
            <v>Contacto con electricidad</v>
          </cell>
          <cell r="CH28" t="str">
            <v>Otra</v>
          </cell>
        </row>
        <row r="29">
          <cell r="CG29" t="str">
            <v>Contacto con fuego</v>
          </cell>
        </row>
        <row r="30">
          <cell r="CG30" t="str">
            <v>Contacto con material fundido</v>
          </cell>
        </row>
        <row r="31">
          <cell r="CG31" t="str">
            <v>Contacto con objetos calientes</v>
          </cell>
        </row>
        <row r="32">
          <cell r="CG32" t="str">
            <v>Contacto con objetos cortantes</v>
          </cell>
        </row>
        <row r="33">
          <cell r="CG33" t="str">
            <v>Contacto con objetos punzantes</v>
          </cell>
        </row>
        <row r="34">
          <cell r="CG34" t="str">
            <v>Contacto con superficie metálica</v>
          </cell>
        </row>
        <row r="35">
          <cell r="CG35" t="str">
            <v>Contacto con sustancias químicas</v>
          </cell>
        </row>
        <row r="36">
          <cell r="CG36" t="str">
            <v>Contactos con insectos y animales</v>
          </cell>
        </row>
        <row r="37">
          <cell r="CG37" t="str">
            <v>Desbarrancamiento</v>
          </cell>
        </row>
        <row r="38">
          <cell r="CG38" t="str">
            <v>Desprendimiento de material colgado</v>
          </cell>
        </row>
        <row r="39">
          <cell r="CG39" t="str">
            <v>Estallido de Rocas</v>
          </cell>
        </row>
        <row r="40">
          <cell r="CG40" t="str">
            <v>Explosión en acumuladores y redes</v>
          </cell>
        </row>
        <row r="41">
          <cell r="CG41" t="str">
            <v>Explosión en labores de desatollo</v>
          </cell>
        </row>
        <row r="42">
          <cell r="CG42" t="str">
            <v>Explosión por contacto material fundido y agua</v>
          </cell>
        </row>
        <row r="43">
          <cell r="CG43" t="str">
            <v>Exposición a carga suspendida (Aplastado por, Golpeado por, Atrapado por y entre)</v>
          </cell>
        </row>
        <row r="44">
          <cell r="CG44" t="str">
            <v>Exposición a gases de tronadura</v>
          </cell>
        </row>
        <row r="45">
          <cell r="CG45" t="str">
            <v>Golpeado con barretillas y contra estructuras</v>
          </cell>
        </row>
        <row r="46">
          <cell r="CG46" t="str">
            <v>Golpeado con objeto o herramienta</v>
          </cell>
        </row>
        <row r="47">
          <cell r="CG47" t="str">
            <v>Golpeado contra objetos o equipos</v>
          </cell>
        </row>
        <row r="48">
          <cell r="CG48" t="str">
            <v>Golpeado por caída de carga</v>
          </cell>
        </row>
        <row r="49">
          <cell r="CG49" t="str">
            <v>Golpeado por objeto</v>
          </cell>
        </row>
        <row r="50">
          <cell r="CG50" t="str">
            <v>Incendio</v>
          </cell>
        </row>
        <row r="51">
          <cell r="CG51" t="str">
            <v>Incendio interior Mina</v>
          </cell>
        </row>
        <row r="52">
          <cell r="CG52" t="str">
            <v>Incendio Planta</v>
          </cell>
        </row>
        <row r="53">
          <cell r="CG53" t="str">
            <v>Inmersión</v>
          </cell>
        </row>
        <row r="54">
          <cell r="CG54" t="str">
            <v>Intoxicación por alimentos</v>
          </cell>
        </row>
        <row r="55">
          <cell r="CG55" t="str">
            <v>Manipulación de explosivos</v>
          </cell>
        </row>
        <row r="56">
          <cell r="CG56" t="str">
            <v>Planchoneo zonas con fortificación</v>
          </cell>
        </row>
        <row r="57">
          <cell r="CG57" t="str">
            <v>Planchoneo zonas sin fortificación</v>
          </cell>
        </row>
        <row r="58">
          <cell r="CG58" t="str">
            <v>Proyección de partícula</v>
          </cell>
        </row>
        <row r="59">
          <cell r="CG59" t="str">
            <v>Soroche</v>
          </cell>
        </row>
        <row r="60">
          <cell r="CG60" t="str">
            <v>Exposición a agentes biológicos (bacterias, hongos, etc).</v>
          </cell>
        </row>
        <row r="61">
          <cell r="CG61" t="str">
            <v>Exposición a calor</v>
          </cell>
        </row>
        <row r="62">
          <cell r="CG62" t="str">
            <v>Exposición a Compuestos Arsenicales</v>
          </cell>
        </row>
        <row r="63">
          <cell r="CG63" t="str">
            <v>Exposición a Dióxido de Azufre</v>
          </cell>
        </row>
        <row r="64">
          <cell r="CG64" t="str">
            <v>Exposición a frió</v>
          </cell>
        </row>
        <row r="65">
          <cell r="CG65" t="str">
            <v>Exposición a gases</v>
          </cell>
        </row>
        <row r="66">
          <cell r="CG66" t="str">
            <v>Exposición a humos metálicos</v>
          </cell>
        </row>
        <row r="67">
          <cell r="CG67" t="str">
            <v>Exposición a nieblas</v>
          </cell>
        </row>
        <row r="68">
          <cell r="CG68" t="str">
            <v>Exposición a polvo</v>
          </cell>
        </row>
        <row r="69">
          <cell r="CG69" t="str">
            <v>Exposición a presiones anormales</v>
          </cell>
        </row>
        <row r="70">
          <cell r="CG70" t="str">
            <v>Exposición a radiaciones infrarrojas</v>
          </cell>
        </row>
        <row r="71">
          <cell r="CG71" t="str">
            <v>Exposición a radiaciones ionizantes</v>
          </cell>
        </row>
        <row r="72">
          <cell r="CG72" t="str">
            <v>Exposición a radiaciones ultravioletas</v>
          </cell>
        </row>
        <row r="73">
          <cell r="CG73" t="str">
            <v>Exposición a rocíos</v>
          </cell>
        </row>
        <row r="74">
          <cell r="CG74" t="str">
            <v>Exposición a ruido</v>
          </cell>
        </row>
        <row r="75">
          <cell r="CG75" t="str">
            <v>Exposición a trabajos en espacios confinados</v>
          </cell>
        </row>
        <row r="76">
          <cell r="CG76" t="str">
            <v>Exposición a vapores</v>
          </cell>
        </row>
        <row r="77">
          <cell r="CG77" t="str">
            <v>Exposición a vibraciones</v>
          </cell>
        </row>
        <row r="78">
          <cell r="CG78" t="str">
            <v>Sobre tensión física</v>
          </cell>
        </row>
        <row r="79">
          <cell r="CG79" t="str">
            <v>Sobre tensión mental y psicológica</v>
          </cell>
        </row>
        <row r="80">
          <cell r="CG80" t="str">
            <v>Sobreesfuerzo por manejo manual de materiales</v>
          </cell>
        </row>
        <row r="81">
          <cell r="CG81" t="str">
            <v>Sobreesfuerzo por movimiento repetitivo</v>
          </cell>
        </row>
        <row r="82">
          <cell r="CG82" t="str">
            <v>Otra</v>
          </cell>
        </row>
      </sheetData>
      <sheetData sheetId="1"/>
      <sheetData sheetId="2"/>
      <sheetData sheetId="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P Metalurgico (2)"/>
      <sheetName val="Gtonvdist"/>
      <sheetName val="Gminaplanta"/>
      <sheetName val="Parametros"/>
      <sheetName val="Producción"/>
      <sheetName val="Resumen"/>
      <sheetName val="datos"/>
      <sheetName val="Equipos"/>
      <sheetName val="FLOTAS"/>
      <sheetName val="STOCK"/>
      <sheetName val="Auxiliar"/>
      <sheetName val="RESERVAS"/>
      <sheetName val="INVERSION"/>
      <sheetName val="MARC"/>
      <sheetName val="CALENDARIO"/>
      <sheetName val="DISTANCIAS"/>
      <sheetName val="PLP Metalurgico"/>
      <sheetName val="PRODPRESEN"/>
      <sheetName val="Gráfico1"/>
      <sheetName val="COMCAMION"/>
      <sheetName val="COMPALA-PERFO"/>
      <sheetName val="COMCARGA"/>
      <sheetName val="COMMOVTIERRA"/>
      <sheetName val="COMEQUIPOAPOYO"/>
      <sheetName val="COMCHANCADO.PRIM"/>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
          <cell r="B6" t="str">
            <v>CODIGO</v>
          </cell>
          <cell r="E6" t="str">
            <v>DTCH</v>
          </cell>
          <cell r="F6" t="str">
            <v>DICH</v>
          </cell>
          <cell r="G6" t="str">
            <v>DTSKO</v>
          </cell>
          <cell r="H6" t="str">
            <v>DISKO</v>
          </cell>
          <cell r="I6" t="str">
            <v>DTSKS</v>
          </cell>
          <cell r="J6" t="str">
            <v>DISKS</v>
          </cell>
          <cell r="K6" t="str">
            <v>DTSKM</v>
          </cell>
          <cell r="L6" t="str">
            <v>DISKM</v>
          </cell>
          <cell r="M6" t="str">
            <v>DTLB</v>
          </cell>
          <cell r="N6" t="str">
            <v>DILB</v>
          </cell>
          <cell r="O6" t="str">
            <v>DTOBLB</v>
          </cell>
          <cell r="P6" t="str">
            <v>DIOBLB</v>
          </cell>
          <cell r="Q6" t="str">
            <v>DTSBLB</v>
          </cell>
          <cell r="R6" t="str">
            <v>DISBLB</v>
          </cell>
        </row>
        <row r="7">
          <cell r="B7" t="str">
            <v>83050</v>
          </cell>
          <cell r="I7">
            <v>0</v>
          </cell>
          <cell r="J7">
            <v>0</v>
          </cell>
          <cell r="K7">
            <v>0</v>
          </cell>
          <cell r="L7">
            <v>0</v>
          </cell>
          <cell r="Q7">
            <v>0</v>
          </cell>
          <cell r="R7">
            <v>0</v>
          </cell>
        </row>
        <row r="8">
          <cell r="B8" t="str">
            <v>83035</v>
          </cell>
          <cell r="I8">
            <v>0</v>
          </cell>
          <cell r="J8">
            <v>0</v>
          </cell>
          <cell r="K8">
            <v>0</v>
          </cell>
          <cell r="L8">
            <v>0</v>
          </cell>
          <cell r="Q8">
            <v>0</v>
          </cell>
          <cell r="R8">
            <v>0</v>
          </cell>
        </row>
        <row r="9">
          <cell r="B9" t="str">
            <v>83020</v>
          </cell>
          <cell r="E9">
            <v>0</v>
          </cell>
          <cell r="G9">
            <v>0</v>
          </cell>
          <cell r="I9">
            <v>0</v>
          </cell>
          <cell r="J9">
            <v>0</v>
          </cell>
          <cell r="K9">
            <v>0</v>
          </cell>
          <cell r="L9">
            <v>0</v>
          </cell>
          <cell r="Q9">
            <v>0</v>
          </cell>
          <cell r="R9">
            <v>0</v>
          </cell>
        </row>
        <row r="10">
          <cell r="B10" t="str">
            <v>83005</v>
          </cell>
          <cell r="E10">
            <v>0</v>
          </cell>
          <cell r="G10">
            <v>0</v>
          </cell>
          <cell r="I10">
            <v>0</v>
          </cell>
          <cell r="J10">
            <v>0</v>
          </cell>
          <cell r="K10">
            <v>0</v>
          </cell>
          <cell r="L10">
            <v>0</v>
          </cell>
          <cell r="Q10">
            <v>0</v>
          </cell>
          <cell r="R10">
            <v>0</v>
          </cell>
        </row>
        <row r="11">
          <cell r="B11" t="str">
            <v>82990</v>
          </cell>
          <cell r="E11">
            <v>0</v>
          </cell>
          <cell r="G11">
            <v>0</v>
          </cell>
          <cell r="I11">
            <v>0</v>
          </cell>
          <cell r="J11">
            <v>0</v>
          </cell>
          <cell r="K11">
            <v>0</v>
          </cell>
          <cell r="L11">
            <v>0</v>
          </cell>
          <cell r="Q11">
            <v>0</v>
          </cell>
          <cell r="R11">
            <v>0</v>
          </cell>
        </row>
        <row r="12">
          <cell r="B12" t="str">
            <v>102795</v>
          </cell>
          <cell r="E12">
            <v>2794.1998046875001</v>
          </cell>
          <cell r="F12">
            <v>1924.4</v>
          </cell>
          <cell r="G12">
            <v>0</v>
          </cell>
          <cell r="H12">
            <v>0</v>
          </cell>
          <cell r="I12">
            <v>0</v>
          </cell>
          <cell r="J12">
            <v>0</v>
          </cell>
          <cell r="K12">
            <v>0</v>
          </cell>
          <cell r="L12">
            <v>0</v>
          </cell>
          <cell r="M12">
            <v>5343.2</v>
          </cell>
          <cell r="N12">
            <v>3550.5000976562501</v>
          </cell>
          <cell r="O12">
            <v>4219.6000000000004</v>
          </cell>
          <cell r="P12">
            <v>2424.9</v>
          </cell>
          <cell r="Q12">
            <v>0</v>
          </cell>
          <cell r="R12">
            <v>0</v>
          </cell>
        </row>
        <row r="13">
          <cell r="B13" t="str">
            <v>102780</v>
          </cell>
          <cell r="E13">
            <v>2898.3</v>
          </cell>
          <cell r="F13">
            <v>2076.3000000000002</v>
          </cell>
          <cell r="G13">
            <v>0</v>
          </cell>
          <cell r="H13">
            <v>0</v>
          </cell>
          <cell r="I13">
            <v>4900.3</v>
          </cell>
          <cell r="J13">
            <v>3475.2</v>
          </cell>
          <cell r="K13">
            <v>4900.3</v>
          </cell>
          <cell r="L13">
            <v>3475.2</v>
          </cell>
          <cell r="M13">
            <v>5447.3</v>
          </cell>
          <cell r="N13">
            <v>3702.4</v>
          </cell>
          <cell r="O13">
            <v>4323.7</v>
          </cell>
          <cell r="P13">
            <v>2576.8000000000002</v>
          </cell>
          <cell r="Q13">
            <v>0</v>
          </cell>
          <cell r="R13">
            <v>0</v>
          </cell>
        </row>
        <row r="14">
          <cell r="B14" t="str">
            <v>102765</v>
          </cell>
          <cell r="E14">
            <v>3073.2</v>
          </cell>
          <cell r="F14">
            <v>2249.1999999999998</v>
          </cell>
          <cell r="G14">
            <v>0</v>
          </cell>
          <cell r="H14">
            <v>0</v>
          </cell>
          <cell r="I14">
            <v>5075.2</v>
          </cell>
          <cell r="J14">
            <v>3648.1</v>
          </cell>
          <cell r="K14">
            <v>5075.2</v>
          </cell>
          <cell r="L14">
            <v>3648.1</v>
          </cell>
          <cell r="M14">
            <v>5622.2</v>
          </cell>
          <cell r="N14">
            <v>3875.3</v>
          </cell>
          <cell r="O14">
            <v>4750.3</v>
          </cell>
          <cell r="P14">
            <v>2776.9997802734374</v>
          </cell>
          <cell r="Q14">
            <v>0</v>
          </cell>
          <cell r="R14">
            <v>0</v>
          </cell>
        </row>
        <row r="15">
          <cell r="B15" t="str">
            <v>102750</v>
          </cell>
          <cell r="E15">
            <v>3224.8</v>
          </cell>
          <cell r="F15">
            <v>2401.2999969482426</v>
          </cell>
          <cell r="G15">
            <v>0</v>
          </cell>
          <cell r="H15">
            <v>0</v>
          </cell>
          <cell r="I15">
            <v>5226.8</v>
          </cell>
          <cell r="J15">
            <v>3800.2</v>
          </cell>
          <cell r="K15">
            <v>5226.8</v>
          </cell>
          <cell r="L15">
            <v>3800.2</v>
          </cell>
          <cell r="M15">
            <v>5773.8</v>
          </cell>
          <cell r="N15">
            <v>4027.4</v>
          </cell>
          <cell r="O15">
            <v>5002.3</v>
          </cell>
          <cell r="P15">
            <v>2940.1</v>
          </cell>
          <cell r="Q15">
            <v>0</v>
          </cell>
          <cell r="R15">
            <v>0</v>
          </cell>
        </row>
        <row r="16">
          <cell r="B16" t="str">
            <v>102735</v>
          </cell>
          <cell r="E16">
            <v>3443.2</v>
          </cell>
          <cell r="F16">
            <v>2551.4</v>
          </cell>
          <cell r="G16">
            <v>0</v>
          </cell>
          <cell r="H16">
            <v>0</v>
          </cell>
          <cell r="I16">
            <v>5460.1323725484644</v>
          </cell>
          <cell r="J16">
            <v>3949.3652047987866</v>
          </cell>
          <cell r="K16">
            <v>5460.1323725484644</v>
          </cell>
          <cell r="L16">
            <v>3949.3652047987866</v>
          </cell>
          <cell r="M16">
            <v>5992.2003906250002</v>
          </cell>
          <cell r="N16">
            <v>4177.5</v>
          </cell>
          <cell r="O16">
            <v>5220.6000000000004</v>
          </cell>
          <cell r="P16">
            <v>3090.2</v>
          </cell>
          <cell r="Q16">
            <v>6549</v>
          </cell>
          <cell r="R16">
            <v>3881.2</v>
          </cell>
        </row>
        <row r="17">
          <cell r="B17" t="str">
            <v>102720</v>
          </cell>
          <cell r="E17">
            <v>3740.8</v>
          </cell>
          <cell r="F17">
            <v>2617.1999999999998</v>
          </cell>
          <cell r="G17">
            <v>0</v>
          </cell>
          <cell r="H17">
            <v>0</v>
          </cell>
          <cell r="I17">
            <v>5742.7</v>
          </cell>
          <cell r="J17">
            <v>4016.0999023437498</v>
          </cell>
          <cell r="K17">
            <v>5742.7</v>
          </cell>
          <cell r="L17">
            <v>4016.0999023437498</v>
          </cell>
          <cell r="M17">
            <v>6289.7</v>
          </cell>
          <cell r="N17">
            <v>4243.3000976562498</v>
          </cell>
          <cell r="O17">
            <v>5518.2</v>
          </cell>
          <cell r="P17">
            <v>3156</v>
          </cell>
          <cell r="Q17">
            <v>0</v>
          </cell>
          <cell r="R17">
            <v>0</v>
          </cell>
        </row>
        <row r="18">
          <cell r="B18" t="str">
            <v>102705</v>
          </cell>
          <cell r="E18">
            <v>3812.2</v>
          </cell>
          <cell r="F18">
            <v>2790.7</v>
          </cell>
          <cell r="G18">
            <v>0</v>
          </cell>
          <cell r="H18">
            <v>0</v>
          </cell>
          <cell r="I18">
            <v>5831.541314604784</v>
          </cell>
          <cell r="J18">
            <v>4188.5144934529035</v>
          </cell>
          <cell r="K18">
            <v>5831.541314604784</v>
          </cell>
          <cell r="L18">
            <v>4188.5144934529035</v>
          </cell>
          <cell r="M18">
            <v>6361.1</v>
          </cell>
          <cell r="N18">
            <v>4416.8000976562498</v>
          </cell>
          <cell r="O18">
            <v>5589.6</v>
          </cell>
          <cell r="P18">
            <v>3329.5</v>
          </cell>
          <cell r="Q18">
            <v>6918</v>
          </cell>
          <cell r="R18">
            <v>4120.4998046874998</v>
          </cell>
        </row>
        <row r="19">
          <cell r="B19" t="str">
            <v>102690</v>
          </cell>
          <cell r="E19">
            <v>4086.6</v>
          </cell>
          <cell r="F19">
            <v>2927.6001953125001</v>
          </cell>
          <cell r="G19">
            <v>0</v>
          </cell>
          <cell r="H19">
            <v>0</v>
          </cell>
          <cell r="I19">
            <v>6088.599609375</v>
          </cell>
          <cell r="J19">
            <v>4326.5001953125002</v>
          </cell>
          <cell r="K19">
            <v>6088.599609375</v>
          </cell>
          <cell r="L19">
            <v>4326.5001953125002</v>
          </cell>
          <cell r="M19">
            <v>0</v>
          </cell>
          <cell r="N19">
            <v>0</v>
          </cell>
          <cell r="O19">
            <v>5864.099609375</v>
          </cell>
          <cell r="P19">
            <v>3466.4</v>
          </cell>
          <cell r="Q19">
            <v>0</v>
          </cell>
          <cell r="R19">
            <v>0</v>
          </cell>
        </row>
        <row r="20">
          <cell r="B20" t="str">
            <v>102675</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B21" t="str">
            <v>00</v>
          </cell>
          <cell r="E21">
            <v>0</v>
          </cell>
          <cell r="F21">
            <v>0</v>
          </cell>
          <cell r="G21">
            <v>0</v>
          </cell>
          <cell r="H21">
            <v>0</v>
          </cell>
          <cell r="I21">
            <v>0</v>
          </cell>
          <cell r="J21">
            <v>0</v>
          </cell>
          <cell r="K21">
            <v>0</v>
          </cell>
          <cell r="L21">
            <v>0</v>
          </cell>
          <cell r="M21">
            <v>0</v>
          </cell>
          <cell r="N21">
            <v>0</v>
          </cell>
          <cell r="O21">
            <v>0</v>
          </cell>
          <cell r="P21">
            <v>0</v>
          </cell>
          <cell r="Q21">
            <v>0</v>
          </cell>
          <cell r="R21">
            <v>0</v>
          </cell>
        </row>
        <row r="22">
          <cell r="B22" t="str">
            <v>00</v>
          </cell>
          <cell r="E22">
            <v>0</v>
          </cell>
          <cell r="F22">
            <v>0</v>
          </cell>
          <cell r="G22">
            <v>0</v>
          </cell>
          <cell r="H22">
            <v>0</v>
          </cell>
          <cell r="I22">
            <v>0</v>
          </cell>
          <cell r="J22">
            <v>0</v>
          </cell>
          <cell r="K22">
            <v>0</v>
          </cell>
          <cell r="L22">
            <v>0</v>
          </cell>
          <cell r="M22">
            <v>0</v>
          </cell>
          <cell r="N22">
            <v>0</v>
          </cell>
          <cell r="O22">
            <v>0</v>
          </cell>
          <cell r="P22">
            <v>0</v>
          </cell>
          <cell r="Q22">
            <v>0</v>
          </cell>
          <cell r="R22">
            <v>0</v>
          </cell>
        </row>
        <row r="23">
          <cell r="B23" t="str">
            <v>00</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B24" t="str">
            <v>112915</v>
          </cell>
          <cell r="E24">
            <v>3546.4</v>
          </cell>
          <cell r="F24">
            <v>1184.0999999999999</v>
          </cell>
          <cell r="G24">
            <v>3864.8</v>
          </cell>
          <cell r="H24">
            <v>1253.7</v>
          </cell>
          <cell r="I24">
            <v>0</v>
          </cell>
          <cell r="J24">
            <v>0</v>
          </cell>
          <cell r="K24">
            <v>0</v>
          </cell>
          <cell r="L24">
            <v>0</v>
          </cell>
          <cell r="M24">
            <v>3435.3</v>
          </cell>
          <cell r="N24">
            <v>2060.5</v>
          </cell>
          <cell r="O24">
            <v>0</v>
          </cell>
          <cell r="P24">
            <v>0</v>
          </cell>
          <cell r="Q24">
            <v>0</v>
          </cell>
          <cell r="R24">
            <v>0</v>
          </cell>
        </row>
        <row r="25">
          <cell r="B25" t="str">
            <v>112900</v>
          </cell>
          <cell r="E25">
            <v>0</v>
          </cell>
          <cell r="F25">
            <v>0</v>
          </cell>
          <cell r="G25">
            <v>3866.2</v>
          </cell>
          <cell r="H25">
            <v>1587</v>
          </cell>
          <cell r="I25">
            <v>0</v>
          </cell>
          <cell r="J25">
            <v>0</v>
          </cell>
          <cell r="K25">
            <v>0</v>
          </cell>
          <cell r="L25">
            <v>0</v>
          </cell>
          <cell r="M25">
            <v>3438.8</v>
          </cell>
          <cell r="N25">
            <v>2264.3000000000002</v>
          </cell>
          <cell r="O25">
            <v>5034.5</v>
          </cell>
          <cell r="P25">
            <v>2121.4999511718752</v>
          </cell>
          <cell r="Q25">
            <v>0</v>
          </cell>
          <cell r="R25">
            <v>0</v>
          </cell>
        </row>
        <row r="26">
          <cell r="B26" t="str">
            <v>112885</v>
          </cell>
          <cell r="E26">
            <v>0</v>
          </cell>
          <cell r="F26">
            <v>0</v>
          </cell>
          <cell r="G26">
            <v>3322</v>
          </cell>
          <cell r="H26">
            <v>1163.6000061035156</v>
          </cell>
          <cell r="I26">
            <v>0</v>
          </cell>
          <cell r="J26">
            <v>0</v>
          </cell>
          <cell r="K26">
            <v>0</v>
          </cell>
          <cell r="L26">
            <v>0</v>
          </cell>
          <cell r="M26">
            <v>3759.9</v>
          </cell>
          <cell r="N26">
            <v>2423.3000000000002</v>
          </cell>
          <cell r="O26">
            <v>0</v>
          </cell>
          <cell r="P26">
            <v>0</v>
          </cell>
          <cell r="Q26">
            <v>0</v>
          </cell>
          <cell r="R26">
            <v>0</v>
          </cell>
        </row>
        <row r="27">
          <cell r="B27" t="str">
            <v>112870</v>
          </cell>
          <cell r="E27">
            <v>3948.2</v>
          </cell>
          <cell r="F27">
            <v>1767.4</v>
          </cell>
          <cell r="G27">
            <v>4120.2</v>
          </cell>
          <cell r="H27">
            <v>1892.5</v>
          </cell>
          <cell r="I27">
            <v>0</v>
          </cell>
          <cell r="J27">
            <v>0</v>
          </cell>
          <cell r="K27">
            <v>0</v>
          </cell>
          <cell r="L27">
            <v>0</v>
          </cell>
          <cell r="M27">
            <v>3932.8</v>
          </cell>
          <cell r="N27">
            <v>2569.8000000000002</v>
          </cell>
          <cell r="O27">
            <v>5657.6996093750004</v>
          </cell>
          <cell r="P27">
            <v>2465.1999999999998</v>
          </cell>
          <cell r="Q27">
            <v>0</v>
          </cell>
          <cell r="R27">
            <v>0</v>
          </cell>
        </row>
        <row r="28">
          <cell r="B28" t="str">
            <v>112855</v>
          </cell>
          <cell r="E28">
            <v>2815.8998046874999</v>
          </cell>
          <cell r="F28">
            <v>1123.7999969482421</v>
          </cell>
          <cell r="G28">
            <v>0</v>
          </cell>
          <cell r="H28">
            <v>0</v>
          </cell>
          <cell r="I28">
            <v>0</v>
          </cell>
          <cell r="J28">
            <v>0</v>
          </cell>
          <cell r="K28">
            <v>0</v>
          </cell>
          <cell r="L28">
            <v>0</v>
          </cell>
          <cell r="M28">
            <v>4116.6003906249998</v>
          </cell>
          <cell r="N28">
            <v>2725.4</v>
          </cell>
          <cell r="O28">
            <v>4593.3999999999996</v>
          </cell>
          <cell r="P28">
            <v>1662.6</v>
          </cell>
          <cell r="Q28">
            <v>0</v>
          </cell>
          <cell r="R28">
            <v>0</v>
          </cell>
        </row>
        <row r="29">
          <cell r="B29" t="str">
            <v>112840</v>
          </cell>
          <cell r="E29">
            <v>2552.3000000000002</v>
          </cell>
          <cell r="F29">
            <v>1293.4000000000001</v>
          </cell>
          <cell r="G29">
            <v>0</v>
          </cell>
          <cell r="H29">
            <v>0</v>
          </cell>
          <cell r="I29">
            <v>0</v>
          </cell>
          <cell r="J29">
            <v>0</v>
          </cell>
          <cell r="K29">
            <v>0</v>
          </cell>
          <cell r="L29">
            <v>0</v>
          </cell>
          <cell r="M29">
            <v>4885.8999999999996</v>
          </cell>
          <cell r="N29">
            <v>2886.60009765625</v>
          </cell>
          <cell r="O29">
            <v>4329.7</v>
          </cell>
          <cell r="P29">
            <v>1832.2</v>
          </cell>
          <cell r="Q29">
            <v>0</v>
          </cell>
          <cell r="R29">
            <v>0</v>
          </cell>
        </row>
        <row r="30">
          <cell r="B30" t="str">
            <v>112825</v>
          </cell>
          <cell r="E30">
            <v>2742.2</v>
          </cell>
          <cell r="F30">
            <v>1474.89990234375</v>
          </cell>
          <cell r="G30">
            <v>0</v>
          </cell>
          <cell r="H30">
            <v>0</v>
          </cell>
          <cell r="I30">
            <v>0</v>
          </cell>
          <cell r="J30">
            <v>0</v>
          </cell>
          <cell r="K30">
            <v>0</v>
          </cell>
          <cell r="L30">
            <v>0</v>
          </cell>
          <cell r="M30">
            <v>5111.6000000000004</v>
          </cell>
          <cell r="N30">
            <v>3011.4000976562502</v>
          </cell>
          <cell r="O30">
            <v>4519.7</v>
          </cell>
          <cell r="P30">
            <v>2013.7</v>
          </cell>
          <cell r="Q30">
            <v>0</v>
          </cell>
          <cell r="R30">
            <v>0</v>
          </cell>
        </row>
        <row r="31">
          <cell r="B31" t="str">
            <v>112810</v>
          </cell>
          <cell r="E31">
            <v>3257.4</v>
          </cell>
          <cell r="F31">
            <v>1632.7999969482421</v>
          </cell>
          <cell r="G31">
            <v>0</v>
          </cell>
          <cell r="H31">
            <v>0</v>
          </cell>
          <cell r="I31">
            <v>0</v>
          </cell>
          <cell r="J31">
            <v>0</v>
          </cell>
          <cell r="K31">
            <v>0</v>
          </cell>
          <cell r="L31">
            <v>0</v>
          </cell>
          <cell r="M31">
            <v>5312.1</v>
          </cell>
          <cell r="N31">
            <v>3146.9000015258794</v>
          </cell>
          <cell r="O31">
            <v>5034.8999999999996</v>
          </cell>
          <cell r="P31">
            <v>2171.6</v>
          </cell>
          <cell r="Q31">
            <v>0</v>
          </cell>
          <cell r="R31">
            <v>0</v>
          </cell>
        </row>
        <row r="32">
          <cell r="B32" t="str">
            <v>112795</v>
          </cell>
          <cell r="E32">
            <v>3458.9</v>
          </cell>
          <cell r="F32">
            <v>1806.1</v>
          </cell>
          <cell r="G32">
            <v>0</v>
          </cell>
          <cell r="H32">
            <v>0</v>
          </cell>
          <cell r="I32">
            <v>0</v>
          </cell>
          <cell r="J32">
            <v>0</v>
          </cell>
          <cell r="K32">
            <v>0</v>
          </cell>
          <cell r="L32">
            <v>0</v>
          </cell>
          <cell r="M32">
            <v>5311.1003299003405</v>
          </cell>
          <cell r="N32">
            <v>3429.8</v>
          </cell>
          <cell r="O32">
            <v>5236.2996700995991</v>
          </cell>
          <cell r="P32">
            <v>2344.9</v>
          </cell>
          <cell r="Q32">
            <v>0</v>
          </cell>
          <cell r="R32">
            <v>0</v>
          </cell>
        </row>
        <row r="33">
          <cell r="B33" t="str">
            <v>112780</v>
          </cell>
          <cell r="E33">
            <v>3631</v>
          </cell>
          <cell r="F33">
            <v>2007.8001953124999</v>
          </cell>
          <cell r="G33">
            <v>0</v>
          </cell>
          <cell r="H33">
            <v>0</v>
          </cell>
          <cell r="I33">
            <v>0</v>
          </cell>
          <cell r="J33">
            <v>0</v>
          </cell>
          <cell r="K33">
            <v>0</v>
          </cell>
          <cell r="L33">
            <v>0</v>
          </cell>
          <cell r="M33">
            <v>5640.4</v>
          </cell>
          <cell r="N33">
            <v>3589.9</v>
          </cell>
          <cell r="O33">
            <v>5408.5</v>
          </cell>
          <cell r="P33">
            <v>2546.6</v>
          </cell>
          <cell r="Q33">
            <v>0</v>
          </cell>
          <cell r="R33">
            <v>0</v>
          </cell>
        </row>
        <row r="34">
          <cell r="B34" t="str">
            <v>112765</v>
          </cell>
          <cell r="E34">
            <v>3410.2</v>
          </cell>
          <cell r="F34">
            <v>2144.0000030517576</v>
          </cell>
          <cell r="G34">
            <v>0</v>
          </cell>
          <cell r="H34">
            <v>0</v>
          </cell>
          <cell r="I34">
            <v>5412.2</v>
          </cell>
          <cell r="J34">
            <v>3542.9</v>
          </cell>
          <cell r="K34">
            <v>5412.2</v>
          </cell>
          <cell r="L34">
            <v>3542.9</v>
          </cell>
          <cell r="M34">
            <v>5904.3003906249996</v>
          </cell>
          <cell r="N34">
            <v>3691.4</v>
          </cell>
          <cell r="O34">
            <v>5492.1</v>
          </cell>
          <cell r="P34">
            <v>2724.0000244140624</v>
          </cell>
          <cell r="Q34">
            <v>0</v>
          </cell>
          <cell r="R34">
            <v>0</v>
          </cell>
        </row>
        <row r="35">
          <cell r="B35" t="str">
            <v>112750</v>
          </cell>
          <cell r="E35">
            <v>4253.6000000000004</v>
          </cell>
          <cell r="F35">
            <v>2292.8998046874999</v>
          </cell>
          <cell r="G35">
            <v>0</v>
          </cell>
          <cell r="H35">
            <v>0</v>
          </cell>
          <cell r="I35">
            <v>6255.5</v>
          </cell>
          <cell r="J35">
            <v>3691.8</v>
          </cell>
          <cell r="K35">
            <v>6255.5</v>
          </cell>
          <cell r="L35">
            <v>3691.8</v>
          </cell>
          <cell r="M35">
            <v>6154.6</v>
          </cell>
          <cell r="N35">
            <v>3903.9</v>
          </cell>
          <cell r="O35">
            <v>6335.400390625</v>
          </cell>
          <cell r="P35">
            <v>2872.9</v>
          </cell>
          <cell r="Q35">
            <v>0</v>
          </cell>
          <cell r="R35">
            <v>0</v>
          </cell>
        </row>
        <row r="36">
          <cell r="B36" t="str">
            <v>112735</v>
          </cell>
          <cell r="E36">
            <v>4426.6000000000004</v>
          </cell>
          <cell r="F36">
            <v>2437</v>
          </cell>
          <cell r="G36">
            <v>5166.7</v>
          </cell>
          <cell r="H36">
            <v>2531.8000000000002</v>
          </cell>
          <cell r="I36">
            <v>6444.2003906250002</v>
          </cell>
          <cell r="J36">
            <v>3835.9</v>
          </cell>
          <cell r="K36">
            <v>6444.2003906250002</v>
          </cell>
          <cell r="L36">
            <v>3835.9</v>
          </cell>
          <cell r="M36">
            <v>6373</v>
          </cell>
          <cell r="N36">
            <v>4055.5</v>
          </cell>
          <cell r="O36">
            <v>6524.1003906249998</v>
          </cell>
          <cell r="P36">
            <v>3017</v>
          </cell>
          <cell r="Q36">
            <v>0</v>
          </cell>
          <cell r="R36">
            <v>0</v>
          </cell>
        </row>
        <row r="37">
          <cell r="B37" t="str">
            <v>112720</v>
          </cell>
          <cell r="E37">
            <v>4520.8</v>
          </cell>
          <cell r="F37">
            <v>2584.8000000000002</v>
          </cell>
          <cell r="G37">
            <v>0</v>
          </cell>
          <cell r="H37">
            <v>0</v>
          </cell>
          <cell r="I37">
            <v>6522.8003906249996</v>
          </cell>
          <cell r="J37">
            <v>3983.7001953125</v>
          </cell>
          <cell r="K37">
            <v>6522.8003906249996</v>
          </cell>
          <cell r="L37">
            <v>3983.7001953125</v>
          </cell>
          <cell r="M37">
            <v>0</v>
          </cell>
          <cell r="N37">
            <v>0</v>
          </cell>
          <cell r="O37">
            <v>0</v>
          </cell>
          <cell r="P37">
            <v>0</v>
          </cell>
          <cell r="Q37">
            <v>0</v>
          </cell>
          <cell r="R37">
            <v>0</v>
          </cell>
        </row>
        <row r="38">
          <cell r="B38" t="str">
            <v>112705</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B39" t="str">
            <v>112690</v>
          </cell>
          <cell r="E39">
            <v>0</v>
          </cell>
          <cell r="F39">
            <v>0</v>
          </cell>
          <cell r="G39">
            <v>0</v>
          </cell>
          <cell r="H39">
            <v>0</v>
          </cell>
          <cell r="I39">
            <v>0</v>
          </cell>
          <cell r="J39">
            <v>0</v>
          </cell>
          <cell r="K39">
            <v>0</v>
          </cell>
          <cell r="L39">
            <v>0</v>
          </cell>
          <cell r="M39">
            <v>0</v>
          </cell>
          <cell r="N39">
            <v>0</v>
          </cell>
          <cell r="O39">
            <v>0</v>
          </cell>
          <cell r="P39">
            <v>0</v>
          </cell>
          <cell r="Q39">
            <v>0</v>
          </cell>
          <cell r="R39">
            <v>0</v>
          </cell>
        </row>
        <row r="40">
          <cell r="B40" t="str">
            <v>00</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B41" t="str">
            <v>00</v>
          </cell>
          <cell r="E41">
            <v>0</v>
          </cell>
          <cell r="F41">
            <v>0</v>
          </cell>
          <cell r="G41">
            <v>0</v>
          </cell>
          <cell r="H41">
            <v>0</v>
          </cell>
          <cell r="I41">
            <v>0</v>
          </cell>
          <cell r="J41">
            <v>0</v>
          </cell>
          <cell r="K41">
            <v>0</v>
          </cell>
          <cell r="L41">
            <v>0</v>
          </cell>
          <cell r="M41">
            <v>0</v>
          </cell>
          <cell r="N41">
            <v>0</v>
          </cell>
          <cell r="O41">
            <v>0</v>
          </cell>
          <cell r="P41">
            <v>0</v>
          </cell>
          <cell r="Q41">
            <v>0</v>
          </cell>
          <cell r="R41">
            <v>0</v>
          </cell>
        </row>
        <row r="42">
          <cell r="B42" t="str">
            <v>123005</v>
          </cell>
          <cell r="E42">
            <v>0</v>
          </cell>
          <cell r="F42">
            <v>0</v>
          </cell>
          <cell r="G42">
            <v>0</v>
          </cell>
          <cell r="H42">
            <v>0</v>
          </cell>
          <cell r="I42">
            <v>0</v>
          </cell>
          <cell r="J42">
            <v>0</v>
          </cell>
          <cell r="K42">
            <v>0</v>
          </cell>
          <cell r="L42">
            <v>0</v>
          </cell>
          <cell r="M42">
            <v>3605.8</v>
          </cell>
          <cell r="N42">
            <v>901.3</v>
          </cell>
          <cell r="O42">
            <v>0</v>
          </cell>
          <cell r="P42">
            <v>0</v>
          </cell>
          <cell r="Q42">
            <v>0</v>
          </cell>
          <cell r="R42">
            <v>0</v>
          </cell>
        </row>
        <row r="43">
          <cell r="B43" t="str">
            <v>122990</v>
          </cell>
          <cell r="E43">
            <v>0</v>
          </cell>
          <cell r="F43">
            <v>0</v>
          </cell>
          <cell r="G43">
            <v>0</v>
          </cell>
          <cell r="H43">
            <v>0</v>
          </cell>
          <cell r="I43">
            <v>0</v>
          </cell>
          <cell r="J43">
            <v>0</v>
          </cell>
          <cell r="K43">
            <v>0</v>
          </cell>
          <cell r="L43">
            <v>0</v>
          </cell>
          <cell r="M43">
            <v>3037.9</v>
          </cell>
          <cell r="N43">
            <v>1243.9000000000001</v>
          </cell>
          <cell r="O43">
            <v>0</v>
          </cell>
          <cell r="P43">
            <v>0</v>
          </cell>
          <cell r="Q43">
            <v>0</v>
          </cell>
          <cell r="R43">
            <v>0</v>
          </cell>
        </row>
        <row r="44">
          <cell r="B44" t="str">
            <v>122975</v>
          </cell>
          <cell r="E44">
            <v>0</v>
          </cell>
          <cell r="F44">
            <v>0</v>
          </cell>
          <cell r="G44">
            <v>0</v>
          </cell>
          <cell r="H44">
            <v>0</v>
          </cell>
          <cell r="I44">
            <v>0</v>
          </cell>
          <cell r="J44">
            <v>0</v>
          </cell>
          <cell r="K44">
            <v>0</v>
          </cell>
          <cell r="L44">
            <v>0</v>
          </cell>
          <cell r="M44">
            <v>3123.6001953125001</v>
          </cell>
          <cell r="N44">
            <v>1393.1</v>
          </cell>
          <cell r="O44">
            <v>0</v>
          </cell>
          <cell r="P44">
            <v>0</v>
          </cell>
          <cell r="Q44">
            <v>0</v>
          </cell>
          <cell r="R44">
            <v>0</v>
          </cell>
        </row>
        <row r="45">
          <cell r="B45" t="str">
            <v>122960</v>
          </cell>
          <cell r="E45">
            <v>0</v>
          </cell>
          <cell r="F45">
            <v>0</v>
          </cell>
          <cell r="G45">
            <v>0</v>
          </cell>
          <cell r="H45">
            <v>0</v>
          </cell>
          <cell r="I45">
            <v>0</v>
          </cell>
          <cell r="J45">
            <v>0</v>
          </cell>
          <cell r="K45">
            <v>0</v>
          </cell>
          <cell r="L45">
            <v>0</v>
          </cell>
          <cell r="M45">
            <v>3401.8</v>
          </cell>
          <cell r="N45">
            <v>1571.3</v>
          </cell>
          <cell r="O45">
            <v>0</v>
          </cell>
          <cell r="P45">
            <v>0</v>
          </cell>
          <cell r="Q45">
            <v>0</v>
          </cell>
          <cell r="R45">
            <v>0</v>
          </cell>
        </row>
        <row r="46">
          <cell r="B46" t="str">
            <v>122945</v>
          </cell>
          <cell r="E46">
            <v>0</v>
          </cell>
          <cell r="F46">
            <v>0</v>
          </cell>
          <cell r="G46">
            <v>0</v>
          </cell>
          <cell r="H46">
            <v>0</v>
          </cell>
          <cell r="I46">
            <v>0</v>
          </cell>
          <cell r="J46">
            <v>0</v>
          </cell>
          <cell r="K46">
            <v>0</v>
          </cell>
          <cell r="L46">
            <v>0</v>
          </cell>
          <cell r="M46">
            <v>3584</v>
          </cell>
          <cell r="N46">
            <v>1724.2</v>
          </cell>
          <cell r="O46">
            <v>0</v>
          </cell>
          <cell r="P46">
            <v>0</v>
          </cell>
          <cell r="Q46">
            <v>0</v>
          </cell>
          <cell r="R46">
            <v>0</v>
          </cell>
        </row>
        <row r="47">
          <cell r="B47" t="str">
            <v>122930</v>
          </cell>
          <cell r="E47">
            <v>0</v>
          </cell>
          <cell r="F47">
            <v>0</v>
          </cell>
          <cell r="G47">
            <v>0</v>
          </cell>
          <cell r="H47">
            <v>0</v>
          </cell>
          <cell r="I47">
            <v>0</v>
          </cell>
          <cell r="J47">
            <v>0</v>
          </cell>
          <cell r="K47">
            <v>0</v>
          </cell>
          <cell r="L47">
            <v>0</v>
          </cell>
          <cell r="M47">
            <v>3703.2</v>
          </cell>
          <cell r="N47">
            <v>1867</v>
          </cell>
          <cell r="O47">
            <v>0</v>
          </cell>
          <cell r="P47">
            <v>0</v>
          </cell>
          <cell r="Q47">
            <v>0</v>
          </cell>
          <cell r="R47">
            <v>0</v>
          </cell>
        </row>
        <row r="48">
          <cell r="B48" t="str">
            <v>122915</v>
          </cell>
          <cell r="E48">
            <v>0</v>
          </cell>
          <cell r="F48">
            <v>0</v>
          </cell>
          <cell r="G48">
            <v>0</v>
          </cell>
          <cell r="H48">
            <v>0</v>
          </cell>
          <cell r="I48">
            <v>0</v>
          </cell>
          <cell r="J48">
            <v>0</v>
          </cell>
          <cell r="K48">
            <v>0</v>
          </cell>
          <cell r="L48">
            <v>0</v>
          </cell>
          <cell r="M48">
            <v>3997.4</v>
          </cell>
          <cell r="N48">
            <v>2010.100048828125</v>
          </cell>
          <cell r="O48">
            <v>0</v>
          </cell>
          <cell r="P48">
            <v>0</v>
          </cell>
          <cell r="Q48">
            <v>0</v>
          </cell>
          <cell r="R48">
            <v>0</v>
          </cell>
        </row>
        <row r="49">
          <cell r="B49" t="str">
            <v>122900</v>
          </cell>
          <cell r="E49">
            <v>3366.3079497450426</v>
          </cell>
          <cell r="F49">
            <v>1584.9</v>
          </cell>
          <cell r="G49">
            <v>4161.3</v>
          </cell>
          <cell r="H49">
            <v>1565.2</v>
          </cell>
          <cell r="I49">
            <v>0</v>
          </cell>
          <cell r="J49">
            <v>0</v>
          </cell>
          <cell r="K49">
            <v>0</v>
          </cell>
          <cell r="L49">
            <v>0</v>
          </cell>
          <cell r="M49">
            <v>4065.4354313811482</v>
          </cell>
          <cell r="N49">
            <v>2191.0761234681886</v>
          </cell>
          <cell r="O49">
            <v>5156.1999441660009</v>
          </cell>
          <cell r="P49">
            <v>2123.7000139584998</v>
          </cell>
          <cell r="Q49">
            <v>0</v>
          </cell>
          <cell r="R49">
            <v>0</v>
          </cell>
        </row>
        <row r="50">
          <cell r="B50" t="str">
            <v>122885</v>
          </cell>
          <cell r="E50">
            <v>3177.7998046875</v>
          </cell>
          <cell r="F50">
            <v>1427</v>
          </cell>
          <cell r="G50">
            <v>0</v>
          </cell>
          <cell r="H50">
            <v>0</v>
          </cell>
          <cell r="I50">
            <v>0</v>
          </cell>
          <cell r="J50">
            <v>0</v>
          </cell>
          <cell r="K50">
            <v>0</v>
          </cell>
          <cell r="L50">
            <v>0</v>
          </cell>
          <cell r="M50">
            <v>4278.8999999999996</v>
          </cell>
          <cell r="N50">
            <v>2398</v>
          </cell>
          <cell r="O50">
            <v>4955.2</v>
          </cell>
          <cell r="P50">
            <v>1965.8</v>
          </cell>
          <cell r="Q50">
            <v>0</v>
          </cell>
          <cell r="R50">
            <v>0</v>
          </cell>
        </row>
        <row r="51">
          <cell r="B51" t="str">
            <v>122870</v>
          </cell>
          <cell r="E51">
            <v>3028.7</v>
          </cell>
          <cell r="F51">
            <v>1279.5</v>
          </cell>
          <cell r="G51">
            <v>0</v>
          </cell>
          <cell r="H51">
            <v>0</v>
          </cell>
          <cell r="I51">
            <v>0</v>
          </cell>
          <cell r="J51">
            <v>0</v>
          </cell>
          <cell r="K51">
            <v>0</v>
          </cell>
          <cell r="L51">
            <v>0</v>
          </cell>
          <cell r="M51">
            <v>4452</v>
          </cell>
          <cell r="N51">
            <v>2540.4</v>
          </cell>
          <cell r="O51">
            <v>4806.1000000000004</v>
          </cell>
          <cell r="P51">
            <v>1818.3</v>
          </cell>
          <cell r="Q51">
            <v>0</v>
          </cell>
          <cell r="R51">
            <v>0</v>
          </cell>
        </row>
        <row r="52">
          <cell r="B52" t="str">
            <v>122855</v>
          </cell>
          <cell r="E52">
            <v>2763.8</v>
          </cell>
          <cell r="F52">
            <v>1134.7</v>
          </cell>
          <cell r="G52">
            <v>0</v>
          </cell>
          <cell r="H52">
            <v>0</v>
          </cell>
          <cell r="I52">
            <v>0</v>
          </cell>
          <cell r="J52">
            <v>0</v>
          </cell>
          <cell r="K52">
            <v>0</v>
          </cell>
          <cell r="L52">
            <v>0</v>
          </cell>
          <cell r="M52">
            <v>4769.6000000000004</v>
          </cell>
          <cell r="N52">
            <v>2697.89990234375</v>
          </cell>
          <cell r="O52">
            <v>4541.2996093749998</v>
          </cell>
          <cell r="P52">
            <v>1673.4999267578125</v>
          </cell>
          <cell r="Q52">
            <v>0</v>
          </cell>
          <cell r="R52">
            <v>0</v>
          </cell>
        </row>
        <row r="53">
          <cell r="B53" t="str">
            <v>122840</v>
          </cell>
          <cell r="E53">
            <v>2714.4001953124998</v>
          </cell>
          <cell r="F53">
            <v>1295</v>
          </cell>
          <cell r="G53">
            <v>0</v>
          </cell>
          <cell r="H53">
            <v>0</v>
          </cell>
          <cell r="I53">
            <v>0</v>
          </cell>
          <cell r="J53">
            <v>0</v>
          </cell>
          <cell r="K53">
            <v>0</v>
          </cell>
          <cell r="L53">
            <v>0</v>
          </cell>
          <cell r="M53">
            <v>4903.7</v>
          </cell>
          <cell r="N53">
            <v>2843</v>
          </cell>
          <cell r="O53">
            <v>4611.8</v>
          </cell>
          <cell r="P53">
            <v>1850</v>
          </cell>
          <cell r="Q53">
            <v>0</v>
          </cell>
          <cell r="R53">
            <v>0</v>
          </cell>
        </row>
        <row r="54">
          <cell r="B54" t="str">
            <v>122825</v>
          </cell>
          <cell r="E54">
            <v>2711.1998046875001</v>
          </cell>
          <cell r="F54">
            <v>1445.4001007080078</v>
          </cell>
          <cell r="G54">
            <v>0</v>
          </cell>
          <cell r="H54">
            <v>0</v>
          </cell>
          <cell r="I54">
            <v>0</v>
          </cell>
          <cell r="J54">
            <v>0</v>
          </cell>
          <cell r="K54">
            <v>0</v>
          </cell>
          <cell r="L54">
            <v>0</v>
          </cell>
          <cell r="M54">
            <v>5100.8</v>
          </cell>
          <cell r="N54">
            <v>3023.2000976562499</v>
          </cell>
          <cell r="O54">
            <v>4793</v>
          </cell>
          <cell r="P54">
            <v>2025.4</v>
          </cell>
          <cell r="Q54">
            <v>0</v>
          </cell>
          <cell r="R54">
            <v>0</v>
          </cell>
        </row>
        <row r="55">
          <cell r="B55" t="str">
            <v>122810</v>
          </cell>
          <cell r="E55">
            <v>3616.3</v>
          </cell>
          <cell r="F55">
            <v>1571.2</v>
          </cell>
          <cell r="G55">
            <v>0</v>
          </cell>
          <cell r="H55">
            <v>0</v>
          </cell>
          <cell r="I55">
            <v>0</v>
          </cell>
          <cell r="J55">
            <v>0</v>
          </cell>
          <cell r="K55">
            <v>0</v>
          </cell>
          <cell r="L55">
            <v>0</v>
          </cell>
          <cell r="M55">
            <v>5510.1</v>
          </cell>
          <cell r="N55">
            <v>3182.3</v>
          </cell>
          <cell r="O55">
            <v>5698.1</v>
          </cell>
          <cell r="P55">
            <v>2151.1999999999998</v>
          </cell>
          <cell r="Q55">
            <v>0</v>
          </cell>
          <cell r="R55">
            <v>0</v>
          </cell>
        </row>
        <row r="56">
          <cell r="B56" t="str">
            <v>122795</v>
          </cell>
          <cell r="E56">
            <v>3757.3</v>
          </cell>
          <cell r="F56">
            <v>1757.1000030517578</v>
          </cell>
          <cell r="G56">
            <v>0</v>
          </cell>
          <cell r="H56">
            <v>0</v>
          </cell>
          <cell r="I56">
            <v>0</v>
          </cell>
          <cell r="J56">
            <v>0</v>
          </cell>
          <cell r="K56">
            <v>0</v>
          </cell>
          <cell r="L56">
            <v>0</v>
          </cell>
          <cell r="M56">
            <v>5682.3003906249996</v>
          </cell>
          <cell r="N56">
            <v>3375.699998474121</v>
          </cell>
          <cell r="O56">
            <v>5839.2</v>
          </cell>
          <cell r="P56">
            <v>2337.1</v>
          </cell>
          <cell r="Q56">
            <v>0</v>
          </cell>
          <cell r="R56">
            <v>0</v>
          </cell>
        </row>
        <row r="57">
          <cell r="B57" t="str">
            <v>122780</v>
          </cell>
          <cell r="E57">
            <v>3877.7</v>
          </cell>
          <cell r="F57">
            <v>1968.8</v>
          </cell>
          <cell r="G57">
            <v>0</v>
          </cell>
          <cell r="H57">
            <v>0</v>
          </cell>
          <cell r="I57">
            <v>0</v>
          </cell>
          <cell r="J57">
            <v>0</v>
          </cell>
          <cell r="K57">
            <v>0</v>
          </cell>
          <cell r="L57">
            <v>0</v>
          </cell>
          <cell r="M57">
            <v>5923.8</v>
          </cell>
          <cell r="N57">
            <v>3534.9</v>
          </cell>
          <cell r="O57">
            <v>5959.5</v>
          </cell>
          <cell r="P57">
            <v>2548.8000000000002</v>
          </cell>
          <cell r="Q57">
            <v>0</v>
          </cell>
          <cell r="R57">
            <v>0</v>
          </cell>
        </row>
        <row r="58">
          <cell r="B58" t="str">
            <v>122765</v>
          </cell>
          <cell r="E58">
            <v>4065</v>
          </cell>
          <cell r="F58">
            <v>2146.8000000000002</v>
          </cell>
          <cell r="G58">
            <v>4768.5</v>
          </cell>
          <cell r="H58">
            <v>2201</v>
          </cell>
          <cell r="I58">
            <v>6068.6003906249998</v>
          </cell>
          <cell r="J58">
            <v>3545.2000976562499</v>
          </cell>
          <cell r="K58">
            <v>6068.6003906249998</v>
          </cell>
          <cell r="L58">
            <v>3545.2000976562499</v>
          </cell>
          <cell r="M58">
            <v>6298.1</v>
          </cell>
          <cell r="N58">
            <v>3712.5</v>
          </cell>
          <cell r="O58">
            <v>6148.4</v>
          </cell>
          <cell r="P58">
            <v>2726.2999755859373</v>
          </cell>
          <cell r="Q58">
            <v>0</v>
          </cell>
          <cell r="R58">
            <v>0</v>
          </cell>
        </row>
        <row r="59">
          <cell r="B59" t="str">
            <v>122750</v>
          </cell>
          <cell r="E59">
            <v>4446.1439742692328</v>
          </cell>
          <cell r="F59">
            <v>2256.8000000000002</v>
          </cell>
          <cell r="G59">
            <v>4780</v>
          </cell>
          <cell r="H59">
            <v>2351.6</v>
          </cell>
          <cell r="I59">
            <v>6324.6</v>
          </cell>
          <cell r="J59">
            <v>3655.7000289174161</v>
          </cell>
          <cell r="K59">
            <v>6324.6</v>
          </cell>
          <cell r="L59">
            <v>3655.7000289174161</v>
          </cell>
          <cell r="M59">
            <v>6568.8</v>
          </cell>
          <cell r="N59">
            <v>3817.1</v>
          </cell>
          <cell r="O59">
            <v>6404.5</v>
          </cell>
          <cell r="P59">
            <v>2836.8</v>
          </cell>
          <cell r="Q59">
            <v>0</v>
          </cell>
          <cell r="R59">
            <v>0</v>
          </cell>
        </row>
        <row r="60">
          <cell r="B60" t="str">
            <v>122735</v>
          </cell>
          <cell r="E60">
            <v>4446.3999999999996</v>
          </cell>
          <cell r="F60">
            <v>2403.5</v>
          </cell>
          <cell r="G60">
            <v>0</v>
          </cell>
          <cell r="H60">
            <v>0</v>
          </cell>
          <cell r="I60">
            <v>6448.4</v>
          </cell>
          <cell r="J60">
            <v>3802.4</v>
          </cell>
          <cell r="K60">
            <v>6448.4</v>
          </cell>
          <cell r="L60">
            <v>3802.4</v>
          </cell>
          <cell r="M60">
            <v>6730.9</v>
          </cell>
          <cell r="N60">
            <v>4015.39990234375</v>
          </cell>
          <cell r="O60">
            <v>6528.3003906249996</v>
          </cell>
          <cell r="P60">
            <v>2983.5000244140624</v>
          </cell>
          <cell r="Q60">
            <v>0</v>
          </cell>
          <cell r="R60">
            <v>0</v>
          </cell>
        </row>
        <row r="61">
          <cell r="B61" t="str">
            <v>122720</v>
          </cell>
          <cell r="E61">
            <v>4566.3999999999996</v>
          </cell>
          <cell r="F61">
            <v>2546.9</v>
          </cell>
          <cell r="G61">
            <v>0</v>
          </cell>
          <cell r="H61">
            <v>0</v>
          </cell>
          <cell r="I61">
            <v>6568.7123880516065</v>
          </cell>
          <cell r="J61">
            <v>3945.8669590234267</v>
          </cell>
          <cell r="K61">
            <v>6568.7123880516065</v>
          </cell>
          <cell r="L61">
            <v>3945.8669590234267</v>
          </cell>
          <cell r="M61">
            <v>0</v>
          </cell>
          <cell r="N61">
            <v>0</v>
          </cell>
          <cell r="O61">
            <v>6648.3</v>
          </cell>
          <cell r="P61">
            <v>3126.9000244140625</v>
          </cell>
          <cell r="Q61">
            <v>8355.7000000000007</v>
          </cell>
          <cell r="R61">
            <v>4328.8999999999996</v>
          </cell>
        </row>
        <row r="62">
          <cell r="B62" t="str">
            <v>122705</v>
          </cell>
          <cell r="E62">
            <v>5026.3999999999996</v>
          </cell>
          <cell r="F62">
            <v>2790.3</v>
          </cell>
          <cell r="G62">
            <v>0</v>
          </cell>
          <cell r="H62">
            <v>0</v>
          </cell>
          <cell r="I62">
            <v>7028.4</v>
          </cell>
          <cell r="J62">
            <v>4189.2</v>
          </cell>
          <cell r="K62">
            <v>7028.4</v>
          </cell>
          <cell r="L62">
            <v>4189.2</v>
          </cell>
          <cell r="M62">
            <v>0</v>
          </cell>
          <cell r="N62">
            <v>0</v>
          </cell>
          <cell r="O62">
            <v>0</v>
          </cell>
          <cell r="P62">
            <v>0</v>
          </cell>
          <cell r="Q62">
            <v>0</v>
          </cell>
          <cell r="R62">
            <v>0</v>
          </cell>
        </row>
        <row r="63">
          <cell r="B63" t="str">
            <v>122690</v>
          </cell>
          <cell r="E63">
            <v>0</v>
          </cell>
          <cell r="F63">
            <v>0</v>
          </cell>
          <cell r="G63">
            <v>0</v>
          </cell>
          <cell r="H63">
            <v>0</v>
          </cell>
          <cell r="I63">
            <v>0</v>
          </cell>
          <cell r="J63">
            <v>0</v>
          </cell>
          <cell r="K63">
            <v>0</v>
          </cell>
          <cell r="L63">
            <v>0</v>
          </cell>
          <cell r="M63">
            <v>0</v>
          </cell>
          <cell r="N63">
            <v>0</v>
          </cell>
          <cell r="O63">
            <v>0</v>
          </cell>
          <cell r="P63">
            <v>0</v>
          </cell>
          <cell r="Q63">
            <v>0</v>
          </cell>
          <cell r="R63">
            <v>0</v>
          </cell>
        </row>
        <row r="64">
          <cell r="B64" t="str">
            <v>00</v>
          </cell>
          <cell r="E64">
            <v>0</v>
          </cell>
          <cell r="F64">
            <v>0</v>
          </cell>
          <cell r="G64">
            <v>0</v>
          </cell>
          <cell r="H64">
            <v>0</v>
          </cell>
          <cell r="I64">
            <v>0</v>
          </cell>
          <cell r="J64">
            <v>0</v>
          </cell>
          <cell r="K64">
            <v>0</v>
          </cell>
          <cell r="L64">
            <v>0</v>
          </cell>
          <cell r="M64">
            <v>0</v>
          </cell>
          <cell r="N64">
            <v>0</v>
          </cell>
          <cell r="O64">
            <v>0</v>
          </cell>
          <cell r="P64">
            <v>0</v>
          </cell>
          <cell r="Q64">
            <v>0</v>
          </cell>
          <cell r="R64">
            <v>0</v>
          </cell>
        </row>
        <row r="65">
          <cell r="B65" t="str">
            <v>00</v>
          </cell>
          <cell r="E65">
            <v>0</v>
          </cell>
          <cell r="F65">
            <v>0</v>
          </cell>
          <cell r="G65">
            <v>0</v>
          </cell>
          <cell r="H65">
            <v>0</v>
          </cell>
          <cell r="I65">
            <v>0</v>
          </cell>
          <cell r="J65">
            <v>0</v>
          </cell>
          <cell r="K65">
            <v>0</v>
          </cell>
          <cell r="L65">
            <v>0</v>
          </cell>
          <cell r="M65">
            <v>0</v>
          </cell>
          <cell r="N65">
            <v>0</v>
          </cell>
          <cell r="O65">
            <v>0</v>
          </cell>
          <cell r="P65">
            <v>0</v>
          </cell>
          <cell r="Q65">
            <v>0</v>
          </cell>
          <cell r="R65">
            <v>0</v>
          </cell>
        </row>
        <row r="66">
          <cell r="B66" t="str">
            <v>133050</v>
          </cell>
          <cell r="E66">
            <v>0</v>
          </cell>
          <cell r="F66">
            <v>0</v>
          </cell>
          <cell r="G66">
            <v>0</v>
          </cell>
          <cell r="H66">
            <v>0</v>
          </cell>
          <cell r="I66">
            <v>0</v>
          </cell>
          <cell r="J66">
            <v>0</v>
          </cell>
          <cell r="K66">
            <v>0</v>
          </cell>
          <cell r="L66">
            <v>0</v>
          </cell>
          <cell r="M66">
            <v>0</v>
          </cell>
          <cell r="N66">
            <v>0</v>
          </cell>
          <cell r="O66">
            <v>0</v>
          </cell>
          <cell r="P66">
            <v>0</v>
          </cell>
          <cell r="Q66">
            <v>0</v>
          </cell>
          <cell r="R66">
            <v>0</v>
          </cell>
        </row>
        <row r="67">
          <cell r="B67" t="str">
            <v>133035</v>
          </cell>
          <cell r="E67">
            <v>0</v>
          </cell>
          <cell r="F67">
            <v>0</v>
          </cell>
          <cell r="G67">
            <v>0</v>
          </cell>
          <cell r="H67">
            <v>0</v>
          </cell>
          <cell r="I67">
            <v>0</v>
          </cell>
          <cell r="J67">
            <v>0</v>
          </cell>
          <cell r="K67">
            <v>0</v>
          </cell>
          <cell r="L67">
            <v>0</v>
          </cell>
          <cell r="M67">
            <v>3637</v>
          </cell>
          <cell r="N67">
            <v>1696.1</v>
          </cell>
          <cell r="O67">
            <v>0</v>
          </cell>
          <cell r="P67">
            <v>0</v>
          </cell>
          <cell r="Q67">
            <v>0</v>
          </cell>
          <cell r="R67">
            <v>0</v>
          </cell>
        </row>
        <row r="68">
          <cell r="B68" t="str">
            <v>133020</v>
          </cell>
          <cell r="E68">
            <v>0</v>
          </cell>
          <cell r="F68">
            <v>0</v>
          </cell>
          <cell r="G68">
            <v>0</v>
          </cell>
          <cell r="H68">
            <v>0</v>
          </cell>
          <cell r="I68">
            <v>0</v>
          </cell>
          <cell r="J68">
            <v>0</v>
          </cell>
          <cell r="K68">
            <v>0</v>
          </cell>
          <cell r="L68">
            <v>0</v>
          </cell>
          <cell r="M68">
            <v>3462.6996093749999</v>
          </cell>
          <cell r="N68">
            <v>1545.4</v>
          </cell>
          <cell r="O68">
            <v>0</v>
          </cell>
          <cell r="P68">
            <v>0</v>
          </cell>
          <cell r="Q68">
            <v>0</v>
          </cell>
          <cell r="R68">
            <v>0</v>
          </cell>
        </row>
        <row r="69">
          <cell r="B69" t="str">
            <v>133005</v>
          </cell>
          <cell r="E69">
            <v>0</v>
          </cell>
          <cell r="F69">
            <v>0</v>
          </cell>
          <cell r="G69">
            <v>0</v>
          </cell>
          <cell r="H69">
            <v>0</v>
          </cell>
          <cell r="I69">
            <v>0</v>
          </cell>
          <cell r="J69">
            <v>0</v>
          </cell>
          <cell r="K69">
            <v>0</v>
          </cell>
          <cell r="L69">
            <v>0</v>
          </cell>
          <cell r="M69">
            <v>3264.1</v>
          </cell>
          <cell r="N69">
            <v>1394.6</v>
          </cell>
          <cell r="O69">
            <v>0</v>
          </cell>
          <cell r="P69">
            <v>0</v>
          </cell>
          <cell r="Q69">
            <v>0</v>
          </cell>
          <cell r="R69">
            <v>0</v>
          </cell>
        </row>
        <row r="70">
          <cell r="B70" t="str">
            <v>132990</v>
          </cell>
          <cell r="E70">
            <v>0</v>
          </cell>
          <cell r="F70">
            <v>0</v>
          </cell>
          <cell r="G70">
            <v>0</v>
          </cell>
          <cell r="H70">
            <v>0</v>
          </cell>
          <cell r="I70">
            <v>0</v>
          </cell>
          <cell r="J70">
            <v>0</v>
          </cell>
          <cell r="K70">
            <v>0</v>
          </cell>
          <cell r="L70">
            <v>0</v>
          </cell>
          <cell r="M70">
            <v>3830.5343917131272</v>
          </cell>
          <cell r="N70">
            <v>1243.8999988386024</v>
          </cell>
          <cell r="O70">
            <v>0</v>
          </cell>
          <cell r="P70">
            <v>0</v>
          </cell>
          <cell r="Q70">
            <v>0</v>
          </cell>
          <cell r="R70">
            <v>0</v>
          </cell>
        </row>
        <row r="71">
          <cell r="B71" t="str">
            <v>132975</v>
          </cell>
          <cell r="E71">
            <v>0</v>
          </cell>
          <cell r="F71">
            <v>0</v>
          </cell>
          <cell r="G71">
            <v>0</v>
          </cell>
          <cell r="H71">
            <v>0</v>
          </cell>
          <cell r="I71">
            <v>0</v>
          </cell>
          <cell r="J71">
            <v>0</v>
          </cell>
          <cell r="K71">
            <v>0</v>
          </cell>
          <cell r="L71">
            <v>0</v>
          </cell>
          <cell r="M71">
            <v>3849.5</v>
          </cell>
          <cell r="N71">
            <v>1394.6</v>
          </cell>
          <cell r="O71">
            <v>0</v>
          </cell>
          <cell r="P71">
            <v>0</v>
          </cell>
          <cell r="Q71">
            <v>0</v>
          </cell>
          <cell r="R71">
            <v>0</v>
          </cell>
        </row>
        <row r="72">
          <cell r="B72" t="str">
            <v>132960</v>
          </cell>
          <cell r="E72">
            <v>0</v>
          </cell>
          <cell r="F72">
            <v>0</v>
          </cell>
          <cell r="G72">
            <v>0</v>
          </cell>
          <cell r="H72">
            <v>0</v>
          </cell>
          <cell r="I72">
            <v>0</v>
          </cell>
          <cell r="J72">
            <v>0</v>
          </cell>
          <cell r="K72">
            <v>0</v>
          </cell>
          <cell r="L72">
            <v>0</v>
          </cell>
          <cell r="M72">
            <v>4031.9</v>
          </cell>
          <cell r="N72">
            <v>1655.5</v>
          </cell>
          <cell r="O72">
            <v>5611.8996093750002</v>
          </cell>
          <cell r="P72">
            <v>1545.2999267578125</v>
          </cell>
          <cell r="Q72">
            <v>0</v>
          </cell>
          <cell r="R72">
            <v>0</v>
          </cell>
        </row>
        <row r="73">
          <cell r="B73" t="str">
            <v>132945</v>
          </cell>
          <cell r="E73">
            <v>0</v>
          </cell>
          <cell r="F73">
            <v>0</v>
          </cell>
          <cell r="G73">
            <v>3918.7</v>
          </cell>
          <cell r="H73">
            <v>1123.3</v>
          </cell>
          <cell r="I73">
            <v>0</v>
          </cell>
          <cell r="J73">
            <v>0</v>
          </cell>
          <cell r="K73">
            <v>0</v>
          </cell>
          <cell r="L73">
            <v>0</v>
          </cell>
          <cell r="M73">
            <v>3965.4</v>
          </cell>
          <cell r="N73">
            <v>1803.3</v>
          </cell>
          <cell r="O73">
            <v>5743.400390625</v>
          </cell>
          <cell r="P73">
            <v>1737.2000488281251</v>
          </cell>
          <cell r="Q73">
            <v>0</v>
          </cell>
          <cell r="R73">
            <v>0</v>
          </cell>
        </row>
        <row r="74">
          <cell r="B74" t="str">
            <v>132930</v>
          </cell>
          <cell r="E74">
            <v>0</v>
          </cell>
          <cell r="F74">
            <v>0</v>
          </cell>
          <cell r="G74">
            <v>0</v>
          </cell>
          <cell r="H74">
            <v>0</v>
          </cell>
          <cell r="I74">
            <v>0</v>
          </cell>
          <cell r="J74">
            <v>0</v>
          </cell>
          <cell r="K74">
            <v>0</v>
          </cell>
          <cell r="L74">
            <v>0</v>
          </cell>
          <cell r="M74">
            <v>4015.8</v>
          </cell>
          <cell r="N74">
            <v>1994.2</v>
          </cell>
          <cell r="O74">
            <v>5970.4</v>
          </cell>
          <cell r="P74">
            <v>1968.7</v>
          </cell>
          <cell r="Q74">
            <v>0</v>
          </cell>
          <cell r="R74">
            <v>0</v>
          </cell>
        </row>
        <row r="75">
          <cell r="B75" t="str">
            <v>132915</v>
          </cell>
          <cell r="E75">
            <v>3565.5</v>
          </cell>
          <cell r="F75">
            <v>1419.7</v>
          </cell>
          <cell r="G75">
            <v>0</v>
          </cell>
          <cell r="H75">
            <v>0</v>
          </cell>
          <cell r="I75">
            <v>0</v>
          </cell>
          <cell r="J75">
            <v>0</v>
          </cell>
          <cell r="K75">
            <v>0</v>
          </cell>
          <cell r="L75">
            <v>0</v>
          </cell>
          <cell r="M75">
            <v>4186.3</v>
          </cell>
          <cell r="N75">
            <v>2105.6</v>
          </cell>
          <cell r="O75">
            <v>0</v>
          </cell>
          <cell r="P75">
            <v>0</v>
          </cell>
          <cell r="Q75">
            <v>0</v>
          </cell>
          <cell r="R75">
            <v>0</v>
          </cell>
        </row>
        <row r="76">
          <cell r="B76" t="str">
            <v>132900</v>
          </cell>
          <cell r="E76">
            <v>3353.6</v>
          </cell>
          <cell r="F76">
            <v>1270.9000000000001</v>
          </cell>
          <cell r="G76">
            <v>0</v>
          </cell>
          <cell r="H76">
            <v>0</v>
          </cell>
          <cell r="I76">
            <v>0</v>
          </cell>
          <cell r="J76">
            <v>0</v>
          </cell>
          <cell r="K76">
            <v>0</v>
          </cell>
          <cell r="L76">
            <v>0</v>
          </cell>
          <cell r="M76">
            <v>4462</v>
          </cell>
          <cell r="N76">
            <v>2241.3000000000002</v>
          </cell>
          <cell r="O76">
            <v>5435.5</v>
          </cell>
          <cell r="P76">
            <v>1850.9</v>
          </cell>
          <cell r="Q76">
            <v>0</v>
          </cell>
          <cell r="R76">
            <v>0</v>
          </cell>
        </row>
        <row r="77">
          <cell r="B77" t="str">
            <v>132885</v>
          </cell>
          <cell r="E77">
            <v>3165.0379240697735</v>
          </cell>
          <cell r="F77">
            <v>1115.2999934016746</v>
          </cell>
          <cell r="G77">
            <v>3892</v>
          </cell>
          <cell r="H77">
            <v>1210.0999999999999</v>
          </cell>
          <cell r="I77">
            <v>0</v>
          </cell>
          <cell r="J77">
            <v>0</v>
          </cell>
          <cell r="K77">
            <v>0</v>
          </cell>
          <cell r="L77">
            <v>0</v>
          </cell>
          <cell r="M77">
            <v>4625.3999999999996</v>
          </cell>
          <cell r="N77">
            <v>2390.9</v>
          </cell>
          <cell r="O77">
            <v>5255.0002202211299</v>
          </cell>
          <cell r="P77">
            <v>1695.3</v>
          </cell>
          <cell r="Q77">
            <v>0</v>
          </cell>
          <cell r="R77">
            <v>0</v>
          </cell>
        </row>
        <row r="78">
          <cell r="B78" t="str">
            <v>132870</v>
          </cell>
          <cell r="E78">
            <v>3058.8</v>
          </cell>
          <cell r="F78">
            <v>973</v>
          </cell>
          <cell r="G78">
            <v>0</v>
          </cell>
          <cell r="H78">
            <v>0</v>
          </cell>
          <cell r="I78">
            <v>5060.7</v>
          </cell>
          <cell r="J78">
            <v>2371.9</v>
          </cell>
          <cell r="K78">
            <v>5060.7</v>
          </cell>
          <cell r="L78">
            <v>2371.9</v>
          </cell>
          <cell r="M78">
            <v>4789.8999999999996</v>
          </cell>
          <cell r="N78">
            <v>2585.0000976562501</v>
          </cell>
          <cell r="O78">
            <v>5140.6003906249998</v>
          </cell>
          <cell r="P78">
            <v>1553</v>
          </cell>
          <cell r="Q78">
            <v>0</v>
          </cell>
          <cell r="R78">
            <v>0</v>
          </cell>
        </row>
        <row r="79">
          <cell r="B79" t="str">
            <v>132855</v>
          </cell>
          <cell r="E79">
            <v>3073.0998046875002</v>
          </cell>
          <cell r="F79">
            <v>1123.8</v>
          </cell>
          <cell r="G79">
            <v>0</v>
          </cell>
          <cell r="H79">
            <v>0</v>
          </cell>
          <cell r="I79">
            <v>5075.1000000000004</v>
          </cell>
          <cell r="J79">
            <v>2522.6999999999998</v>
          </cell>
          <cell r="K79">
            <v>5075.1000000000004</v>
          </cell>
          <cell r="L79">
            <v>2522.6999999999998</v>
          </cell>
          <cell r="M79">
            <v>5227.7996093749998</v>
          </cell>
          <cell r="N79">
            <v>2736.3999008178716</v>
          </cell>
          <cell r="O79">
            <v>5155</v>
          </cell>
          <cell r="P79">
            <v>1703.8</v>
          </cell>
          <cell r="Q79">
            <v>0</v>
          </cell>
          <cell r="R79">
            <v>0</v>
          </cell>
        </row>
        <row r="80">
          <cell r="B80" t="str">
            <v>132840</v>
          </cell>
          <cell r="E80">
            <v>3583.9</v>
          </cell>
          <cell r="F80">
            <v>1267.8</v>
          </cell>
          <cell r="G80">
            <v>0</v>
          </cell>
          <cell r="H80">
            <v>0</v>
          </cell>
          <cell r="I80">
            <v>5585.9</v>
          </cell>
          <cell r="J80">
            <v>2666.7</v>
          </cell>
          <cell r="K80">
            <v>5585.9</v>
          </cell>
          <cell r="L80">
            <v>2666.7</v>
          </cell>
          <cell r="M80">
            <v>5466.5</v>
          </cell>
          <cell r="N80">
            <v>3098.7</v>
          </cell>
          <cell r="O80">
            <v>5665.7003906250002</v>
          </cell>
          <cell r="P80">
            <v>1847.8</v>
          </cell>
          <cell r="Q80">
            <v>0</v>
          </cell>
          <cell r="R80">
            <v>0</v>
          </cell>
        </row>
        <row r="81">
          <cell r="B81" t="str">
            <v>132825</v>
          </cell>
          <cell r="E81">
            <v>3745.1</v>
          </cell>
          <cell r="F81">
            <v>1423.3</v>
          </cell>
          <cell r="G81">
            <v>0</v>
          </cell>
          <cell r="H81">
            <v>0</v>
          </cell>
          <cell r="I81">
            <v>5747.1003906249998</v>
          </cell>
          <cell r="J81">
            <v>2822.1999023437502</v>
          </cell>
          <cell r="K81">
            <v>5747.1003906249998</v>
          </cell>
          <cell r="L81">
            <v>2822.1999023437502</v>
          </cell>
          <cell r="M81">
            <v>5482.3</v>
          </cell>
          <cell r="N81">
            <v>3333.4999984741212</v>
          </cell>
          <cell r="O81">
            <v>5567.4996093749996</v>
          </cell>
          <cell r="P81">
            <v>2102.6</v>
          </cell>
          <cell r="Q81">
            <v>0</v>
          </cell>
          <cell r="R81">
            <v>0</v>
          </cell>
        </row>
        <row r="82">
          <cell r="B82" t="str">
            <v>132810</v>
          </cell>
          <cell r="E82">
            <v>3928.5</v>
          </cell>
          <cell r="F82">
            <v>1560.4</v>
          </cell>
          <cell r="G82">
            <v>0</v>
          </cell>
          <cell r="H82">
            <v>0</v>
          </cell>
          <cell r="I82">
            <v>5930.4</v>
          </cell>
          <cell r="J82">
            <v>2959.3000976562498</v>
          </cell>
          <cell r="K82">
            <v>5930.4</v>
          </cell>
          <cell r="L82">
            <v>2959.3000976562498</v>
          </cell>
          <cell r="M82">
            <v>5894.7</v>
          </cell>
          <cell r="N82">
            <v>3126.8</v>
          </cell>
          <cell r="O82">
            <v>5610.4</v>
          </cell>
          <cell r="P82">
            <v>2293.4</v>
          </cell>
          <cell r="Q82">
            <v>0</v>
          </cell>
          <cell r="R82">
            <v>0</v>
          </cell>
        </row>
        <row r="83">
          <cell r="B83" t="str">
            <v>132795</v>
          </cell>
          <cell r="E83">
            <v>4109.8003906249996</v>
          </cell>
          <cell r="F83">
            <v>1694.5</v>
          </cell>
          <cell r="G83">
            <v>0</v>
          </cell>
          <cell r="H83">
            <v>0</v>
          </cell>
          <cell r="I83">
            <v>6111.8</v>
          </cell>
          <cell r="J83">
            <v>3093.4</v>
          </cell>
          <cell r="K83">
            <v>6111.8</v>
          </cell>
          <cell r="L83">
            <v>3093.4</v>
          </cell>
          <cell r="M83">
            <v>6902.7</v>
          </cell>
          <cell r="N83">
            <v>3177.1</v>
          </cell>
          <cell r="O83">
            <v>5791.7</v>
          </cell>
          <cell r="P83">
            <v>2427.5</v>
          </cell>
          <cell r="Q83">
            <v>0</v>
          </cell>
          <cell r="R83">
            <v>0</v>
          </cell>
        </row>
        <row r="84">
          <cell r="B84" t="str">
            <v>132780</v>
          </cell>
          <cell r="E84">
            <v>4421.599609375</v>
          </cell>
          <cell r="F84">
            <v>1845.3</v>
          </cell>
          <cell r="G84">
            <v>0</v>
          </cell>
          <cell r="H84">
            <v>0</v>
          </cell>
          <cell r="I84">
            <v>6423.4996093749996</v>
          </cell>
          <cell r="J84">
            <v>3244.2</v>
          </cell>
          <cell r="K84">
            <v>6423.4996093749996</v>
          </cell>
          <cell r="L84">
            <v>3244.2</v>
          </cell>
          <cell r="M84">
            <v>7199.2</v>
          </cell>
          <cell r="N84">
            <v>3333.800001525879</v>
          </cell>
          <cell r="O84">
            <v>6103.5</v>
          </cell>
          <cell r="P84">
            <v>2578.3000000000002</v>
          </cell>
          <cell r="Q84">
            <v>0</v>
          </cell>
          <cell r="R84">
            <v>0</v>
          </cell>
        </row>
        <row r="85">
          <cell r="B85" t="str">
            <v>132765</v>
          </cell>
          <cell r="E85">
            <v>4469.8</v>
          </cell>
          <cell r="F85">
            <v>1987.7</v>
          </cell>
          <cell r="G85">
            <v>0</v>
          </cell>
          <cell r="H85">
            <v>0</v>
          </cell>
          <cell r="I85">
            <v>6471.7003906250002</v>
          </cell>
          <cell r="J85">
            <v>3386.6</v>
          </cell>
          <cell r="K85">
            <v>6471.7003906250002</v>
          </cell>
          <cell r="L85">
            <v>3386.6</v>
          </cell>
          <cell r="M85">
            <v>7247.4</v>
          </cell>
          <cell r="N85">
            <v>3476.2000976562499</v>
          </cell>
          <cell r="O85">
            <v>6151.6996093750004</v>
          </cell>
          <cell r="P85">
            <v>2720.7</v>
          </cell>
          <cell r="Q85">
            <v>0</v>
          </cell>
          <cell r="R85">
            <v>0</v>
          </cell>
        </row>
        <row r="86">
          <cell r="B86" t="str">
            <v>132750</v>
          </cell>
          <cell r="E86">
            <v>4540.1003906249998</v>
          </cell>
          <cell r="F86">
            <v>2130.9</v>
          </cell>
          <cell r="G86">
            <v>0</v>
          </cell>
          <cell r="H86">
            <v>0</v>
          </cell>
          <cell r="I86">
            <v>6542.1</v>
          </cell>
          <cell r="J86">
            <v>3529.8</v>
          </cell>
          <cell r="K86">
            <v>6542.1</v>
          </cell>
          <cell r="L86">
            <v>3529.8</v>
          </cell>
          <cell r="M86">
            <v>7301.1</v>
          </cell>
          <cell r="N86">
            <v>3629.4999008178711</v>
          </cell>
          <cell r="O86">
            <v>6222</v>
          </cell>
          <cell r="P86">
            <v>2863.9</v>
          </cell>
          <cell r="Q86">
            <v>0</v>
          </cell>
          <cell r="R86">
            <v>0</v>
          </cell>
        </row>
        <row r="87">
          <cell r="B87" t="str">
            <v>132735</v>
          </cell>
          <cell r="E87">
            <v>4662.7</v>
          </cell>
          <cell r="F87">
            <v>2283</v>
          </cell>
          <cell r="G87">
            <v>0</v>
          </cell>
          <cell r="H87">
            <v>0</v>
          </cell>
          <cell r="I87">
            <v>6664.7</v>
          </cell>
          <cell r="J87">
            <v>3681.9</v>
          </cell>
          <cell r="K87">
            <v>6664.7</v>
          </cell>
          <cell r="L87">
            <v>3681.9</v>
          </cell>
          <cell r="M87">
            <v>6558.3</v>
          </cell>
          <cell r="N87">
            <v>4228.9999984741207</v>
          </cell>
          <cell r="O87">
            <v>6344.599609375</v>
          </cell>
          <cell r="P87">
            <v>3016</v>
          </cell>
          <cell r="Q87">
            <v>0</v>
          </cell>
          <cell r="R87">
            <v>0</v>
          </cell>
        </row>
        <row r="88">
          <cell r="B88" t="str">
            <v>132720</v>
          </cell>
          <cell r="E88">
            <v>4846.3999999999996</v>
          </cell>
          <cell r="F88">
            <v>2436.3000000000002</v>
          </cell>
          <cell r="G88">
            <v>0</v>
          </cell>
          <cell r="H88">
            <v>0</v>
          </cell>
          <cell r="I88">
            <v>6980.0727106557297</v>
          </cell>
          <cell r="J88">
            <v>3863.444908774246</v>
          </cell>
          <cell r="K88">
            <v>6980.0727106557297</v>
          </cell>
          <cell r="L88">
            <v>3863.444908774246</v>
          </cell>
          <cell r="M88">
            <v>6687.3</v>
          </cell>
          <cell r="N88">
            <v>4386.3000015258785</v>
          </cell>
          <cell r="O88">
            <v>6528.3</v>
          </cell>
          <cell r="P88">
            <v>3169.3</v>
          </cell>
          <cell r="Q88">
            <v>8635.6</v>
          </cell>
          <cell r="R88">
            <v>4218.3</v>
          </cell>
        </row>
        <row r="89">
          <cell r="B89" t="str">
            <v>132705</v>
          </cell>
          <cell r="E89">
            <v>0</v>
          </cell>
          <cell r="F89">
            <v>0</v>
          </cell>
          <cell r="G89">
            <v>0</v>
          </cell>
          <cell r="H89">
            <v>0</v>
          </cell>
          <cell r="I89">
            <v>0</v>
          </cell>
          <cell r="J89">
            <v>0</v>
          </cell>
          <cell r="K89">
            <v>0</v>
          </cell>
          <cell r="L89">
            <v>0</v>
          </cell>
          <cell r="M89">
            <v>0</v>
          </cell>
          <cell r="N89">
            <v>0</v>
          </cell>
          <cell r="O89">
            <v>0</v>
          </cell>
          <cell r="P89">
            <v>0</v>
          </cell>
          <cell r="Q89">
            <v>0</v>
          </cell>
          <cell r="R89">
            <v>0</v>
          </cell>
        </row>
        <row r="90">
          <cell r="B90" t="str">
            <v>132690</v>
          </cell>
          <cell r="E90">
            <v>0</v>
          </cell>
          <cell r="F90">
            <v>0</v>
          </cell>
          <cell r="G90">
            <v>0</v>
          </cell>
          <cell r="H90">
            <v>0</v>
          </cell>
          <cell r="I90">
            <v>0</v>
          </cell>
          <cell r="J90">
            <v>0</v>
          </cell>
          <cell r="K90">
            <v>0</v>
          </cell>
          <cell r="L90">
            <v>0</v>
          </cell>
          <cell r="M90">
            <v>0</v>
          </cell>
          <cell r="N90">
            <v>0</v>
          </cell>
          <cell r="O90">
            <v>0</v>
          </cell>
          <cell r="P90">
            <v>0</v>
          </cell>
          <cell r="Q90">
            <v>0</v>
          </cell>
          <cell r="R90">
            <v>0</v>
          </cell>
        </row>
        <row r="91">
          <cell r="B91" t="str">
            <v>00</v>
          </cell>
          <cell r="E91">
            <v>0</v>
          </cell>
          <cell r="F91">
            <v>0</v>
          </cell>
          <cell r="G91">
            <v>0</v>
          </cell>
          <cell r="H91">
            <v>0</v>
          </cell>
          <cell r="I91">
            <v>0</v>
          </cell>
          <cell r="J91">
            <v>0</v>
          </cell>
          <cell r="K91">
            <v>0</v>
          </cell>
          <cell r="L91">
            <v>0</v>
          </cell>
          <cell r="M91">
            <v>0</v>
          </cell>
          <cell r="N91">
            <v>0</v>
          </cell>
          <cell r="O91">
            <v>0</v>
          </cell>
          <cell r="P91">
            <v>0</v>
          </cell>
          <cell r="Q91">
            <v>0</v>
          </cell>
          <cell r="R91">
            <v>0</v>
          </cell>
        </row>
        <row r="92">
          <cell r="B92" t="str">
            <v>00</v>
          </cell>
          <cell r="E92">
            <v>0</v>
          </cell>
          <cell r="F92">
            <v>0</v>
          </cell>
          <cell r="G92">
            <v>0</v>
          </cell>
          <cell r="H92">
            <v>0</v>
          </cell>
          <cell r="I92">
            <v>0</v>
          </cell>
          <cell r="J92">
            <v>0</v>
          </cell>
          <cell r="K92">
            <v>0</v>
          </cell>
          <cell r="L92">
            <v>0</v>
          </cell>
          <cell r="M92">
            <v>0</v>
          </cell>
          <cell r="N92">
            <v>0</v>
          </cell>
          <cell r="O92">
            <v>0</v>
          </cell>
          <cell r="P92">
            <v>0</v>
          </cell>
          <cell r="Q92">
            <v>0</v>
          </cell>
          <cell r="R92">
            <v>0</v>
          </cell>
        </row>
        <row r="93">
          <cell r="B93" t="str">
            <v>143035</v>
          </cell>
          <cell r="E93">
            <v>0</v>
          </cell>
          <cell r="F93">
            <v>0</v>
          </cell>
          <cell r="G93">
            <v>0</v>
          </cell>
          <cell r="H93">
            <v>0</v>
          </cell>
          <cell r="I93">
            <v>0</v>
          </cell>
          <cell r="J93">
            <v>0</v>
          </cell>
          <cell r="K93">
            <v>0</v>
          </cell>
          <cell r="L93">
            <v>0</v>
          </cell>
          <cell r="M93">
            <v>0</v>
          </cell>
          <cell r="N93">
            <v>0</v>
          </cell>
          <cell r="O93">
            <v>0</v>
          </cell>
          <cell r="P93">
            <v>0</v>
          </cell>
          <cell r="Q93">
            <v>0</v>
          </cell>
          <cell r="R93">
            <v>0</v>
          </cell>
        </row>
        <row r="94">
          <cell r="B94" t="str">
            <v>143020</v>
          </cell>
          <cell r="E94">
            <v>0</v>
          </cell>
          <cell r="F94">
            <v>0</v>
          </cell>
          <cell r="G94">
            <v>0</v>
          </cell>
          <cell r="H94">
            <v>0</v>
          </cell>
          <cell r="I94">
            <v>0</v>
          </cell>
          <cell r="J94">
            <v>0</v>
          </cell>
          <cell r="K94">
            <v>0</v>
          </cell>
          <cell r="L94">
            <v>0</v>
          </cell>
          <cell r="M94">
            <v>4512.2</v>
          </cell>
          <cell r="N94">
            <v>1545.4000244140625</v>
          </cell>
          <cell r="O94">
            <v>0</v>
          </cell>
          <cell r="P94">
            <v>0</v>
          </cell>
          <cell r="Q94">
            <v>0</v>
          </cell>
          <cell r="R94">
            <v>0</v>
          </cell>
        </row>
        <row r="95">
          <cell r="B95" t="str">
            <v>143005</v>
          </cell>
          <cell r="E95">
            <v>0</v>
          </cell>
          <cell r="F95">
            <v>0</v>
          </cell>
          <cell r="G95">
            <v>0</v>
          </cell>
          <cell r="H95">
            <v>0</v>
          </cell>
          <cell r="I95">
            <v>0</v>
          </cell>
          <cell r="J95">
            <v>0</v>
          </cell>
          <cell r="K95">
            <v>0</v>
          </cell>
          <cell r="L95">
            <v>0</v>
          </cell>
          <cell r="M95">
            <v>4394.1003906249998</v>
          </cell>
          <cell r="N95">
            <v>1394.6</v>
          </cell>
          <cell r="O95">
            <v>0</v>
          </cell>
          <cell r="P95">
            <v>0</v>
          </cell>
          <cell r="Q95">
            <v>0</v>
          </cell>
          <cell r="R95">
            <v>0</v>
          </cell>
        </row>
        <row r="96">
          <cell r="B96" t="str">
            <v>142990</v>
          </cell>
          <cell r="E96">
            <v>0</v>
          </cell>
          <cell r="F96">
            <v>0</v>
          </cell>
          <cell r="G96">
            <v>0</v>
          </cell>
          <cell r="H96">
            <v>0</v>
          </cell>
          <cell r="I96">
            <v>0</v>
          </cell>
          <cell r="J96">
            <v>0</v>
          </cell>
          <cell r="K96">
            <v>0</v>
          </cell>
          <cell r="L96">
            <v>0</v>
          </cell>
          <cell r="M96">
            <v>4343.5</v>
          </cell>
          <cell r="N96">
            <v>1243.9000000000001</v>
          </cell>
          <cell r="O96">
            <v>0</v>
          </cell>
          <cell r="P96">
            <v>0</v>
          </cell>
          <cell r="Q96">
            <v>0</v>
          </cell>
          <cell r="R96">
            <v>0</v>
          </cell>
        </row>
        <row r="97">
          <cell r="B97" t="str">
            <v>142975</v>
          </cell>
          <cell r="E97">
            <v>0</v>
          </cell>
          <cell r="F97">
            <v>0</v>
          </cell>
          <cell r="G97">
            <v>0</v>
          </cell>
          <cell r="H97">
            <v>0</v>
          </cell>
          <cell r="I97">
            <v>0</v>
          </cell>
          <cell r="J97">
            <v>0</v>
          </cell>
          <cell r="K97">
            <v>0</v>
          </cell>
          <cell r="L97">
            <v>0</v>
          </cell>
          <cell r="M97">
            <v>4161.8</v>
          </cell>
          <cell r="N97">
            <v>1398.5000015258788</v>
          </cell>
          <cell r="O97">
            <v>0</v>
          </cell>
          <cell r="P97">
            <v>0</v>
          </cell>
          <cell r="Q97">
            <v>0</v>
          </cell>
          <cell r="R97">
            <v>0</v>
          </cell>
        </row>
        <row r="98">
          <cell r="B98" t="str">
            <v>142960</v>
          </cell>
          <cell r="E98">
            <v>4096.1000000000004</v>
          </cell>
          <cell r="F98">
            <v>788.89998168945317</v>
          </cell>
          <cell r="G98">
            <v>3993.2</v>
          </cell>
          <cell r="H98">
            <v>955.5000122070312</v>
          </cell>
          <cell r="I98">
            <v>0</v>
          </cell>
          <cell r="J98">
            <v>0</v>
          </cell>
          <cell r="K98">
            <v>0</v>
          </cell>
          <cell r="L98">
            <v>0</v>
          </cell>
          <cell r="M98">
            <v>3545.4</v>
          </cell>
          <cell r="N98">
            <v>1998.5</v>
          </cell>
          <cell r="O98">
            <v>0</v>
          </cell>
          <cell r="P98">
            <v>0</v>
          </cell>
          <cell r="Q98">
            <v>0</v>
          </cell>
          <cell r="R98">
            <v>0</v>
          </cell>
        </row>
        <row r="99">
          <cell r="B99" t="str">
            <v>142945</v>
          </cell>
          <cell r="E99">
            <v>0</v>
          </cell>
          <cell r="F99">
            <v>0</v>
          </cell>
          <cell r="G99">
            <v>3799.1</v>
          </cell>
          <cell r="H99">
            <v>1126.3</v>
          </cell>
          <cell r="I99">
            <v>0</v>
          </cell>
          <cell r="J99">
            <v>0</v>
          </cell>
          <cell r="K99">
            <v>0</v>
          </cell>
          <cell r="L99">
            <v>0</v>
          </cell>
          <cell r="M99">
            <v>3860.7</v>
          </cell>
          <cell r="N99">
            <v>1958.3</v>
          </cell>
          <cell r="O99">
            <v>5223.8999999999996</v>
          </cell>
          <cell r="P99">
            <v>1893.2</v>
          </cell>
          <cell r="Q99">
            <v>0</v>
          </cell>
          <cell r="R99">
            <v>0</v>
          </cell>
        </row>
        <row r="100">
          <cell r="B100" t="str">
            <v>142930</v>
          </cell>
          <cell r="E100">
            <v>4227.2</v>
          </cell>
          <cell r="F100">
            <v>1100.4000000000001</v>
          </cell>
          <cell r="G100">
            <v>4759.7</v>
          </cell>
          <cell r="H100">
            <v>1267</v>
          </cell>
          <cell r="I100">
            <v>0</v>
          </cell>
          <cell r="J100">
            <v>0</v>
          </cell>
          <cell r="K100">
            <v>0</v>
          </cell>
          <cell r="L100">
            <v>0</v>
          </cell>
          <cell r="M100">
            <v>4849.8999999999996</v>
          </cell>
          <cell r="N100">
            <v>1862.5999984741211</v>
          </cell>
          <cell r="O100">
            <v>5738.900390625</v>
          </cell>
          <cell r="P100">
            <v>2105.9000488281249</v>
          </cell>
          <cell r="Q100">
            <v>0</v>
          </cell>
          <cell r="R100">
            <v>0</v>
          </cell>
        </row>
        <row r="101">
          <cell r="B101" t="str">
            <v>142915</v>
          </cell>
          <cell r="E101">
            <v>3700.4</v>
          </cell>
          <cell r="F101">
            <v>1415.3</v>
          </cell>
          <cell r="G101">
            <v>0</v>
          </cell>
          <cell r="H101">
            <v>0</v>
          </cell>
          <cell r="I101">
            <v>0</v>
          </cell>
          <cell r="J101">
            <v>0</v>
          </cell>
          <cell r="K101">
            <v>0</v>
          </cell>
          <cell r="L101">
            <v>0</v>
          </cell>
          <cell r="M101">
            <v>5013.8</v>
          </cell>
          <cell r="N101">
            <v>2019.2</v>
          </cell>
          <cell r="O101">
            <v>5382.4</v>
          </cell>
          <cell r="P101">
            <v>2148.3000000000002</v>
          </cell>
          <cell r="Q101">
            <v>0</v>
          </cell>
          <cell r="R101">
            <v>0</v>
          </cell>
        </row>
        <row r="102">
          <cell r="B102" t="str">
            <v>142900</v>
          </cell>
          <cell r="E102">
            <v>3564</v>
          </cell>
          <cell r="F102">
            <v>1272.2</v>
          </cell>
          <cell r="G102">
            <v>0</v>
          </cell>
          <cell r="H102">
            <v>0</v>
          </cell>
          <cell r="I102">
            <v>0</v>
          </cell>
          <cell r="J102">
            <v>0</v>
          </cell>
          <cell r="K102">
            <v>0</v>
          </cell>
          <cell r="L102">
            <v>0</v>
          </cell>
          <cell r="M102">
            <v>4491.3999999999996</v>
          </cell>
          <cell r="N102">
            <v>2541.0999023437498</v>
          </cell>
          <cell r="O102">
            <v>5245.9</v>
          </cell>
          <cell r="P102">
            <v>2005.2</v>
          </cell>
          <cell r="Q102">
            <v>0</v>
          </cell>
          <cell r="R102">
            <v>0</v>
          </cell>
        </row>
        <row r="103">
          <cell r="B103" t="str">
            <v>142885</v>
          </cell>
          <cell r="E103">
            <v>3468.9</v>
          </cell>
          <cell r="F103">
            <v>1122.5999999999999</v>
          </cell>
          <cell r="G103">
            <v>0</v>
          </cell>
          <cell r="H103">
            <v>0</v>
          </cell>
          <cell r="I103">
            <v>0</v>
          </cell>
          <cell r="J103">
            <v>0</v>
          </cell>
          <cell r="K103">
            <v>0</v>
          </cell>
          <cell r="L103">
            <v>0</v>
          </cell>
          <cell r="M103">
            <v>4619.159263515724</v>
          </cell>
          <cell r="N103">
            <v>2741.3193057068397</v>
          </cell>
          <cell r="O103">
            <v>4856.1981465643894</v>
          </cell>
          <cell r="P103">
            <v>1790.0883143066253</v>
          </cell>
          <cell r="Q103">
            <v>0</v>
          </cell>
          <cell r="R103">
            <v>0</v>
          </cell>
        </row>
        <row r="104">
          <cell r="B104" t="str">
            <v>142870</v>
          </cell>
          <cell r="E104">
            <v>3424.1</v>
          </cell>
          <cell r="F104">
            <v>973</v>
          </cell>
          <cell r="G104">
            <v>0</v>
          </cell>
          <cell r="H104">
            <v>0</v>
          </cell>
          <cell r="I104">
            <v>5426</v>
          </cell>
          <cell r="J104">
            <v>2371.9</v>
          </cell>
          <cell r="K104">
            <v>5426</v>
          </cell>
          <cell r="L104">
            <v>2371.9</v>
          </cell>
          <cell r="M104">
            <v>5837.7996093749998</v>
          </cell>
          <cell r="N104">
            <v>2494.5</v>
          </cell>
          <cell r="O104">
            <v>4578.5</v>
          </cell>
          <cell r="P104">
            <v>1844.6</v>
          </cell>
          <cell r="Q104">
            <v>0</v>
          </cell>
          <cell r="R104">
            <v>0</v>
          </cell>
        </row>
        <row r="105">
          <cell r="B105" t="str">
            <v>142855</v>
          </cell>
          <cell r="E105">
            <v>4138.8</v>
          </cell>
          <cell r="F105">
            <v>1487.2</v>
          </cell>
          <cell r="G105">
            <v>0</v>
          </cell>
          <cell r="H105">
            <v>0</v>
          </cell>
          <cell r="I105">
            <v>0</v>
          </cell>
          <cell r="J105">
            <v>0</v>
          </cell>
          <cell r="K105">
            <v>0</v>
          </cell>
          <cell r="L105">
            <v>0</v>
          </cell>
          <cell r="M105">
            <v>6377.1</v>
          </cell>
          <cell r="N105">
            <v>2633.4</v>
          </cell>
          <cell r="O105">
            <v>5264.8</v>
          </cell>
          <cell r="P105">
            <v>1995.4</v>
          </cell>
          <cell r="Q105">
            <v>0</v>
          </cell>
          <cell r="R105">
            <v>0</v>
          </cell>
        </row>
        <row r="106">
          <cell r="B106" t="str">
            <v>142840</v>
          </cell>
          <cell r="E106">
            <v>4823.8</v>
          </cell>
          <cell r="F106">
            <v>1645</v>
          </cell>
          <cell r="G106">
            <v>0</v>
          </cell>
          <cell r="H106">
            <v>0</v>
          </cell>
          <cell r="I106">
            <v>6355.7</v>
          </cell>
          <cell r="J106">
            <v>2551.7000976562499</v>
          </cell>
          <cell r="K106">
            <v>6355.7</v>
          </cell>
          <cell r="L106">
            <v>2551.7000976562499</v>
          </cell>
          <cell r="M106">
            <v>6771</v>
          </cell>
          <cell r="N106">
            <v>2803.1</v>
          </cell>
          <cell r="O106">
            <v>5511.7</v>
          </cell>
          <cell r="P106">
            <v>2153.1999023437502</v>
          </cell>
          <cell r="Q106">
            <v>0</v>
          </cell>
          <cell r="R106">
            <v>0</v>
          </cell>
        </row>
        <row r="107">
          <cell r="B107" t="str">
            <v>142825</v>
          </cell>
          <cell r="E107">
            <v>4864</v>
          </cell>
          <cell r="F107">
            <v>1803.1998992919921</v>
          </cell>
          <cell r="G107">
            <v>0</v>
          </cell>
          <cell r="H107">
            <v>0</v>
          </cell>
          <cell r="I107">
            <v>7265.2</v>
          </cell>
          <cell r="J107">
            <v>3156.6</v>
          </cell>
          <cell r="K107">
            <v>7265.2</v>
          </cell>
          <cell r="L107">
            <v>3156.6</v>
          </cell>
          <cell r="M107">
            <v>6956.8</v>
          </cell>
          <cell r="N107">
            <v>2956</v>
          </cell>
          <cell r="O107">
            <v>5697.5</v>
          </cell>
          <cell r="P107">
            <v>2306.1</v>
          </cell>
          <cell r="Q107">
            <v>0</v>
          </cell>
          <cell r="R107">
            <v>0</v>
          </cell>
        </row>
        <row r="108">
          <cell r="B108" t="str">
            <v>142810</v>
          </cell>
          <cell r="E108">
            <v>5093.3999999999996</v>
          </cell>
          <cell r="F108">
            <v>1956.6</v>
          </cell>
          <cell r="G108">
            <v>0</v>
          </cell>
          <cell r="H108">
            <v>0</v>
          </cell>
          <cell r="I108">
            <v>7494.6</v>
          </cell>
          <cell r="J108">
            <v>3310</v>
          </cell>
          <cell r="K108">
            <v>7494.6</v>
          </cell>
          <cell r="L108">
            <v>3310</v>
          </cell>
          <cell r="M108">
            <v>7186.2</v>
          </cell>
          <cell r="N108">
            <v>3109.4</v>
          </cell>
          <cell r="O108">
            <v>5926.9</v>
          </cell>
          <cell r="P108">
            <v>2459.5</v>
          </cell>
          <cell r="Q108">
            <v>0</v>
          </cell>
          <cell r="R108">
            <v>0</v>
          </cell>
        </row>
        <row r="109">
          <cell r="B109" t="str">
            <v>142795</v>
          </cell>
          <cell r="E109">
            <v>5254.7</v>
          </cell>
          <cell r="F109">
            <v>2118.5</v>
          </cell>
          <cell r="G109">
            <v>0</v>
          </cell>
          <cell r="H109">
            <v>0</v>
          </cell>
          <cell r="I109">
            <v>7655.9</v>
          </cell>
          <cell r="J109">
            <v>3471.9</v>
          </cell>
          <cell r="K109">
            <v>7655.9</v>
          </cell>
          <cell r="L109">
            <v>3471.9</v>
          </cell>
          <cell r="M109">
            <v>7439</v>
          </cell>
          <cell r="N109">
            <v>3269.3</v>
          </cell>
          <cell r="O109">
            <v>6179.7</v>
          </cell>
          <cell r="P109">
            <v>2619.4</v>
          </cell>
          <cell r="Q109">
            <v>0</v>
          </cell>
          <cell r="R109">
            <v>0</v>
          </cell>
        </row>
        <row r="110">
          <cell r="B110" t="str">
            <v>142780</v>
          </cell>
          <cell r="E110">
            <v>5483.9</v>
          </cell>
          <cell r="F110">
            <v>2302.6</v>
          </cell>
          <cell r="G110">
            <v>0</v>
          </cell>
          <cell r="H110">
            <v>0</v>
          </cell>
          <cell r="I110">
            <v>7885.1</v>
          </cell>
          <cell r="J110">
            <v>3656</v>
          </cell>
          <cell r="K110">
            <v>7885.1</v>
          </cell>
          <cell r="L110">
            <v>3656</v>
          </cell>
          <cell r="M110">
            <v>7668.2</v>
          </cell>
          <cell r="N110">
            <v>3453.3</v>
          </cell>
          <cell r="O110">
            <v>6408.9</v>
          </cell>
          <cell r="P110">
            <v>2803.4</v>
          </cell>
          <cell r="Q110">
            <v>0</v>
          </cell>
          <cell r="R110">
            <v>0</v>
          </cell>
        </row>
        <row r="111">
          <cell r="B111" t="str">
            <v>142765</v>
          </cell>
          <cell r="E111">
            <v>5558.0003906250004</v>
          </cell>
          <cell r="F111">
            <v>2421.8999938964844</v>
          </cell>
          <cell r="G111">
            <v>0</v>
          </cell>
          <cell r="H111">
            <v>0</v>
          </cell>
          <cell r="I111">
            <v>7959.2</v>
          </cell>
          <cell r="J111">
            <v>3775.3</v>
          </cell>
          <cell r="K111">
            <v>7959.2</v>
          </cell>
          <cell r="L111">
            <v>3775.3</v>
          </cell>
          <cell r="M111">
            <v>7815.4</v>
          </cell>
          <cell r="N111">
            <v>3573.4</v>
          </cell>
          <cell r="O111">
            <v>6556.1</v>
          </cell>
          <cell r="P111">
            <v>2923.5</v>
          </cell>
          <cell r="Q111">
            <v>0</v>
          </cell>
          <cell r="R111">
            <v>0</v>
          </cell>
        </row>
        <row r="112">
          <cell r="B112" t="str">
            <v>142750</v>
          </cell>
          <cell r="E112">
            <v>5686.9</v>
          </cell>
          <cell r="F112">
            <v>2577.9000061035158</v>
          </cell>
          <cell r="G112">
            <v>0</v>
          </cell>
          <cell r="H112">
            <v>0</v>
          </cell>
          <cell r="I112">
            <v>8088.1</v>
          </cell>
          <cell r="J112">
            <v>3931.3</v>
          </cell>
          <cell r="K112">
            <v>8088.1</v>
          </cell>
          <cell r="L112">
            <v>3931.3</v>
          </cell>
          <cell r="M112">
            <v>7944.3</v>
          </cell>
          <cell r="N112">
            <v>3729.5</v>
          </cell>
          <cell r="O112">
            <v>6685</v>
          </cell>
          <cell r="P112">
            <v>3079.6</v>
          </cell>
          <cell r="Q112">
            <v>0</v>
          </cell>
          <cell r="R112">
            <v>0</v>
          </cell>
        </row>
        <row r="113">
          <cell r="B113" t="str">
            <v>142735</v>
          </cell>
          <cell r="E113">
            <v>5823.2</v>
          </cell>
          <cell r="F113">
            <v>2740.3000000360198</v>
          </cell>
          <cell r="G113">
            <v>0</v>
          </cell>
          <cell r="H113">
            <v>0</v>
          </cell>
          <cell r="I113">
            <v>8224.5</v>
          </cell>
          <cell r="J113">
            <v>4093.7000000360304</v>
          </cell>
          <cell r="K113">
            <v>8224.5</v>
          </cell>
          <cell r="L113">
            <v>4093.7000000360304</v>
          </cell>
          <cell r="M113">
            <v>8119.7</v>
          </cell>
          <cell r="N113">
            <v>3887.8</v>
          </cell>
          <cell r="O113">
            <v>6860.4</v>
          </cell>
          <cell r="P113">
            <v>3237.9</v>
          </cell>
          <cell r="Q113">
            <v>0</v>
          </cell>
          <cell r="R113">
            <v>0</v>
          </cell>
        </row>
        <row r="114">
          <cell r="B114" t="str">
            <v>142720</v>
          </cell>
          <cell r="E114">
            <v>6010.7</v>
          </cell>
          <cell r="F114">
            <v>2914.8001953124999</v>
          </cell>
          <cell r="G114">
            <v>0</v>
          </cell>
          <cell r="H114">
            <v>0</v>
          </cell>
          <cell r="I114">
            <v>8430.1452068244125</v>
          </cell>
          <cell r="J114">
            <v>4273.8443144162175</v>
          </cell>
          <cell r="K114">
            <v>8430.1452068244125</v>
          </cell>
          <cell r="L114">
            <v>4273.8443144162175</v>
          </cell>
          <cell r="M114">
            <v>8307.2000000000007</v>
          </cell>
          <cell r="N114">
            <v>4062.4</v>
          </cell>
          <cell r="O114">
            <v>7047.9</v>
          </cell>
          <cell r="P114">
            <v>3412.5</v>
          </cell>
          <cell r="Q114">
            <v>8758.1</v>
          </cell>
          <cell r="R114">
            <v>4375.3</v>
          </cell>
        </row>
        <row r="115">
          <cell r="B115" t="str">
            <v>142705</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row>
        <row r="116">
          <cell r="B116" t="str">
            <v>142690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row>
        <row r="117">
          <cell r="B117" t="str">
            <v>00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row>
        <row r="118">
          <cell r="B118" t="str">
            <v>153050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row>
        <row r="119">
          <cell r="B119" t="str">
            <v>153035</v>
          </cell>
          <cell r="E119">
            <v>0</v>
          </cell>
          <cell r="F119">
            <v>0</v>
          </cell>
          <cell r="G119">
            <v>0</v>
          </cell>
          <cell r="H119">
            <v>0</v>
          </cell>
          <cell r="I119">
            <v>0</v>
          </cell>
          <cell r="J119">
            <v>0</v>
          </cell>
          <cell r="K119">
            <v>0</v>
          </cell>
          <cell r="L119">
            <v>0</v>
          </cell>
          <cell r="M119">
            <v>2564.6</v>
          </cell>
          <cell r="N119">
            <v>1224.8</v>
          </cell>
          <cell r="O119">
            <v>0</v>
          </cell>
          <cell r="P119">
            <v>0</v>
          </cell>
          <cell r="Q119">
            <v>0</v>
          </cell>
          <cell r="R119">
            <v>0</v>
          </cell>
        </row>
        <row r="120">
          <cell r="B120" t="str">
            <v>153020</v>
          </cell>
          <cell r="E120">
            <v>0</v>
          </cell>
          <cell r="F120">
            <v>0</v>
          </cell>
          <cell r="G120">
            <v>0</v>
          </cell>
          <cell r="H120">
            <v>0</v>
          </cell>
          <cell r="I120">
            <v>0</v>
          </cell>
          <cell r="J120">
            <v>0</v>
          </cell>
          <cell r="K120">
            <v>0</v>
          </cell>
          <cell r="L120">
            <v>0</v>
          </cell>
          <cell r="M120">
            <v>2750.1</v>
          </cell>
          <cell r="N120">
            <v>1346.1</v>
          </cell>
          <cell r="O120">
            <v>0</v>
          </cell>
          <cell r="P120">
            <v>0</v>
          </cell>
          <cell r="Q120">
            <v>0</v>
          </cell>
          <cell r="R120">
            <v>0</v>
          </cell>
        </row>
        <row r="121">
          <cell r="B121" t="str">
            <v>153005</v>
          </cell>
          <cell r="E121">
            <v>4509.5</v>
          </cell>
          <cell r="F121">
            <v>879.9</v>
          </cell>
          <cell r="G121">
            <v>0</v>
          </cell>
          <cell r="H121">
            <v>0</v>
          </cell>
          <cell r="I121">
            <v>0</v>
          </cell>
          <cell r="J121">
            <v>0</v>
          </cell>
          <cell r="K121">
            <v>0</v>
          </cell>
          <cell r="L121">
            <v>0</v>
          </cell>
          <cell r="M121">
            <v>3170.2</v>
          </cell>
          <cell r="N121">
            <v>1496.9</v>
          </cell>
          <cell r="O121">
            <v>3989.9</v>
          </cell>
          <cell r="P121">
            <v>749.5</v>
          </cell>
          <cell r="Q121">
            <v>0</v>
          </cell>
          <cell r="R121">
            <v>0</v>
          </cell>
        </row>
        <row r="122">
          <cell r="B122" t="str">
            <v>152990</v>
          </cell>
          <cell r="E122">
            <v>4387.2</v>
          </cell>
          <cell r="F122">
            <v>729.2</v>
          </cell>
          <cell r="G122">
            <v>4698.7</v>
          </cell>
          <cell r="H122">
            <v>653.1</v>
          </cell>
          <cell r="I122">
            <v>0</v>
          </cell>
          <cell r="J122">
            <v>0</v>
          </cell>
          <cell r="K122">
            <v>0</v>
          </cell>
          <cell r="L122">
            <v>0</v>
          </cell>
          <cell r="M122">
            <v>4360.6830806047255</v>
          </cell>
          <cell r="N122">
            <v>1569.5838379984439</v>
          </cell>
          <cell r="O122">
            <v>3581.2</v>
          </cell>
          <cell r="P122">
            <v>598.79999999999995</v>
          </cell>
          <cell r="Q122">
            <v>0</v>
          </cell>
          <cell r="R122">
            <v>0</v>
          </cell>
        </row>
        <row r="123">
          <cell r="B123" t="str">
            <v>152975</v>
          </cell>
          <cell r="E123">
            <v>4520</v>
          </cell>
          <cell r="F123">
            <v>879.9</v>
          </cell>
          <cell r="G123">
            <v>4566.8999999999996</v>
          </cell>
          <cell r="H123">
            <v>803.8</v>
          </cell>
          <cell r="I123">
            <v>0</v>
          </cell>
          <cell r="J123">
            <v>0</v>
          </cell>
          <cell r="K123">
            <v>0</v>
          </cell>
          <cell r="L123">
            <v>0</v>
          </cell>
          <cell r="M123">
            <v>5028</v>
          </cell>
          <cell r="N123">
            <v>1488.9</v>
          </cell>
          <cell r="O123">
            <v>3939.2</v>
          </cell>
          <cell r="P123">
            <v>749.5</v>
          </cell>
          <cell r="Q123">
            <v>0</v>
          </cell>
          <cell r="R123">
            <v>0</v>
          </cell>
        </row>
        <row r="124">
          <cell r="B124" t="str">
            <v>152960</v>
          </cell>
          <cell r="E124">
            <v>4615.8</v>
          </cell>
          <cell r="F124">
            <v>1031.4000000000001</v>
          </cell>
          <cell r="G124">
            <v>4479.1000000000004</v>
          </cell>
          <cell r="H124">
            <v>955.3</v>
          </cell>
          <cell r="I124">
            <v>0</v>
          </cell>
          <cell r="J124">
            <v>0</v>
          </cell>
          <cell r="K124">
            <v>0</v>
          </cell>
          <cell r="L124">
            <v>0</v>
          </cell>
          <cell r="M124">
            <v>4390.6000000000004</v>
          </cell>
          <cell r="N124">
            <v>1998.3</v>
          </cell>
          <cell r="O124">
            <v>3983.4</v>
          </cell>
          <cell r="P124">
            <v>901.00002441406252</v>
          </cell>
          <cell r="Q124">
            <v>0</v>
          </cell>
          <cell r="R124">
            <v>0</v>
          </cell>
        </row>
        <row r="125">
          <cell r="B125" t="str">
            <v>152945</v>
          </cell>
          <cell r="E125">
            <v>4623.7</v>
          </cell>
          <cell r="F125">
            <v>1188.3</v>
          </cell>
          <cell r="G125">
            <v>4632.1000000000004</v>
          </cell>
          <cell r="H125">
            <v>1112.1999877929688</v>
          </cell>
          <cell r="I125">
            <v>5595.6</v>
          </cell>
          <cell r="J125">
            <v>2225.1999999999998</v>
          </cell>
          <cell r="K125">
            <v>5595.6</v>
          </cell>
          <cell r="L125">
            <v>2225.1999999999998</v>
          </cell>
          <cell r="M125">
            <v>4768.2</v>
          </cell>
          <cell r="N125">
            <v>2025.7999984741211</v>
          </cell>
          <cell r="O125">
            <v>4054.3</v>
          </cell>
          <cell r="P125">
            <v>1057.9000000000001</v>
          </cell>
          <cell r="Q125">
            <v>0</v>
          </cell>
          <cell r="R125">
            <v>0</v>
          </cell>
        </row>
        <row r="126">
          <cell r="B126" t="str">
            <v>152930</v>
          </cell>
          <cell r="E126">
            <v>4681.7</v>
          </cell>
          <cell r="F126">
            <v>1347.1</v>
          </cell>
          <cell r="G126">
            <v>4559.7</v>
          </cell>
          <cell r="H126">
            <v>1267</v>
          </cell>
          <cell r="I126">
            <v>5414.3</v>
          </cell>
          <cell r="J126">
            <v>2380</v>
          </cell>
          <cell r="K126">
            <v>5414.3</v>
          </cell>
          <cell r="L126">
            <v>2380</v>
          </cell>
          <cell r="M126">
            <v>5340.6003906249998</v>
          </cell>
          <cell r="N126">
            <v>1862.5999984741211</v>
          </cell>
          <cell r="O126">
            <v>3873</v>
          </cell>
          <cell r="P126">
            <v>1212.7</v>
          </cell>
          <cell r="Q126">
            <v>0</v>
          </cell>
          <cell r="R126">
            <v>0</v>
          </cell>
        </row>
        <row r="127">
          <cell r="B127" t="str">
            <v>152915</v>
          </cell>
          <cell r="E127">
            <v>4406.6000000000004</v>
          </cell>
          <cell r="F127">
            <v>1659.899951171875</v>
          </cell>
          <cell r="G127">
            <v>4773.8003906249996</v>
          </cell>
          <cell r="H127">
            <v>1422</v>
          </cell>
          <cell r="I127">
            <v>0</v>
          </cell>
          <cell r="J127">
            <v>0</v>
          </cell>
          <cell r="K127">
            <v>0</v>
          </cell>
          <cell r="L127">
            <v>0</v>
          </cell>
          <cell r="M127">
            <v>5743.5</v>
          </cell>
          <cell r="N127">
            <v>2017.6</v>
          </cell>
          <cell r="O127">
            <v>4275.8</v>
          </cell>
          <cell r="P127">
            <v>1367.7000488281251</v>
          </cell>
          <cell r="Q127">
            <v>0</v>
          </cell>
          <cell r="R127">
            <v>0</v>
          </cell>
        </row>
        <row r="128">
          <cell r="B128" t="str">
            <v>152900</v>
          </cell>
          <cell r="E128">
            <v>3906.4</v>
          </cell>
          <cell r="F128">
            <v>1669.2000244140625</v>
          </cell>
          <cell r="G128">
            <v>0</v>
          </cell>
          <cell r="H128">
            <v>0</v>
          </cell>
          <cell r="I128">
            <v>0</v>
          </cell>
          <cell r="J128">
            <v>0</v>
          </cell>
          <cell r="K128">
            <v>0</v>
          </cell>
          <cell r="L128">
            <v>0</v>
          </cell>
          <cell r="M128">
            <v>5061.8</v>
          </cell>
          <cell r="N128">
            <v>2621.3000000000002</v>
          </cell>
          <cell r="O128">
            <v>4422.3</v>
          </cell>
          <cell r="P128">
            <v>1524</v>
          </cell>
          <cell r="Q128">
            <v>0</v>
          </cell>
          <cell r="R128">
            <v>0</v>
          </cell>
        </row>
        <row r="129">
          <cell r="B129" t="str">
            <v>152885</v>
          </cell>
          <cell r="E129">
            <v>3756.8</v>
          </cell>
          <cell r="F129">
            <v>1515.5</v>
          </cell>
          <cell r="G129">
            <v>0</v>
          </cell>
          <cell r="H129">
            <v>0</v>
          </cell>
          <cell r="I129">
            <v>0</v>
          </cell>
          <cell r="J129">
            <v>0</v>
          </cell>
          <cell r="K129">
            <v>0</v>
          </cell>
          <cell r="L129">
            <v>0</v>
          </cell>
          <cell r="M129">
            <v>5364.5221665491708</v>
          </cell>
          <cell r="N129">
            <v>2745.9232114853385</v>
          </cell>
          <cell r="O129">
            <v>4639.1998170128572</v>
          </cell>
          <cell r="P129">
            <v>1692.8000519094644</v>
          </cell>
          <cell r="Q129">
            <v>0</v>
          </cell>
          <cell r="R129">
            <v>0</v>
          </cell>
        </row>
        <row r="130">
          <cell r="B130" t="str">
            <v>152870</v>
          </cell>
          <cell r="E130">
            <v>3695</v>
          </cell>
          <cell r="F130">
            <v>1346.9999938964843</v>
          </cell>
          <cell r="G130">
            <v>0</v>
          </cell>
          <cell r="H130">
            <v>0</v>
          </cell>
          <cell r="I130">
            <v>0</v>
          </cell>
          <cell r="J130">
            <v>0</v>
          </cell>
          <cell r="K130">
            <v>0</v>
          </cell>
          <cell r="L130">
            <v>0</v>
          </cell>
          <cell r="M130">
            <v>5224.3</v>
          </cell>
          <cell r="N130">
            <v>2467.6999999999998</v>
          </cell>
          <cell r="O130">
            <v>4749.6000000000004</v>
          </cell>
          <cell r="P130">
            <v>1859.5</v>
          </cell>
          <cell r="Q130">
            <v>0</v>
          </cell>
          <cell r="R130">
            <v>0</v>
          </cell>
        </row>
        <row r="131">
          <cell r="B131" t="str">
            <v>152855</v>
          </cell>
          <cell r="E131">
            <v>3669.2</v>
          </cell>
          <cell r="F131">
            <v>1497.7</v>
          </cell>
          <cell r="G131">
            <v>0</v>
          </cell>
          <cell r="H131">
            <v>0</v>
          </cell>
          <cell r="I131">
            <v>6070.4</v>
          </cell>
          <cell r="J131">
            <v>2851.1</v>
          </cell>
          <cell r="K131">
            <v>6070.4</v>
          </cell>
          <cell r="L131">
            <v>2851.1</v>
          </cell>
          <cell r="M131">
            <v>4609.5</v>
          </cell>
          <cell r="N131">
            <v>2660.1</v>
          </cell>
          <cell r="O131">
            <v>4978.8999999999996</v>
          </cell>
          <cell r="P131">
            <v>2057.8000000000002</v>
          </cell>
          <cell r="Q131">
            <v>0</v>
          </cell>
          <cell r="R131">
            <v>0</v>
          </cell>
        </row>
        <row r="132">
          <cell r="B132" t="str">
            <v>152840</v>
          </cell>
          <cell r="E132">
            <v>4086.6</v>
          </cell>
          <cell r="F132">
            <v>1654.8</v>
          </cell>
          <cell r="G132">
            <v>0</v>
          </cell>
          <cell r="H132">
            <v>0</v>
          </cell>
          <cell r="I132">
            <v>6487.9</v>
          </cell>
          <cell r="J132">
            <v>3008.2</v>
          </cell>
          <cell r="K132">
            <v>6487.9</v>
          </cell>
          <cell r="L132">
            <v>3008.2</v>
          </cell>
          <cell r="M132">
            <v>5300.4</v>
          </cell>
          <cell r="N132">
            <v>2782.8</v>
          </cell>
          <cell r="O132">
            <v>5409.9</v>
          </cell>
          <cell r="P132">
            <v>2171.2999023437501</v>
          </cell>
          <cell r="Q132">
            <v>0</v>
          </cell>
          <cell r="R132">
            <v>0</v>
          </cell>
        </row>
        <row r="133">
          <cell r="B133" t="str">
            <v>152825</v>
          </cell>
          <cell r="E133">
            <v>4203.5</v>
          </cell>
          <cell r="F133">
            <v>1810.8000122070312</v>
          </cell>
          <cell r="G133">
            <v>0</v>
          </cell>
          <cell r="H133">
            <v>0</v>
          </cell>
          <cell r="I133">
            <v>6547.8003906249996</v>
          </cell>
          <cell r="J133">
            <v>3164.2000976562499</v>
          </cell>
          <cell r="K133">
            <v>6547.8003906249996</v>
          </cell>
          <cell r="L133">
            <v>3164.2000976562499</v>
          </cell>
          <cell r="M133">
            <v>5340.7</v>
          </cell>
          <cell r="N133">
            <v>2936.7</v>
          </cell>
          <cell r="O133">
            <v>5438.9</v>
          </cell>
          <cell r="P133">
            <v>2685.5</v>
          </cell>
          <cell r="Q133">
            <v>0</v>
          </cell>
          <cell r="R133">
            <v>0</v>
          </cell>
        </row>
        <row r="134">
          <cell r="B134" t="str">
            <v>152810</v>
          </cell>
          <cell r="E134">
            <v>4385.3999999999996</v>
          </cell>
          <cell r="F134">
            <v>1975.8</v>
          </cell>
          <cell r="G134">
            <v>0</v>
          </cell>
          <cell r="H134">
            <v>0</v>
          </cell>
          <cell r="I134">
            <v>6729.8</v>
          </cell>
          <cell r="J134">
            <v>3329.2</v>
          </cell>
          <cell r="K134">
            <v>6729.8</v>
          </cell>
          <cell r="L134">
            <v>3329.2</v>
          </cell>
          <cell r="M134">
            <v>5631.4</v>
          </cell>
          <cell r="N134">
            <v>3101.800048828125</v>
          </cell>
          <cell r="O134">
            <v>5556.7</v>
          </cell>
          <cell r="P134">
            <v>2850.5</v>
          </cell>
          <cell r="Q134">
            <v>0</v>
          </cell>
          <cell r="R134">
            <v>0</v>
          </cell>
        </row>
        <row r="135">
          <cell r="B135" t="str">
            <v>152795</v>
          </cell>
          <cell r="E135">
            <v>4600.7</v>
          </cell>
          <cell r="F135">
            <v>2127.6</v>
          </cell>
          <cell r="G135">
            <v>0</v>
          </cell>
          <cell r="H135">
            <v>0</v>
          </cell>
          <cell r="I135">
            <v>6945.1</v>
          </cell>
          <cell r="J135">
            <v>3481</v>
          </cell>
          <cell r="K135">
            <v>6945.1</v>
          </cell>
          <cell r="L135">
            <v>3481</v>
          </cell>
          <cell r="M135">
            <v>5846.6</v>
          </cell>
          <cell r="N135">
            <v>3253.6</v>
          </cell>
          <cell r="O135">
            <v>5772</v>
          </cell>
          <cell r="P135">
            <v>3002.4</v>
          </cell>
          <cell r="Q135">
            <v>0</v>
          </cell>
          <cell r="R135">
            <v>0</v>
          </cell>
        </row>
        <row r="136">
          <cell r="B136" t="str">
            <v>152780</v>
          </cell>
          <cell r="E136">
            <v>4876.1996093750004</v>
          </cell>
          <cell r="F136">
            <v>2278.3000000000002</v>
          </cell>
          <cell r="G136">
            <v>0</v>
          </cell>
          <cell r="H136">
            <v>0</v>
          </cell>
          <cell r="I136">
            <v>7220.5</v>
          </cell>
          <cell r="J136">
            <v>3631.7000976562499</v>
          </cell>
          <cell r="K136">
            <v>7220.5</v>
          </cell>
          <cell r="L136">
            <v>3631.7000976562499</v>
          </cell>
          <cell r="M136">
            <v>6017.1</v>
          </cell>
          <cell r="N136">
            <v>3402.5998046875002</v>
          </cell>
          <cell r="O136">
            <v>5942.5</v>
          </cell>
          <cell r="P136">
            <v>3151.3000122070312</v>
          </cell>
          <cell r="Q136">
            <v>0</v>
          </cell>
          <cell r="R136">
            <v>0</v>
          </cell>
        </row>
        <row r="137">
          <cell r="B137" t="str">
            <v>152765</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row>
        <row r="138">
          <cell r="B138" t="str">
            <v>152750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row>
        <row r="139">
          <cell r="B139" t="str">
            <v>152735</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row>
        <row r="140">
          <cell r="B140" t="str">
            <v>152720</v>
          </cell>
          <cell r="E140">
            <v>8663</v>
          </cell>
          <cell r="F140">
            <v>3320.7999786376954</v>
          </cell>
          <cell r="G140">
            <v>0</v>
          </cell>
          <cell r="H140">
            <v>0</v>
          </cell>
          <cell r="I140">
            <v>11007.30078125</v>
          </cell>
          <cell r="J140">
            <v>4674.2</v>
          </cell>
          <cell r="K140">
            <v>11007.30078125</v>
          </cell>
          <cell r="L140">
            <v>4674.2</v>
          </cell>
          <cell r="M140">
            <v>9803.9</v>
          </cell>
          <cell r="N140">
            <v>4444.8999999999996</v>
          </cell>
          <cell r="O140">
            <v>9729.2999999999993</v>
          </cell>
          <cell r="P140">
            <v>4193.6000000000004</v>
          </cell>
          <cell r="Q140">
            <v>0</v>
          </cell>
          <cell r="R140">
            <v>0</v>
          </cell>
        </row>
        <row r="141">
          <cell r="B141" t="str">
            <v>152705</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row>
        <row r="142">
          <cell r="B142" t="str">
            <v>152690</v>
          </cell>
          <cell r="E142">
            <v>7597.9</v>
          </cell>
          <cell r="F142">
            <v>3276.9998046874998</v>
          </cell>
          <cell r="G142">
            <v>0</v>
          </cell>
          <cell r="H142">
            <v>0</v>
          </cell>
          <cell r="I142">
            <v>9942.2000000000007</v>
          </cell>
          <cell r="J142">
            <v>4630.3999999999996</v>
          </cell>
          <cell r="K142">
            <v>9942.2000000000007</v>
          </cell>
          <cell r="L142">
            <v>4630.3999999999996</v>
          </cell>
          <cell r="M142">
            <v>0</v>
          </cell>
          <cell r="N142">
            <v>0</v>
          </cell>
          <cell r="O142">
            <v>8586.5</v>
          </cell>
          <cell r="P142">
            <v>4143.5</v>
          </cell>
          <cell r="Q142">
            <v>0</v>
          </cell>
          <cell r="R142">
            <v>0</v>
          </cell>
        </row>
        <row r="143">
          <cell r="B143" t="str">
            <v>152675</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row>
        <row r="144">
          <cell r="B144" t="str">
            <v>00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row>
        <row r="145">
          <cell r="B145" t="str">
            <v>163050</v>
          </cell>
          <cell r="E145">
            <v>0</v>
          </cell>
          <cell r="F145">
            <v>0</v>
          </cell>
          <cell r="G145">
            <v>0</v>
          </cell>
          <cell r="H145">
            <v>0</v>
          </cell>
          <cell r="I145">
            <v>0</v>
          </cell>
          <cell r="J145">
            <v>0</v>
          </cell>
          <cell r="K145">
            <v>0</v>
          </cell>
          <cell r="L145">
            <v>0</v>
          </cell>
          <cell r="M145">
            <v>2271.1999999999998</v>
          </cell>
          <cell r="N145">
            <v>972.4</v>
          </cell>
          <cell r="O145">
            <v>0</v>
          </cell>
          <cell r="P145">
            <v>0</v>
          </cell>
          <cell r="Q145">
            <v>0</v>
          </cell>
          <cell r="R145">
            <v>0</v>
          </cell>
        </row>
        <row r="146">
          <cell r="B146" t="str">
            <v>163035</v>
          </cell>
          <cell r="E146">
            <v>0</v>
          </cell>
          <cell r="F146">
            <v>0</v>
          </cell>
          <cell r="G146">
            <v>0</v>
          </cell>
          <cell r="H146">
            <v>0</v>
          </cell>
          <cell r="I146">
            <v>0</v>
          </cell>
          <cell r="J146">
            <v>0</v>
          </cell>
          <cell r="K146">
            <v>0</v>
          </cell>
          <cell r="L146">
            <v>0</v>
          </cell>
          <cell r="M146">
            <v>2325.1</v>
          </cell>
          <cell r="N146">
            <v>1083.7</v>
          </cell>
          <cell r="O146">
            <v>0</v>
          </cell>
          <cell r="P146">
            <v>0</v>
          </cell>
          <cell r="Q146">
            <v>0</v>
          </cell>
          <cell r="R146">
            <v>0</v>
          </cell>
        </row>
        <row r="147">
          <cell r="B147" t="str">
            <v>163020</v>
          </cell>
          <cell r="E147">
            <v>4784.1000000000004</v>
          </cell>
          <cell r="F147">
            <v>1090.9000030517577</v>
          </cell>
          <cell r="G147">
            <v>0</v>
          </cell>
          <cell r="H147">
            <v>0</v>
          </cell>
          <cell r="I147">
            <v>0</v>
          </cell>
          <cell r="J147">
            <v>0</v>
          </cell>
          <cell r="K147">
            <v>0</v>
          </cell>
          <cell r="L147">
            <v>0</v>
          </cell>
          <cell r="M147">
            <v>4029.3</v>
          </cell>
          <cell r="N147">
            <v>1264.0999999999999</v>
          </cell>
          <cell r="O147">
            <v>3767.4</v>
          </cell>
          <cell r="P147">
            <v>900.29999694824221</v>
          </cell>
          <cell r="Q147">
            <v>0</v>
          </cell>
          <cell r="R147">
            <v>0</v>
          </cell>
        </row>
        <row r="148">
          <cell r="B148" t="str">
            <v>163005</v>
          </cell>
          <cell r="E148">
            <v>4623</v>
          </cell>
          <cell r="F148">
            <v>940.1</v>
          </cell>
          <cell r="G148">
            <v>0</v>
          </cell>
          <cell r="H148">
            <v>0</v>
          </cell>
          <cell r="I148">
            <v>0</v>
          </cell>
          <cell r="J148">
            <v>0</v>
          </cell>
          <cell r="K148">
            <v>0</v>
          </cell>
          <cell r="L148">
            <v>0</v>
          </cell>
          <cell r="M148">
            <v>3718.9</v>
          </cell>
          <cell r="N148">
            <v>1357.7</v>
          </cell>
          <cell r="O148">
            <v>3606.4</v>
          </cell>
          <cell r="P148">
            <v>749.5</v>
          </cell>
          <cell r="Q148">
            <v>0</v>
          </cell>
          <cell r="R148">
            <v>0</v>
          </cell>
        </row>
        <row r="149">
          <cell r="B149" t="str">
            <v>162990</v>
          </cell>
          <cell r="E149">
            <v>5638.7</v>
          </cell>
          <cell r="F149">
            <v>1633.6</v>
          </cell>
          <cell r="G149">
            <v>0</v>
          </cell>
          <cell r="H149">
            <v>0</v>
          </cell>
          <cell r="I149">
            <v>0</v>
          </cell>
          <cell r="J149">
            <v>0</v>
          </cell>
          <cell r="K149">
            <v>0</v>
          </cell>
          <cell r="L149">
            <v>0</v>
          </cell>
          <cell r="M149">
            <v>3056.3001953124999</v>
          </cell>
          <cell r="N149">
            <v>1727.3</v>
          </cell>
          <cell r="O149">
            <v>3552.3</v>
          </cell>
          <cell r="P149">
            <v>1476.1</v>
          </cell>
          <cell r="Q149">
            <v>0</v>
          </cell>
          <cell r="R149">
            <v>0</v>
          </cell>
        </row>
        <row r="150">
          <cell r="B150" t="str">
            <v>162975</v>
          </cell>
          <cell r="E150">
            <v>4782.8</v>
          </cell>
          <cell r="F150">
            <v>879.9</v>
          </cell>
          <cell r="G150">
            <v>0</v>
          </cell>
          <cell r="H150">
            <v>0</v>
          </cell>
          <cell r="I150">
            <v>0</v>
          </cell>
          <cell r="J150">
            <v>0</v>
          </cell>
          <cell r="K150">
            <v>0</v>
          </cell>
          <cell r="L150">
            <v>0</v>
          </cell>
          <cell r="M150">
            <v>3094.4</v>
          </cell>
          <cell r="N150">
            <v>1351.9000488281249</v>
          </cell>
          <cell r="O150">
            <v>3192.6</v>
          </cell>
          <cell r="P150">
            <v>1100.5999999999999</v>
          </cell>
          <cell r="Q150">
            <v>0</v>
          </cell>
          <cell r="R150">
            <v>0</v>
          </cell>
        </row>
        <row r="151">
          <cell r="B151" t="str">
            <v>162960</v>
          </cell>
          <cell r="E151">
            <v>4531.8999999999996</v>
          </cell>
          <cell r="F151">
            <v>1035.5</v>
          </cell>
          <cell r="G151">
            <v>0</v>
          </cell>
          <cell r="H151">
            <v>0</v>
          </cell>
          <cell r="I151">
            <v>0</v>
          </cell>
          <cell r="J151">
            <v>0</v>
          </cell>
          <cell r="K151">
            <v>0</v>
          </cell>
          <cell r="L151">
            <v>0</v>
          </cell>
          <cell r="M151">
            <v>3175.6</v>
          </cell>
          <cell r="N151">
            <v>1516.6</v>
          </cell>
          <cell r="O151">
            <v>3375.7</v>
          </cell>
          <cell r="P151">
            <v>1152.2999511718749</v>
          </cell>
          <cell r="Q151">
            <v>0</v>
          </cell>
          <cell r="R151">
            <v>0</v>
          </cell>
        </row>
        <row r="152">
          <cell r="B152" t="str">
            <v>162945</v>
          </cell>
          <cell r="E152">
            <v>5004.2</v>
          </cell>
          <cell r="F152">
            <v>1204.4000000000001</v>
          </cell>
          <cell r="G152">
            <v>0</v>
          </cell>
          <cell r="H152">
            <v>0</v>
          </cell>
          <cell r="I152">
            <v>0</v>
          </cell>
          <cell r="J152">
            <v>0</v>
          </cell>
          <cell r="K152">
            <v>0</v>
          </cell>
          <cell r="L152">
            <v>0</v>
          </cell>
          <cell r="M152">
            <v>3396.3</v>
          </cell>
          <cell r="N152">
            <v>1671.3</v>
          </cell>
          <cell r="O152">
            <v>3665.4</v>
          </cell>
          <cell r="P152">
            <v>1214.0999999999999</v>
          </cell>
          <cell r="Q152">
            <v>0</v>
          </cell>
          <cell r="R152">
            <v>0</v>
          </cell>
        </row>
        <row r="153">
          <cell r="B153" t="str">
            <v>162930</v>
          </cell>
          <cell r="E153">
            <v>4358.2</v>
          </cell>
          <cell r="F153">
            <v>1989.8</v>
          </cell>
          <cell r="G153">
            <v>0</v>
          </cell>
          <cell r="H153">
            <v>0</v>
          </cell>
          <cell r="I153">
            <v>0</v>
          </cell>
          <cell r="J153">
            <v>0</v>
          </cell>
          <cell r="K153">
            <v>0</v>
          </cell>
          <cell r="L153">
            <v>0</v>
          </cell>
          <cell r="M153">
            <v>3727.8</v>
          </cell>
          <cell r="N153">
            <v>1830.2</v>
          </cell>
          <cell r="O153">
            <v>3653.1</v>
          </cell>
          <cell r="P153">
            <v>1579</v>
          </cell>
          <cell r="Q153">
            <v>0</v>
          </cell>
          <cell r="R153">
            <v>0</v>
          </cell>
        </row>
        <row r="154">
          <cell r="B154" t="str">
            <v>162915</v>
          </cell>
          <cell r="E154">
            <v>4207</v>
          </cell>
          <cell r="F154">
            <v>1838.7</v>
          </cell>
          <cell r="G154">
            <v>0</v>
          </cell>
          <cell r="H154">
            <v>0</v>
          </cell>
          <cell r="I154">
            <v>0</v>
          </cell>
          <cell r="J154">
            <v>0</v>
          </cell>
          <cell r="K154">
            <v>0</v>
          </cell>
          <cell r="L154">
            <v>0</v>
          </cell>
          <cell r="M154">
            <v>3918.9</v>
          </cell>
          <cell r="N154">
            <v>1979.5</v>
          </cell>
          <cell r="O154">
            <v>3844.3</v>
          </cell>
          <cell r="P154">
            <v>1728.2</v>
          </cell>
          <cell r="Q154">
            <v>0</v>
          </cell>
          <cell r="R154">
            <v>0</v>
          </cell>
        </row>
        <row r="155">
          <cell r="B155" t="str">
            <v>162900</v>
          </cell>
          <cell r="E155">
            <v>4122.3999999999996</v>
          </cell>
          <cell r="F155">
            <v>1682.5</v>
          </cell>
          <cell r="G155">
            <v>0</v>
          </cell>
          <cell r="H155">
            <v>0</v>
          </cell>
          <cell r="I155">
            <v>0</v>
          </cell>
          <cell r="J155">
            <v>0</v>
          </cell>
          <cell r="K155">
            <v>0</v>
          </cell>
          <cell r="L155">
            <v>0</v>
          </cell>
          <cell r="M155">
            <v>4160.1000000000004</v>
          </cell>
          <cell r="N155">
            <v>2129.1999649704285</v>
          </cell>
          <cell r="O155">
            <v>4085.5</v>
          </cell>
          <cell r="P155">
            <v>1878</v>
          </cell>
          <cell r="Q155">
            <v>0</v>
          </cell>
          <cell r="R155">
            <v>0</v>
          </cell>
        </row>
        <row r="156">
          <cell r="B156" t="str">
            <v>162885</v>
          </cell>
          <cell r="E156">
            <v>4090.8</v>
          </cell>
          <cell r="F156">
            <v>1513.7</v>
          </cell>
          <cell r="G156">
            <v>0</v>
          </cell>
          <cell r="H156">
            <v>0</v>
          </cell>
          <cell r="I156">
            <v>0</v>
          </cell>
          <cell r="J156">
            <v>0</v>
          </cell>
          <cell r="K156">
            <v>0</v>
          </cell>
          <cell r="L156">
            <v>0</v>
          </cell>
          <cell r="M156">
            <v>4349.1000000000004</v>
          </cell>
          <cell r="N156">
            <v>2280</v>
          </cell>
          <cell r="O156">
            <v>4255.2</v>
          </cell>
          <cell r="P156">
            <v>1710.3</v>
          </cell>
          <cell r="Q156">
            <v>0</v>
          </cell>
          <cell r="R156">
            <v>0</v>
          </cell>
        </row>
        <row r="157">
          <cell r="B157" t="str">
            <v>162870</v>
          </cell>
          <cell r="E157">
            <v>4077.9</v>
          </cell>
          <cell r="F157">
            <v>1347</v>
          </cell>
          <cell r="G157">
            <v>0</v>
          </cell>
          <cell r="H157">
            <v>0</v>
          </cell>
          <cell r="I157">
            <v>0</v>
          </cell>
          <cell r="J157">
            <v>0</v>
          </cell>
          <cell r="K157">
            <v>0</v>
          </cell>
          <cell r="L157">
            <v>0</v>
          </cell>
          <cell r="M157">
            <v>5146.5</v>
          </cell>
          <cell r="N157">
            <v>2306.1</v>
          </cell>
          <cell r="O157">
            <v>4656</v>
          </cell>
          <cell r="P157">
            <v>1826.2</v>
          </cell>
          <cell r="Q157">
            <v>0</v>
          </cell>
          <cell r="R157">
            <v>0</v>
          </cell>
        </row>
        <row r="158">
          <cell r="B158" t="str">
            <v>162855</v>
          </cell>
          <cell r="E158">
            <v>4045.4</v>
          </cell>
          <cell r="F158">
            <v>1497.7</v>
          </cell>
          <cell r="G158">
            <v>0</v>
          </cell>
          <cell r="H158">
            <v>0</v>
          </cell>
          <cell r="I158">
            <v>0</v>
          </cell>
          <cell r="J158">
            <v>0</v>
          </cell>
          <cell r="K158">
            <v>0</v>
          </cell>
          <cell r="L158">
            <v>0</v>
          </cell>
          <cell r="M158">
            <v>5324.4</v>
          </cell>
          <cell r="N158">
            <v>2944.5</v>
          </cell>
          <cell r="O158">
            <v>4741.6000000000004</v>
          </cell>
          <cell r="P158">
            <v>1987.7</v>
          </cell>
          <cell r="Q158">
            <v>0</v>
          </cell>
          <cell r="R158">
            <v>0</v>
          </cell>
        </row>
        <row r="159">
          <cell r="B159" t="str">
            <v>162840</v>
          </cell>
          <cell r="E159">
            <v>4446.7</v>
          </cell>
          <cell r="F159">
            <v>1647.9</v>
          </cell>
          <cell r="G159">
            <v>0</v>
          </cell>
          <cell r="H159">
            <v>0</v>
          </cell>
          <cell r="I159">
            <v>6791</v>
          </cell>
          <cell r="J159">
            <v>3001.3</v>
          </cell>
          <cell r="K159">
            <v>6791</v>
          </cell>
          <cell r="L159">
            <v>3001.3</v>
          </cell>
          <cell r="M159">
            <v>8389.9</v>
          </cell>
          <cell r="N159">
            <v>3228.5</v>
          </cell>
          <cell r="O159">
            <v>6429.5</v>
          </cell>
          <cell r="P159">
            <v>2395.2000976562499</v>
          </cell>
          <cell r="Q159">
            <v>0</v>
          </cell>
          <cell r="R159">
            <v>0</v>
          </cell>
        </row>
        <row r="160">
          <cell r="B160" t="str">
            <v>162825</v>
          </cell>
          <cell r="E160">
            <v>4650.3</v>
          </cell>
          <cell r="F160">
            <v>1822.7000030517579</v>
          </cell>
          <cell r="G160">
            <v>0</v>
          </cell>
          <cell r="H160">
            <v>0</v>
          </cell>
          <cell r="I160">
            <v>6994.7</v>
          </cell>
          <cell r="J160">
            <v>3176.1</v>
          </cell>
          <cell r="K160">
            <v>6994.7</v>
          </cell>
          <cell r="L160">
            <v>3176.1</v>
          </cell>
          <cell r="M160">
            <v>8593.6</v>
          </cell>
          <cell r="N160">
            <v>3403.3</v>
          </cell>
          <cell r="O160">
            <v>6633.2</v>
          </cell>
          <cell r="P160">
            <v>2570</v>
          </cell>
          <cell r="Q160">
            <v>0</v>
          </cell>
          <cell r="R160">
            <v>0</v>
          </cell>
        </row>
        <row r="161">
          <cell r="B161" t="str">
            <v>162810</v>
          </cell>
          <cell r="E161">
            <v>4775.6000000000004</v>
          </cell>
          <cell r="F161">
            <v>1976.8</v>
          </cell>
          <cell r="G161">
            <v>0</v>
          </cell>
          <cell r="H161">
            <v>0</v>
          </cell>
          <cell r="I161">
            <v>7119.9</v>
          </cell>
          <cell r="J161">
            <v>3330.2</v>
          </cell>
          <cell r="K161">
            <v>7119.9</v>
          </cell>
          <cell r="L161">
            <v>3330.2</v>
          </cell>
          <cell r="M161">
            <v>8718.7999999999993</v>
          </cell>
          <cell r="N161">
            <v>3557.39990234375</v>
          </cell>
          <cell r="O161">
            <v>6758.4</v>
          </cell>
          <cell r="P161">
            <v>2724.1</v>
          </cell>
          <cell r="Q161">
            <v>0</v>
          </cell>
          <cell r="R161">
            <v>0</v>
          </cell>
        </row>
        <row r="162">
          <cell r="B162" t="str">
            <v>162795</v>
          </cell>
          <cell r="E162">
            <v>5542.9</v>
          </cell>
          <cell r="F162">
            <v>2842.8</v>
          </cell>
          <cell r="G162">
            <v>0</v>
          </cell>
          <cell r="H162">
            <v>0</v>
          </cell>
          <cell r="I162">
            <v>6557.8962385237628</v>
          </cell>
          <cell r="J162">
            <v>3892.9682177112509</v>
          </cell>
          <cell r="K162">
            <v>6557.8962385237628</v>
          </cell>
          <cell r="L162">
            <v>3892.9682177112509</v>
          </cell>
          <cell r="M162">
            <v>5879.1</v>
          </cell>
          <cell r="N162">
            <v>3814.5</v>
          </cell>
          <cell r="O162">
            <v>5270.2</v>
          </cell>
          <cell r="P162">
            <v>2712.4</v>
          </cell>
          <cell r="Q162">
            <v>9332.1</v>
          </cell>
          <cell r="R162">
            <v>4624.8</v>
          </cell>
        </row>
        <row r="163">
          <cell r="B163" t="str">
            <v>162780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row>
        <row r="164">
          <cell r="B164" t="str">
            <v>162765</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row>
        <row r="165">
          <cell r="B165" t="str">
            <v>162750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row>
        <row r="166">
          <cell r="B166" t="str">
            <v>162735</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row>
        <row r="167">
          <cell r="B167" t="str">
            <v>162720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row>
        <row r="168">
          <cell r="B168" t="str">
            <v>162705</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row>
        <row r="169">
          <cell r="B169" t="str">
            <v>162690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row>
        <row r="170">
          <cell r="B170" t="str">
            <v>00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row>
        <row r="171">
          <cell r="B171" t="str">
            <v>00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row>
        <row r="172">
          <cell r="B172" t="str">
            <v>173020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row>
        <row r="173">
          <cell r="B173" t="str">
            <v>173005</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row>
        <row r="174">
          <cell r="B174" t="str">
            <v>172990</v>
          </cell>
          <cell r="E174">
            <v>0</v>
          </cell>
          <cell r="F174">
            <v>0</v>
          </cell>
          <cell r="G174">
            <v>0</v>
          </cell>
          <cell r="H174">
            <v>0</v>
          </cell>
          <cell r="I174">
            <v>0</v>
          </cell>
          <cell r="J174">
            <v>0</v>
          </cell>
          <cell r="K174">
            <v>0</v>
          </cell>
          <cell r="L174">
            <v>0</v>
          </cell>
          <cell r="M174">
            <v>4594</v>
          </cell>
          <cell r="N174">
            <v>2205.6</v>
          </cell>
          <cell r="O174">
            <v>0</v>
          </cell>
          <cell r="P174">
            <v>0</v>
          </cell>
          <cell r="Q174">
            <v>0</v>
          </cell>
          <cell r="R174">
            <v>0</v>
          </cell>
        </row>
        <row r="175">
          <cell r="B175" t="str">
            <v>172975</v>
          </cell>
          <cell r="E175">
            <v>0</v>
          </cell>
          <cell r="F175">
            <v>0</v>
          </cell>
          <cell r="G175">
            <v>0</v>
          </cell>
          <cell r="H175">
            <v>0</v>
          </cell>
          <cell r="I175">
            <v>0</v>
          </cell>
          <cell r="J175">
            <v>0</v>
          </cell>
          <cell r="K175">
            <v>0</v>
          </cell>
          <cell r="L175">
            <v>0</v>
          </cell>
          <cell r="M175">
            <v>3971.9</v>
          </cell>
          <cell r="N175">
            <v>1824.4</v>
          </cell>
          <cell r="O175">
            <v>0</v>
          </cell>
          <cell r="P175">
            <v>0</v>
          </cell>
          <cell r="Q175">
            <v>0</v>
          </cell>
          <cell r="R175">
            <v>0</v>
          </cell>
        </row>
        <row r="176">
          <cell r="B176" t="str">
            <v>172960</v>
          </cell>
          <cell r="E176">
            <v>0</v>
          </cell>
          <cell r="F176">
            <v>0</v>
          </cell>
          <cell r="G176">
            <v>0</v>
          </cell>
          <cell r="H176">
            <v>0</v>
          </cell>
          <cell r="I176">
            <v>0</v>
          </cell>
          <cell r="J176">
            <v>0</v>
          </cell>
          <cell r="K176">
            <v>0</v>
          </cell>
          <cell r="L176">
            <v>0</v>
          </cell>
          <cell r="M176">
            <v>3456.4</v>
          </cell>
          <cell r="N176">
            <v>1661.2999023437501</v>
          </cell>
          <cell r="O176">
            <v>0</v>
          </cell>
          <cell r="P176">
            <v>0</v>
          </cell>
          <cell r="Q176">
            <v>0</v>
          </cell>
          <cell r="R176">
            <v>0</v>
          </cell>
        </row>
        <row r="177">
          <cell r="B177" t="str">
            <v>172945</v>
          </cell>
          <cell r="E177">
            <v>0</v>
          </cell>
          <cell r="F177">
            <v>0</v>
          </cell>
          <cell r="G177">
            <v>0</v>
          </cell>
          <cell r="H177">
            <v>0</v>
          </cell>
          <cell r="I177">
            <v>0</v>
          </cell>
          <cell r="J177">
            <v>0</v>
          </cell>
          <cell r="K177">
            <v>0</v>
          </cell>
          <cell r="L177">
            <v>0</v>
          </cell>
          <cell r="M177">
            <v>3741.3</v>
          </cell>
          <cell r="N177">
            <v>1701.8999999046325</v>
          </cell>
          <cell r="O177">
            <v>0</v>
          </cell>
          <cell r="P177">
            <v>0</v>
          </cell>
          <cell r="Q177">
            <v>0</v>
          </cell>
          <cell r="R177">
            <v>0</v>
          </cell>
        </row>
        <row r="178">
          <cell r="B178" t="str">
            <v>172930</v>
          </cell>
          <cell r="E178">
            <v>1636.3</v>
          </cell>
          <cell r="F178">
            <v>727.6</v>
          </cell>
          <cell r="G178">
            <v>2536.1</v>
          </cell>
          <cell r="H178">
            <v>486.70002441406251</v>
          </cell>
          <cell r="I178">
            <v>0</v>
          </cell>
          <cell r="J178">
            <v>0</v>
          </cell>
          <cell r="K178">
            <v>0</v>
          </cell>
          <cell r="L178">
            <v>0</v>
          </cell>
          <cell r="M178">
            <v>4715.3</v>
          </cell>
          <cell r="N178">
            <v>1827.0000000953673</v>
          </cell>
          <cell r="O178">
            <v>0</v>
          </cell>
          <cell r="P178">
            <v>0</v>
          </cell>
          <cell r="Q178">
            <v>0</v>
          </cell>
          <cell r="R178">
            <v>0</v>
          </cell>
        </row>
        <row r="179">
          <cell r="B179" t="str">
            <v>172915</v>
          </cell>
          <cell r="E179">
            <v>1897.7</v>
          </cell>
          <cell r="F179">
            <v>851.8</v>
          </cell>
          <cell r="G179">
            <v>0</v>
          </cell>
          <cell r="H179">
            <v>0</v>
          </cell>
          <cell r="I179">
            <v>0</v>
          </cell>
          <cell r="J179">
            <v>0</v>
          </cell>
          <cell r="K179">
            <v>0</v>
          </cell>
          <cell r="L179">
            <v>0</v>
          </cell>
          <cell r="M179">
            <v>4735.6000000000004</v>
          </cell>
          <cell r="N179">
            <v>1977.8</v>
          </cell>
          <cell r="O179">
            <v>0</v>
          </cell>
          <cell r="P179">
            <v>0</v>
          </cell>
          <cell r="Q179">
            <v>0</v>
          </cell>
          <cell r="R179">
            <v>0</v>
          </cell>
        </row>
        <row r="180">
          <cell r="B180" t="str">
            <v>172900</v>
          </cell>
          <cell r="E180">
            <v>2137.3000000000002</v>
          </cell>
          <cell r="F180">
            <v>1037.5999999999999</v>
          </cell>
          <cell r="G180">
            <v>0</v>
          </cell>
          <cell r="H180">
            <v>0</v>
          </cell>
          <cell r="I180">
            <v>0</v>
          </cell>
          <cell r="J180">
            <v>0</v>
          </cell>
          <cell r="K180">
            <v>0</v>
          </cell>
          <cell r="L180">
            <v>0</v>
          </cell>
          <cell r="M180">
            <v>5675.6</v>
          </cell>
          <cell r="N180">
            <v>2618.1999999999998</v>
          </cell>
          <cell r="O180">
            <v>3840.3</v>
          </cell>
          <cell r="P180">
            <v>1741.8</v>
          </cell>
          <cell r="Q180">
            <v>0</v>
          </cell>
          <cell r="R180">
            <v>0</v>
          </cell>
        </row>
        <row r="181">
          <cell r="B181" t="str">
            <v>172885</v>
          </cell>
          <cell r="E181">
            <v>2331.4</v>
          </cell>
          <cell r="F181">
            <v>1188.4000026309861</v>
          </cell>
          <cell r="G181">
            <v>0</v>
          </cell>
          <cell r="H181">
            <v>0</v>
          </cell>
          <cell r="I181">
            <v>0</v>
          </cell>
          <cell r="J181">
            <v>0</v>
          </cell>
          <cell r="K181">
            <v>0</v>
          </cell>
          <cell r="L181">
            <v>0</v>
          </cell>
          <cell r="M181">
            <v>5994.7133704931202</v>
          </cell>
          <cell r="N181">
            <v>2769</v>
          </cell>
          <cell r="O181">
            <v>4034.4</v>
          </cell>
          <cell r="P181">
            <v>1892.6</v>
          </cell>
          <cell r="Q181">
            <v>0</v>
          </cell>
          <cell r="R181">
            <v>0</v>
          </cell>
        </row>
        <row r="182">
          <cell r="B182" t="str">
            <v>172870</v>
          </cell>
          <cell r="E182">
            <v>2396.1999999999998</v>
          </cell>
          <cell r="F182">
            <v>1342.7</v>
          </cell>
          <cell r="G182">
            <v>0</v>
          </cell>
          <cell r="H182">
            <v>0</v>
          </cell>
          <cell r="I182">
            <v>0</v>
          </cell>
          <cell r="J182">
            <v>0</v>
          </cell>
          <cell r="K182">
            <v>0</v>
          </cell>
          <cell r="L182">
            <v>0</v>
          </cell>
          <cell r="M182">
            <v>6151.2</v>
          </cell>
          <cell r="N182">
            <v>2923.3000976562498</v>
          </cell>
          <cell r="O182">
            <v>4099.3</v>
          </cell>
          <cell r="P182">
            <v>2046.9</v>
          </cell>
          <cell r="Q182">
            <v>0</v>
          </cell>
          <cell r="R182">
            <v>0</v>
          </cell>
        </row>
        <row r="183">
          <cell r="B183" t="str">
            <v>172855</v>
          </cell>
          <cell r="E183">
            <v>2513.8000000000002</v>
          </cell>
          <cell r="F183">
            <v>1503.6999938964843</v>
          </cell>
          <cell r="G183">
            <v>0</v>
          </cell>
          <cell r="H183">
            <v>0</v>
          </cell>
          <cell r="I183">
            <v>0</v>
          </cell>
          <cell r="J183">
            <v>0</v>
          </cell>
          <cell r="K183">
            <v>0</v>
          </cell>
          <cell r="L183">
            <v>0</v>
          </cell>
          <cell r="M183">
            <v>6434</v>
          </cell>
          <cell r="N183">
            <v>3084.2998962402344</v>
          </cell>
          <cell r="O183">
            <v>4216.8</v>
          </cell>
          <cell r="P183">
            <v>2207.8999755859377</v>
          </cell>
          <cell r="Q183">
            <v>0</v>
          </cell>
          <cell r="R183">
            <v>0</v>
          </cell>
        </row>
        <row r="184">
          <cell r="B184" t="str">
            <v>172840</v>
          </cell>
          <cell r="E184">
            <v>2727.0001953125002</v>
          </cell>
          <cell r="F184">
            <v>1686.2</v>
          </cell>
          <cell r="G184">
            <v>0</v>
          </cell>
          <cell r="H184">
            <v>0</v>
          </cell>
          <cell r="I184">
            <v>5128.1996093750004</v>
          </cell>
          <cell r="J184">
            <v>3039.6</v>
          </cell>
          <cell r="K184">
            <v>5128.1996093750004</v>
          </cell>
          <cell r="L184">
            <v>3039.6</v>
          </cell>
          <cell r="M184">
            <v>6670.3</v>
          </cell>
          <cell r="N184">
            <v>3266.7999145507811</v>
          </cell>
          <cell r="O184">
            <v>4430</v>
          </cell>
          <cell r="P184">
            <v>2390.3999267578124</v>
          </cell>
          <cell r="Q184">
            <v>0</v>
          </cell>
          <cell r="R184">
            <v>0</v>
          </cell>
        </row>
        <row r="185">
          <cell r="B185" t="str">
            <v>172825</v>
          </cell>
          <cell r="E185">
            <v>2938.2</v>
          </cell>
          <cell r="F185">
            <v>1884.3000122070312</v>
          </cell>
          <cell r="G185">
            <v>0</v>
          </cell>
          <cell r="H185">
            <v>0</v>
          </cell>
          <cell r="I185">
            <v>5339.4</v>
          </cell>
          <cell r="J185">
            <v>3237.6999023437502</v>
          </cell>
          <cell r="K185">
            <v>5339.4</v>
          </cell>
          <cell r="L185">
            <v>3237.6999023437502</v>
          </cell>
          <cell r="M185">
            <v>6881.4</v>
          </cell>
          <cell r="N185">
            <v>3464.9000976562502</v>
          </cell>
          <cell r="O185">
            <v>4641.2</v>
          </cell>
          <cell r="P185">
            <v>2588.5</v>
          </cell>
          <cell r="Q185">
            <v>0</v>
          </cell>
          <cell r="R185">
            <v>0</v>
          </cell>
        </row>
        <row r="186">
          <cell r="B186" t="str">
            <v>172810</v>
          </cell>
          <cell r="E186">
            <v>3007</v>
          </cell>
          <cell r="F186">
            <v>2051.4</v>
          </cell>
          <cell r="G186">
            <v>0</v>
          </cell>
          <cell r="H186">
            <v>0</v>
          </cell>
          <cell r="I186">
            <v>5408.2</v>
          </cell>
          <cell r="J186">
            <v>3404.8</v>
          </cell>
          <cell r="K186">
            <v>5408.2</v>
          </cell>
          <cell r="L186">
            <v>3404.8</v>
          </cell>
          <cell r="M186">
            <v>6950.2</v>
          </cell>
          <cell r="N186">
            <v>3631.9999938964843</v>
          </cell>
          <cell r="O186">
            <v>4827.3</v>
          </cell>
          <cell r="P186">
            <v>2773.7</v>
          </cell>
          <cell r="Q186">
            <v>0</v>
          </cell>
          <cell r="R186">
            <v>0</v>
          </cell>
        </row>
        <row r="187">
          <cell r="B187" t="str">
            <v>172795</v>
          </cell>
          <cell r="E187">
            <v>3187.5999392385083</v>
          </cell>
          <cell r="F187">
            <v>2263.6</v>
          </cell>
          <cell r="G187">
            <v>0</v>
          </cell>
          <cell r="H187">
            <v>0</v>
          </cell>
          <cell r="I187">
            <v>5588.7998784770207</v>
          </cell>
          <cell r="J187">
            <v>3617</v>
          </cell>
          <cell r="K187">
            <v>5588.7998784770207</v>
          </cell>
          <cell r="L187">
            <v>3617</v>
          </cell>
          <cell r="M187">
            <v>7130.8</v>
          </cell>
          <cell r="N187">
            <v>3844.1999957952808</v>
          </cell>
          <cell r="O187">
            <v>5170.3999999999996</v>
          </cell>
          <cell r="P187">
            <v>3010.8998730441931</v>
          </cell>
          <cell r="Q187">
            <v>0</v>
          </cell>
          <cell r="R187">
            <v>0</v>
          </cell>
        </row>
        <row r="188">
          <cell r="B188" t="str">
            <v>172780</v>
          </cell>
          <cell r="E188">
            <v>3329</v>
          </cell>
          <cell r="F188">
            <v>2426.1000061035156</v>
          </cell>
          <cell r="G188">
            <v>0</v>
          </cell>
          <cell r="H188">
            <v>0</v>
          </cell>
          <cell r="I188">
            <v>5846.8949519678699</v>
          </cell>
          <cell r="J188">
            <v>3815.6006047248957</v>
          </cell>
          <cell r="K188">
            <v>5846.8949519678699</v>
          </cell>
          <cell r="L188">
            <v>3815.6006047248957</v>
          </cell>
          <cell r="M188">
            <v>7272.2</v>
          </cell>
          <cell r="N188">
            <v>4006.7</v>
          </cell>
          <cell r="O188">
            <v>5311.8</v>
          </cell>
          <cell r="P188">
            <v>3173.4</v>
          </cell>
          <cell r="Q188">
            <v>6076.4</v>
          </cell>
          <cell r="R188">
            <v>3886.6</v>
          </cell>
        </row>
        <row r="189">
          <cell r="B189" t="str">
            <v>172765</v>
          </cell>
          <cell r="E189">
            <v>3307</v>
          </cell>
          <cell r="F189">
            <v>2545.6999999999998</v>
          </cell>
          <cell r="G189">
            <v>0</v>
          </cell>
          <cell r="H189">
            <v>0</v>
          </cell>
          <cell r="I189">
            <v>5709.5372731150037</v>
          </cell>
          <cell r="J189">
            <v>3899.5136971421634</v>
          </cell>
          <cell r="K189">
            <v>5709.5372731150037</v>
          </cell>
          <cell r="L189">
            <v>3899.5136971421634</v>
          </cell>
          <cell r="M189">
            <v>6913.5</v>
          </cell>
          <cell r="N189">
            <v>3596.2</v>
          </cell>
          <cell r="O189">
            <v>5289.8</v>
          </cell>
          <cell r="P189">
            <v>3293</v>
          </cell>
          <cell r="Q189">
            <v>6054.4</v>
          </cell>
          <cell r="R189">
            <v>4006.2</v>
          </cell>
        </row>
        <row r="190">
          <cell r="B190" t="str">
            <v>172750</v>
          </cell>
          <cell r="E190">
            <v>3421.9</v>
          </cell>
          <cell r="F190">
            <v>2732.899996948242</v>
          </cell>
          <cell r="G190">
            <v>0</v>
          </cell>
          <cell r="H190">
            <v>0</v>
          </cell>
          <cell r="I190">
            <v>5780.1331115403264</v>
          </cell>
          <cell r="J190">
            <v>4090.0017948172108</v>
          </cell>
          <cell r="K190">
            <v>5780.1331115403264</v>
          </cell>
          <cell r="L190">
            <v>4090.0017948172108</v>
          </cell>
          <cell r="M190">
            <v>7349.9</v>
          </cell>
          <cell r="N190">
            <v>3802.8</v>
          </cell>
          <cell r="O190">
            <v>5404.6996093750004</v>
          </cell>
          <cell r="P190">
            <v>3480.2001953125</v>
          </cell>
          <cell r="Q190">
            <v>6169.3</v>
          </cell>
          <cell r="R190">
            <v>4193.3999999999996</v>
          </cell>
        </row>
        <row r="191">
          <cell r="B191" t="str">
            <v>172735</v>
          </cell>
          <cell r="E191">
            <v>3610.8</v>
          </cell>
          <cell r="F191">
            <v>2902.100192260742</v>
          </cell>
          <cell r="G191">
            <v>0</v>
          </cell>
          <cell r="H191">
            <v>0</v>
          </cell>
          <cell r="I191">
            <v>5972.4158391984292</v>
          </cell>
          <cell r="J191">
            <v>4260.0739075489464</v>
          </cell>
          <cell r="K191">
            <v>5972.4158391984292</v>
          </cell>
          <cell r="L191">
            <v>4260.0739075489464</v>
          </cell>
          <cell r="M191">
            <v>7414.2</v>
          </cell>
          <cell r="N191">
            <v>3968.699951171875</v>
          </cell>
          <cell r="O191">
            <v>5593.7</v>
          </cell>
          <cell r="P191">
            <v>3649.4</v>
          </cell>
          <cell r="Q191">
            <v>6358.2996093749998</v>
          </cell>
          <cell r="R191">
            <v>4362.60009765625</v>
          </cell>
        </row>
        <row r="192">
          <cell r="B192" t="str">
            <v>172720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row>
        <row r="193">
          <cell r="B193" t="str">
            <v>172705</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row>
        <row r="194">
          <cell r="B194" t="str">
            <v>172690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row>
        <row r="195">
          <cell r="B195" t="str">
            <v>00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row>
        <row r="196">
          <cell r="B196" t="str">
            <v>00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row>
        <row r="197">
          <cell r="B197" t="str">
            <v>183035</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row>
        <row r="198">
          <cell r="B198" t="str">
            <v>183020</v>
          </cell>
          <cell r="E198">
            <v>0</v>
          </cell>
          <cell r="F198">
            <v>0</v>
          </cell>
          <cell r="G198">
            <v>0</v>
          </cell>
          <cell r="H198">
            <v>0</v>
          </cell>
          <cell r="I198">
            <v>0</v>
          </cell>
          <cell r="J198">
            <v>0</v>
          </cell>
          <cell r="K198">
            <v>0</v>
          </cell>
          <cell r="L198">
            <v>0</v>
          </cell>
          <cell r="M198">
            <v>4108.1000000000004</v>
          </cell>
          <cell r="N198">
            <v>1380.2</v>
          </cell>
          <cell r="O198">
            <v>0</v>
          </cell>
          <cell r="P198">
            <v>0</v>
          </cell>
          <cell r="Q198">
            <v>0</v>
          </cell>
          <cell r="R198">
            <v>0</v>
          </cell>
        </row>
        <row r="199">
          <cell r="B199" t="str">
            <v>183005</v>
          </cell>
          <cell r="E199">
            <v>0</v>
          </cell>
          <cell r="F199">
            <v>0</v>
          </cell>
          <cell r="G199">
            <v>0</v>
          </cell>
          <cell r="H199">
            <v>0</v>
          </cell>
          <cell r="I199">
            <v>0</v>
          </cell>
          <cell r="J199">
            <v>0</v>
          </cell>
          <cell r="K199">
            <v>0</v>
          </cell>
          <cell r="L199">
            <v>0</v>
          </cell>
          <cell r="M199">
            <v>2222.9</v>
          </cell>
          <cell r="N199">
            <v>1037.8</v>
          </cell>
          <cell r="O199">
            <v>0</v>
          </cell>
          <cell r="P199">
            <v>0</v>
          </cell>
          <cell r="Q199">
            <v>0</v>
          </cell>
          <cell r="R199">
            <v>0</v>
          </cell>
        </row>
        <row r="200">
          <cell r="B200" t="str">
            <v>182990</v>
          </cell>
          <cell r="E200">
            <v>0</v>
          </cell>
          <cell r="F200">
            <v>0</v>
          </cell>
          <cell r="G200">
            <v>0</v>
          </cell>
          <cell r="H200">
            <v>0</v>
          </cell>
          <cell r="I200">
            <v>0</v>
          </cell>
          <cell r="J200">
            <v>0</v>
          </cell>
          <cell r="K200">
            <v>0</v>
          </cell>
          <cell r="L200">
            <v>0</v>
          </cell>
          <cell r="M200">
            <v>2650</v>
          </cell>
          <cell r="N200">
            <v>1207</v>
          </cell>
          <cell r="O200">
            <v>0</v>
          </cell>
          <cell r="P200">
            <v>0</v>
          </cell>
          <cell r="Q200">
            <v>0</v>
          </cell>
          <cell r="R200">
            <v>0</v>
          </cell>
        </row>
        <row r="201">
          <cell r="B201" t="str">
            <v>182975</v>
          </cell>
          <cell r="E201">
            <v>0</v>
          </cell>
          <cell r="F201">
            <v>0</v>
          </cell>
          <cell r="G201">
            <v>0</v>
          </cell>
          <cell r="H201">
            <v>0</v>
          </cell>
          <cell r="I201">
            <v>0</v>
          </cell>
          <cell r="J201">
            <v>0</v>
          </cell>
          <cell r="K201">
            <v>0</v>
          </cell>
          <cell r="L201">
            <v>0</v>
          </cell>
          <cell r="M201">
            <v>3083.9</v>
          </cell>
          <cell r="N201">
            <v>1351.9</v>
          </cell>
          <cell r="O201">
            <v>3295.2</v>
          </cell>
          <cell r="P201">
            <v>874</v>
          </cell>
          <cell r="Q201">
            <v>0</v>
          </cell>
          <cell r="R201">
            <v>0</v>
          </cell>
        </row>
        <row r="202">
          <cell r="B202" t="str">
            <v>182960</v>
          </cell>
          <cell r="E202">
            <v>4164.8999999999996</v>
          </cell>
          <cell r="F202">
            <v>1035.5</v>
          </cell>
          <cell r="G202">
            <v>0</v>
          </cell>
          <cell r="H202">
            <v>0</v>
          </cell>
          <cell r="I202">
            <v>0</v>
          </cell>
          <cell r="J202">
            <v>0</v>
          </cell>
          <cell r="K202">
            <v>0</v>
          </cell>
          <cell r="L202">
            <v>0</v>
          </cell>
          <cell r="M202">
            <v>3882.8</v>
          </cell>
          <cell r="N202">
            <v>1516.6</v>
          </cell>
          <cell r="O202">
            <v>3614.5</v>
          </cell>
          <cell r="P202">
            <v>905.1</v>
          </cell>
          <cell r="Q202">
            <v>0</v>
          </cell>
          <cell r="R202">
            <v>0</v>
          </cell>
        </row>
        <row r="203">
          <cell r="B203" t="str">
            <v>182945</v>
          </cell>
          <cell r="E203">
            <v>4175.2</v>
          </cell>
          <cell r="F203">
            <v>1204.4000000000001</v>
          </cell>
          <cell r="G203">
            <v>0</v>
          </cell>
          <cell r="H203">
            <v>0</v>
          </cell>
          <cell r="I203">
            <v>0</v>
          </cell>
          <cell r="J203">
            <v>0</v>
          </cell>
          <cell r="K203">
            <v>0</v>
          </cell>
          <cell r="L203">
            <v>0</v>
          </cell>
          <cell r="M203">
            <v>4265.6000000000004</v>
          </cell>
          <cell r="N203">
            <v>2173.6999999999998</v>
          </cell>
          <cell r="O203">
            <v>3624.8</v>
          </cell>
          <cell r="P203">
            <v>1074</v>
          </cell>
          <cell r="Q203">
            <v>0</v>
          </cell>
          <cell r="R203">
            <v>0</v>
          </cell>
        </row>
        <row r="204">
          <cell r="B204" t="str">
            <v>182930</v>
          </cell>
          <cell r="E204">
            <v>4214.7</v>
          </cell>
          <cell r="F204">
            <v>1356.3</v>
          </cell>
          <cell r="G204">
            <v>0</v>
          </cell>
          <cell r="H204">
            <v>0</v>
          </cell>
          <cell r="I204">
            <v>0</v>
          </cell>
          <cell r="J204">
            <v>0</v>
          </cell>
          <cell r="K204">
            <v>0</v>
          </cell>
          <cell r="L204">
            <v>0</v>
          </cell>
          <cell r="M204">
            <v>4307.3</v>
          </cell>
          <cell r="N204">
            <v>2330.3000000000002</v>
          </cell>
          <cell r="O204">
            <v>3664.4</v>
          </cell>
          <cell r="P204">
            <v>1225.9000000000001</v>
          </cell>
          <cell r="Q204">
            <v>0</v>
          </cell>
          <cell r="R204">
            <v>0</v>
          </cell>
        </row>
        <row r="205">
          <cell r="B205" t="str">
            <v>182915</v>
          </cell>
          <cell r="E205">
            <v>4290.2</v>
          </cell>
          <cell r="F205">
            <v>1512.2</v>
          </cell>
          <cell r="G205">
            <v>0</v>
          </cell>
          <cell r="H205">
            <v>0</v>
          </cell>
          <cell r="I205">
            <v>0</v>
          </cell>
          <cell r="J205">
            <v>0</v>
          </cell>
          <cell r="K205">
            <v>0</v>
          </cell>
          <cell r="L205">
            <v>0</v>
          </cell>
          <cell r="M205">
            <v>4810.4498293457864</v>
          </cell>
          <cell r="N205">
            <v>2276.6917564146543</v>
          </cell>
          <cell r="O205">
            <v>3739.9</v>
          </cell>
          <cell r="P205">
            <v>1381.8</v>
          </cell>
          <cell r="Q205">
            <v>0</v>
          </cell>
          <cell r="R205">
            <v>0</v>
          </cell>
        </row>
        <row r="206">
          <cell r="B206" t="str">
            <v>182900</v>
          </cell>
          <cell r="E206">
            <v>4423.900390625</v>
          </cell>
          <cell r="F206">
            <v>1665.7</v>
          </cell>
          <cell r="G206">
            <v>0</v>
          </cell>
          <cell r="H206">
            <v>0</v>
          </cell>
          <cell r="I206">
            <v>0</v>
          </cell>
          <cell r="J206">
            <v>0</v>
          </cell>
          <cell r="K206">
            <v>0</v>
          </cell>
          <cell r="L206">
            <v>0</v>
          </cell>
          <cell r="M206">
            <v>4820.7102631963462</v>
          </cell>
          <cell r="N206">
            <v>2575.3318390577697</v>
          </cell>
          <cell r="O206">
            <v>3873.6</v>
          </cell>
          <cell r="P206">
            <v>1535.3</v>
          </cell>
          <cell r="Q206">
            <v>0</v>
          </cell>
          <cell r="R206">
            <v>0</v>
          </cell>
        </row>
        <row r="207">
          <cell r="B207" t="str">
            <v>182885</v>
          </cell>
          <cell r="E207">
            <v>4627.5</v>
          </cell>
          <cell r="F207">
            <v>1820.0000976562501</v>
          </cell>
          <cell r="G207">
            <v>0</v>
          </cell>
          <cell r="H207">
            <v>0</v>
          </cell>
          <cell r="I207">
            <v>0</v>
          </cell>
          <cell r="J207">
            <v>0</v>
          </cell>
          <cell r="K207">
            <v>0</v>
          </cell>
          <cell r="L207">
            <v>0</v>
          </cell>
          <cell r="M207">
            <v>4925</v>
          </cell>
          <cell r="N207">
            <v>2794</v>
          </cell>
          <cell r="O207">
            <v>4077.1</v>
          </cell>
          <cell r="P207">
            <v>1689.6</v>
          </cell>
          <cell r="Q207">
            <v>0</v>
          </cell>
          <cell r="R207">
            <v>0</v>
          </cell>
        </row>
        <row r="208">
          <cell r="B208" t="str">
            <v>182870</v>
          </cell>
          <cell r="E208">
            <v>4834.6000000000004</v>
          </cell>
          <cell r="F208">
            <v>1985.1</v>
          </cell>
          <cell r="G208">
            <v>0</v>
          </cell>
          <cell r="H208">
            <v>0</v>
          </cell>
          <cell r="I208">
            <v>0</v>
          </cell>
          <cell r="J208">
            <v>0</v>
          </cell>
          <cell r="K208">
            <v>0</v>
          </cell>
          <cell r="L208">
            <v>0</v>
          </cell>
          <cell r="M208">
            <v>5162.1000000000004</v>
          </cell>
          <cell r="N208">
            <v>2959.1</v>
          </cell>
          <cell r="O208">
            <v>4284.3</v>
          </cell>
          <cell r="P208">
            <v>1854.7</v>
          </cell>
          <cell r="Q208">
            <v>0</v>
          </cell>
          <cell r="R208">
            <v>0</v>
          </cell>
        </row>
        <row r="209">
          <cell r="B209" t="str">
            <v>182855</v>
          </cell>
          <cell r="E209">
            <v>5001.3</v>
          </cell>
          <cell r="F209">
            <v>2149.9</v>
          </cell>
          <cell r="G209">
            <v>0</v>
          </cell>
          <cell r="H209">
            <v>0</v>
          </cell>
          <cell r="I209">
            <v>0</v>
          </cell>
          <cell r="J209">
            <v>0</v>
          </cell>
          <cell r="K209">
            <v>0</v>
          </cell>
          <cell r="L209">
            <v>0</v>
          </cell>
          <cell r="M209">
            <v>5328.9</v>
          </cell>
          <cell r="N209">
            <v>3123.9</v>
          </cell>
          <cell r="O209">
            <v>4451</v>
          </cell>
          <cell r="P209">
            <v>2019.5</v>
          </cell>
          <cell r="Q209">
            <v>0</v>
          </cell>
          <cell r="R209">
            <v>0</v>
          </cell>
        </row>
        <row r="210">
          <cell r="B210" t="str">
            <v>182840</v>
          </cell>
          <cell r="E210">
            <v>5162.7003906250002</v>
          </cell>
          <cell r="F210">
            <v>2308.6</v>
          </cell>
          <cell r="G210">
            <v>0</v>
          </cell>
          <cell r="H210">
            <v>0</v>
          </cell>
          <cell r="I210">
            <v>0</v>
          </cell>
          <cell r="J210">
            <v>0</v>
          </cell>
          <cell r="K210">
            <v>0</v>
          </cell>
          <cell r="L210">
            <v>0</v>
          </cell>
          <cell r="M210">
            <v>5490.5</v>
          </cell>
          <cell r="N210">
            <v>3282.5</v>
          </cell>
          <cell r="O210">
            <v>4620.8999999999996</v>
          </cell>
          <cell r="P210">
            <v>2178.199951171875</v>
          </cell>
          <cell r="Q210">
            <v>0</v>
          </cell>
          <cell r="R210">
            <v>0</v>
          </cell>
        </row>
        <row r="211">
          <cell r="B211" t="str">
            <v>182825</v>
          </cell>
          <cell r="E211">
            <v>5326.3</v>
          </cell>
          <cell r="F211">
            <v>2527.8000000000002</v>
          </cell>
          <cell r="G211">
            <v>0</v>
          </cell>
          <cell r="H211">
            <v>0</v>
          </cell>
          <cell r="I211">
            <v>0</v>
          </cell>
          <cell r="J211">
            <v>0</v>
          </cell>
          <cell r="K211">
            <v>0</v>
          </cell>
          <cell r="L211">
            <v>0</v>
          </cell>
          <cell r="M211">
            <v>5662.6</v>
          </cell>
          <cell r="N211">
            <v>3499.4999984741212</v>
          </cell>
          <cell r="O211">
            <v>5053.7</v>
          </cell>
          <cell r="P211">
            <v>2397.4</v>
          </cell>
          <cell r="Q211">
            <v>0</v>
          </cell>
          <cell r="R211">
            <v>0</v>
          </cell>
        </row>
        <row r="212">
          <cell r="B212" t="str">
            <v>182810</v>
          </cell>
          <cell r="E212">
            <v>5797.4</v>
          </cell>
          <cell r="F212">
            <v>2642.9998046874998</v>
          </cell>
          <cell r="G212">
            <v>0</v>
          </cell>
          <cell r="H212">
            <v>0</v>
          </cell>
          <cell r="I212">
            <v>6762.1</v>
          </cell>
          <cell r="J212">
            <v>3679.9000976562502</v>
          </cell>
          <cell r="K212">
            <v>6762.1</v>
          </cell>
          <cell r="L212">
            <v>3679.9000976562502</v>
          </cell>
          <cell r="M212">
            <v>6133.6</v>
          </cell>
          <cell r="N212">
            <v>3614.7</v>
          </cell>
          <cell r="O212">
            <v>5524.7</v>
          </cell>
          <cell r="P212">
            <v>2512.6</v>
          </cell>
          <cell r="Q212">
            <v>0</v>
          </cell>
          <cell r="R212">
            <v>0</v>
          </cell>
        </row>
        <row r="213">
          <cell r="B213" t="str">
            <v>182795</v>
          </cell>
          <cell r="E213">
            <v>5871.4</v>
          </cell>
          <cell r="F213">
            <v>2797</v>
          </cell>
          <cell r="G213">
            <v>6038.4</v>
          </cell>
          <cell r="H213">
            <v>2720.9</v>
          </cell>
          <cell r="I213">
            <v>6836.1</v>
          </cell>
          <cell r="J213">
            <v>3833.9001010918464</v>
          </cell>
          <cell r="K213">
            <v>6836.1</v>
          </cell>
          <cell r="L213">
            <v>3833.9001010918464</v>
          </cell>
          <cell r="M213">
            <v>6207.6</v>
          </cell>
          <cell r="N213">
            <v>3768.6999995470164</v>
          </cell>
          <cell r="O213">
            <v>5598.8</v>
          </cell>
          <cell r="P213">
            <v>2666.6</v>
          </cell>
          <cell r="Q213">
            <v>0</v>
          </cell>
          <cell r="R213">
            <v>0</v>
          </cell>
        </row>
        <row r="214">
          <cell r="B214" t="str">
            <v>182780</v>
          </cell>
          <cell r="E214">
            <v>5923.9</v>
          </cell>
          <cell r="F214">
            <v>2705.7</v>
          </cell>
          <cell r="G214">
            <v>6230.7</v>
          </cell>
          <cell r="H214">
            <v>2872.2998046875</v>
          </cell>
          <cell r="I214">
            <v>6949.4</v>
          </cell>
          <cell r="J214">
            <v>3985.2997802734376</v>
          </cell>
          <cell r="K214">
            <v>6949.4</v>
          </cell>
          <cell r="L214">
            <v>3985.2997802734376</v>
          </cell>
          <cell r="M214">
            <v>6320.9</v>
          </cell>
          <cell r="N214">
            <v>3920.1</v>
          </cell>
          <cell r="O214">
            <v>5712</v>
          </cell>
          <cell r="P214">
            <v>2818</v>
          </cell>
          <cell r="Q214">
            <v>0</v>
          </cell>
          <cell r="R214">
            <v>0</v>
          </cell>
        </row>
        <row r="215">
          <cell r="B215" t="str">
            <v>182765</v>
          </cell>
          <cell r="E215">
            <v>6383</v>
          </cell>
          <cell r="F215">
            <v>2856.9999694824219</v>
          </cell>
          <cell r="G215">
            <v>6595.6</v>
          </cell>
          <cell r="H215">
            <v>3023.6</v>
          </cell>
          <cell r="I215">
            <v>7401.2</v>
          </cell>
          <cell r="J215">
            <v>4136.6000000000004</v>
          </cell>
          <cell r="K215">
            <v>7401.2</v>
          </cell>
          <cell r="L215">
            <v>4136.6000000000004</v>
          </cell>
          <cell r="M215">
            <v>6772.6</v>
          </cell>
          <cell r="N215">
            <v>4071.4</v>
          </cell>
          <cell r="O215">
            <v>6163.8</v>
          </cell>
          <cell r="P215">
            <v>2969.3001953124999</v>
          </cell>
          <cell r="Q215">
            <v>0</v>
          </cell>
          <cell r="R215">
            <v>0</v>
          </cell>
        </row>
        <row r="216">
          <cell r="B216" t="str">
            <v>182750</v>
          </cell>
          <cell r="E216">
            <v>6550.8003906249996</v>
          </cell>
          <cell r="F216">
            <v>3033.5</v>
          </cell>
          <cell r="G216">
            <v>0</v>
          </cell>
          <cell r="H216">
            <v>0</v>
          </cell>
          <cell r="I216">
            <v>7572.4</v>
          </cell>
          <cell r="J216">
            <v>4313.1000000000004</v>
          </cell>
          <cell r="K216">
            <v>7572.4</v>
          </cell>
          <cell r="L216">
            <v>4313.1000000000004</v>
          </cell>
          <cell r="M216">
            <v>6943.9</v>
          </cell>
          <cell r="N216">
            <v>4247.8999999999996</v>
          </cell>
          <cell r="O216">
            <v>6335.1</v>
          </cell>
          <cell r="P216">
            <v>3145.8</v>
          </cell>
          <cell r="Q216">
            <v>0</v>
          </cell>
          <cell r="R216">
            <v>0</v>
          </cell>
        </row>
        <row r="217">
          <cell r="B217" t="str">
            <v>182735</v>
          </cell>
          <cell r="E217">
            <v>6682.7</v>
          </cell>
          <cell r="F217">
            <v>3172.7000061035155</v>
          </cell>
          <cell r="G217">
            <v>0</v>
          </cell>
          <cell r="H217">
            <v>0</v>
          </cell>
          <cell r="I217">
            <v>7704.3</v>
          </cell>
          <cell r="J217">
            <v>4452.3000244140621</v>
          </cell>
          <cell r="K217">
            <v>7704.3</v>
          </cell>
          <cell r="L217">
            <v>4452.3000244140621</v>
          </cell>
          <cell r="M217">
            <v>7075.8</v>
          </cell>
          <cell r="N217">
            <v>4387.1000000000004</v>
          </cell>
          <cell r="O217">
            <v>6466.9</v>
          </cell>
          <cell r="P217">
            <v>3285</v>
          </cell>
          <cell r="Q217">
            <v>0</v>
          </cell>
          <cell r="R217">
            <v>0</v>
          </cell>
        </row>
        <row r="218">
          <cell r="B218" t="str">
            <v>182720</v>
          </cell>
          <cell r="E218">
            <v>6853.6</v>
          </cell>
          <cell r="F218">
            <v>3319.7997802734376</v>
          </cell>
          <cell r="G218">
            <v>0</v>
          </cell>
          <cell r="H218">
            <v>0</v>
          </cell>
          <cell r="I218">
            <v>7875.2</v>
          </cell>
          <cell r="J218">
            <v>4599.3999999999996</v>
          </cell>
          <cell r="K218">
            <v>7875.2</v>
          </cell>
          <cell r="L218">
            <v>4599.3999999999996</v>
          </cell>
          <cell r="M218">
            <v>7246.7</v>
          </cell>
          <cell r="N218">
            <v>4534.2</v>
          </cell>
          <cell r="O218">
            <v>6637.9</v>
          </cell>
          <cell r="P218">
            <v>3432.1</v>
          </cell>
          <cell r="Q218">
            <v>0</v>
          </cell>
          <cell r="R218">
            <v>0</v>
          </cell>
        </row>
        <row r="219">
          <cell r="B219" t="str">
            <v>182705</v>
          </cell>
          <cell r="E219">
            <v>6925.2</v>
          </cell>
          <cell r="F219">
            <v>3488</v>
          </cell>
          <cell r="G219">
            <v>7253.3</v>
          </cell>
          <cell r="H219">
            <v>3654.6</v>
          </cell>
          <cell r="I219">
            <v>8070.9976501653673</v>
          </cell>
          <cell r="J219">
            <v>4780.962796119371</v>
          </cell>
          <cell r="K219">
            <v>8070.9976501653673</v>
          </cell>
          <cell r="L219">
            <v>4780.962796119371</v>
          </cell>
          <cell r="M219">
            <v>7574.1</v>
          </cell>
          <cell r="N219">
            <v>4702.3999999999996</v>
          </cell>
          <cell r="O219">
            <v>0</v>
          </cell>
          <cell r="P219">
            <v>0</v>
          </cell>
          <cell r="Q219">
            <v>10765.000781250001</v>
          </cell>
          <cell r="R219">
            <v>5270.1</v>
          </cell>
        </row>
        <row r="220">
          <cell r="B220" t="str">
            <v>182690</v>
          </cell>
          <cell r="E220">
            <v>7087.6</v>
          </cell>
          <cell r="F220">
            <v>3637.4000244140625</v>
          </cell>
          <cell r="G220">
            <v>0</v>
          </cell>
          <cell r="H220">
            <v>0</v>
          </cell>
          <cell r="I220">
            <v>8224.9920953163764</v>
          </cell>
          <cell r="J220">
            <v>4938.0238272587603</v>
          </cell>
          <cell r="K220">
            <v>8224.9920953163764</v>
          </cell>
          <cell r="L220">
            <v>4938.0238272587603</v>
          </cell>
          <cell r="M220">
            <v>7685.9</v>
          </cell>
          <cell r="N220">
            <v>4851.8</v>
          </cell>
          <cell r="O220">
            <v>0</v>
          </cell>
          <cell r="P220">
            <v>0</v>
          </cell>
          <cell r="Q220">
            <v>10876.79921875</v>
          </cell>
          <cell r="R220">
            <v>5419.5</v>
          </cell>
        </row>
        <row r="221">
          <cell r="B221" t="str">
            <v>00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row>
        <row r="222">
          <cell r="B222" t="str">
            <v>00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row>
        <row r="223">
          <cell r="B223" t="str">
            <v>193035</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row>
        <row r="224">
          <cell r="B224" t="str">
            <v>193020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row>
        <row r="225">
          <cell r="B225" t="str">
            <v>193005</v>
          </cell>
          <cell r="E225">
            <v>0</v>
          </cell>
          <cell r="F225">
            <v>0</v>
          </cell>
          <cell r="G225">
            <v>0</v>
          </cell>
          <cell r="H225">
            <v>0</v>
          </cell>
          <cell r="I225">
            <v>0</v>
          </cell>
          <cell r="J225">
            <v>0</v>
          </cell>
          <cell r="K225">
            <v>0</v>
          </cell>
          <cell r="L225">
            <v>0</v>
          </cell>
          <cell r="M225">
            <v>8486.2999999999993</v>
          </cell>
          <cell r="N225">
            <v>4268.3</v>
          </cell>
          <cell r="O225">
            <v>0</v>
          </cell>
          <cell r="P225">
            <v>0</v>
          </cell>
          <cell r="Q225">
            <v>0</v>
          </cell>
          <cell r="R225">
            <v>0</v>
          </cell>
        </row>
        <row r="226">
          <cell r="B226" t="str">
            <v>192990</v>
          </cell>
          <cell r="E226">
            <v>0</v>
          </cell>
          <cell r="F226">
            <v>0</v>
          </cell>
          <cell r="G226">
            <v>0</v>
          </cell>
          <cell r="H226">
            <v>0</v>
          </cell>
          <cell r="I226">
            <v>0</v>
          </cell>
          <cell r="J226">
            <v>0</v>
          </cell>
          <cell r="K226">
            <v>0</v>
          </cell>
          <cell r="L226">
            <v>0</v>
          </cell>
          <cell r="M226">
            <v>8922.4</v>
          </cell>
          <cell r="N226">
            <v>4415.3999999999996</v>
          </cell>
          <cell r="O226">
            <v>0</v>
          </cell>
          <cell r="P226">
            <v>0</v>
          </cell>
          <cell r="Q226">
            <v>0</v>
          </cell>
          <cell r="R226">
            <v>0</v>
          </cell>
        </row>
        <row r="227">
          <cell r="B227" t="str">
            <v>192975</v>
          </cell>
          <cell r="E227">
            <v>0</v>
          </cell>
          <cell r="F227">
            <v>0</v>
          </cell>
          <cell r="G227">
            <v>0</v>
          </cell>
          <cell r="H227">
            <v>0</v>
          </cell>
          <cell r="I227">
            <v>0</v>
          </cell>
          <cell r="J227">
            <v>0</v>
          </cell>
          <cell r="K227">
            <v>0</v>
          </cell>
          <cell r="L227">
            <v>0</v>
          </cell>
          <cell r="M227">
            <v>2921.2001953125</v>
          </cell>
          <cell r="N227">
            <v>1657.7000244140625</v>
          </cell>
          <cell r="O227">
            <v>0</v>
          </cell>
          <cell r="P227">
            <v>0</v>
          </cell>
          <cell r="Q227">
            <v>0</v>
          </cell>
          <cell r="R227">
            <v>0</v>
          </cell>
        </row>
        <row r="228">
          <cell r="B228" t="str">
            <v>192960</v>
          </cell>
          <cell r="E228">
            <v>6970.9</v>
          </cell>
          <cell r="F228">
            <v>1523.3</v>
          </cell>
          <cell r="G228">
            <v>7341.3</v>
          </cell>
          <cell r="H228">
            <v>1689.9</v>
          </cell>
          <cell r="I228">
            <v>0</v>
          </cell>
          <cell r="J228">
            <v>0</v>
          </cell>
          <cell r="K228">
            <v>0</v>
          </cell>
          <cell r="L228">
            <v>0</v>
          </cell>
          <cell r="M228">
            <v>3151.5</v>
          </cell>
          <cell r="N228">
            <v>1834.1</v>
          </cell>
          <cell r="O228">
            <v>9087.2999999999993</v>
          </cell>
          <cell r="P228">
            <v>2303.6999999999998</v>
          </cell>
          <cell r="Q228">
            <v>0</v>
          </cell>
          <cell r="R228">
            <v>0</v>
          </cell>
        </row>
        <row r="229">
          <cell r="B229" t="str">
            <v>192945</v>
          </cell>
          <cell r="E229">
            <v>7132.7</v>
          </cell>
          <cell r="F229">
            <v>1656</v>
          </cell>
          <cell r="G229">
            <v>7436.1</v>
          </cell>
          <cell r="H229">
            <v>1822.7</v>
          </cell>
          <cell r="I229">
            <v>0</v>
          </cell>
          <cell r="J229">
            <v>0</v>
          </cell>
          <cell r="K229">
            <v>0</v>
          </cell>
          <cell r="L229">
            <v>0</v>
          </cell>
          <cell r="M229">
            <v>3275</v>
          </cell>
          <cell r="N229">
            <v>1966.8</v>
          </cell>
          <cell r="O229">
            <v>8813.5</v>
          </cell>
          <cell r="P229">
            <v>2589.4</v>
          </cell>
          <cell r="Q229">
            <v>0</v>
          </cell>
          <cell r="R229">
            <v>0</v>
          </cell>
        </row>
        <row r="230">
          <cell r="B230" t="str">
            <v>192930</v>
          </cell>
          <cell r="E230">
            <v>7710.1</v>
          </cell>
          <cell r="F230">
            <v>1843.9000488281249</v>
          </cell>
          <cell r="G230">
            <v>8222.4</v>
          </cell>
          <cell r="H230">
            <v>2010.5</v>
          </cell>
          <cell r="I230">
            <v>0</v>
          </cell>
          <cell r="J230">
            <v>0</v>
          </cell>
          <cell r="K230">
            <v>0</v>
          </cell>
          <cell r="L230">
            <v>0</v>
          </cell>
          <cell r="M230">
            <v>3897.3</v>
          </cell>
          <cell r="N230">
            <v>2154.6999999999998</v>
          </cell>
          <cell r="O230">
            <v>9399</v>
          </cell>
          <cell r="P230">
            <v>2777.3</v>
          </cell>
          <cell r="Q230">
            <v>0</v>
          </cell>
          <cell r="R230">
            <v>0</v>
          </cell>
        </row>
        <row r="231">
          <cell r="B231" t="str">
            <v>192915</v>
          </cell>
          <cell r="E231">
            <v>7759</v>
          </cell>
          <cell r="F231">
            <v>2015</v>
          </cell>
          <cell r="G231">
            <v>8405.1</v>
          </cell>
          <cell r="H231">
            <v>2181.6</v>
          </cell>
          <cell r="I231">
            <v>0</v>
          </cell>
          <cell r="J231">
            <v>0</v>
          </cell>
          <cell r="K231">
            <v>0</v>
          </cell>
          <cell r="L231">
            <v>0</v>
          </cell>
          <cell r="M231">
            <v>4061.2</v>
          </cell>
          <cell r="N231">
            <v>2325.8000000000002</v>
          </cell>
          <cell r="O231">
            <v>9539.9</v>
          </cell>
          <cell r="P231">
            <v>2948.4</v>
          </cell>
          <cell r="Q231">
            <v>0</v>
          </cell>
          <cell r="R231">
            <v>0</v>
          </cell>
        </row>
        <row r="232">
          <cell r="B232" t="str">
            <v>192900</v>
          </cell>
          <cell r="E232">
            <v>7962.7118218592641</v>
          </cell>
          <cell r="F232">
            <v>2191</v>
          </cell>
          <cell r="G232">
            <v>8223.2999999999993</v>
          </cell>
          <cell r="H232">
            <v>2357.6</v>
          </cell>
          <cell r="I232">
            <v>0</v>
          </cell>
          <cell r="J232">
            <v>0</v>
          </cell>
          <cell r="K232">
            <v>0</v>
          </cell>
          <cell r="L232">
            <v>0</v>
          </cell>
          <cell r="M232">
            <v>4141.2</v>
          </cell>
          <cell r="N232">
            <v>2501.8000375122401</v>
          </cell>
          <cell r="O232">
            <v>7808.3794932381088</v>
          </cell>
          <cell r="P232">
            <v>2700.9017659183219</v>
          </cell>
          <cell r="Q232">
            <v>0</v>
          </cell>
          <cell r="R232">
            <v>0</v>
          </cell>
        </row>
        <row r="233">
          <cell r="B233" t="str">
            <v>192885</v>
          </cell>
          <cell r="E233">
            <v>8039.4</v>
          </cell>
          <cell r="F233">
            <v>2343.4</v>
          </cell>
          <cell r="G233">
            <v>0</v>
          </cell>
          <cell r="H233">
            <v>0</v>
          </cell>
          <cell r="I233">
            <v>9117.9</v>
          </cell>
          <cell r="J233">
            <v>3622.9999023437499</v>
          </cell>
          <cell r="K233">
            <v>9117.9</v>
          </cell>
          <cell r="L233">
            <v>3622.9999023437499</v>
          </cell>
          <cell r="M233">
            <v>4217.7</v>
          </cell>
          <cell r="N233">
            <v>2654.2</v>
          </cell>
          <cell r="O233">
            <v>4972.3999999999996</v>
          </cell>
          <cell r="P233">
            <v>2174.3000000000002</v>
          </cell>
          <cell r="Q233">
            <v>0</v>
          </cell>
          <cell r="R233">
            <v>0</v>
          </cell>
        </row>
        <row r="234">
          <cell r="B234" t="str">
            <v>192870</v>
          </cell>
          <cell r="E234">
            <v>8007.6</v>
          </cell>
          <cell r="F234">
            <v>2287.1999023437502</v>
          </cell>
          <cell r="G234">
            <v>8106.2</v>
          </cell>
          <cell r="H234">
            <v>2211.1</v>
          </cell>
          <cell r="I234">
            <v>9001.6</v>
          </cell>
          <cell r="J234">
            <v>3324.1</v>
          </cell>
          <cell r="K234">
            <v>9001.6</v>
          </cell>
          <cell r="L234">
            <v>3324.1</v>
          </cell>
          <cell r="M234">
            <v>4277.5</v>
          </cell>
          <cell r="N234">
            <v>2355.3000000000002</v>
          </cell>
          <cell r="O234">
            <v>4856.1000000000004</v>
          </cell>
          <cell r="P234">
            <v>1875.39990234375</v>
          </cell>
          <cell r="Q234">
            <v>0</v>
          </cell>
          <cell r="R234">
            <v>0</v>
          </cell>
        </row>
        <row r="235">
          <cell r="B235" t="str">
            <v>192855</v>
          </cell>
          <cell r="E235">
            <v>8104.5</v>
          </cell>
          <cell r="F235">
            <v>2470.1</v>
          </cell>
          <cell r="G235">
            <v>8281.6</v>
          </cell>
          <cell r="H235">
            <v>2361.8000000000002</v>
          </cell>
          <cell r="I235">
            <v>9127.6</v>
          </cell>
          <cell r="J235">
            <v>3502.1</v>
          </cell>
          <cell r="K235">
            <v>9127.6</v>
          </cell>
          <cell r="L235">
            <v>3502.1</v>
          </cell>
          <cell r="M235">
            <v>4403.5</v>
          </cell>
          <cell r="N235">
            <v>2533.2999023437501</v>
          </cell>
          <cell r="O235">
            <v>4982.1000000000004</v>
          </cell>
          <cell r="P235">
            <v>2053.4</v>
          </cell>
          <cell r="Q235">
            <v>0</v>
          </cell>
          <cell r="R235">
            <v>0</v>
          </cell>
        </row>
        <row r="236">
          <cell r="B236" t="str">
            <v>192840</v>
          </cell>
          <cell r="E236">
            <v>8641.5</v>
          </cell>
          <cell r="F236">
            <v>2955.7</v>
          </cell>
          <cell r="G236">
            <v>0</v>
          </cell>
          <cell r="H236">
            <v>0</v>
          </cell>
          <cell r="I236">
            <v>9663.1</v>
          </cell>
          <cell r="J236">
            <v>3992.60009765625</v>
          </cell>
          <cell r="K236">
            <v>9663.1</v>
          </cell>
          <cell r="L236">
            <v>3992.60009765625</v>
          </cell>
          <cell r="M236">
            <v>5260.4</v>
          </cell>
          <cell r="N236">
            <v>3023.8</v>
          </cell>
          <cell r="O236">
            <v>5517.6</v>
          </cell>
          <cell r="P236">
            <v>2543.9000122070311</v>
          </cell>
          <cell r="Q236">
            <v>0</v>
          </cell>
          <cell r="R236">
            <v>0</v>
          </cell>
        </row>
        <row r="237">
          <cell r="B237" t="str">
            <v>192825</v>
          </cell>
          <cell r="E237">
            <v>0</v>
          </cell>
          <cell r="F237">
            <v>0</v>
          </cell>
          <cell r="G237">
            <v>8918.1</v>
          </cell>
          <cell r="H237">
            <v>3103.6999267578126</v>
          </cell>
          <cell r="I237">
            <v>9772.7000000000007</v>
          </cell>
          <cell r="J237">
            <v>4216.7</v>
          </cell>
          <cell r="K237">
            <v>9772.7000000000007</v>
          </cell>
          <cell r="L237">
            <v>4216.7</v>
          </cell>
          <cell r="M237">
            <v>5457.5</v>
          </cell>
          <cell r="N237">
            <v>3247.9</v>
          </cell>
          <cell r="O237">
            <v>5627.1996093750004</v>
          </cell>
          <cell r="P237">
            <v>2768</v>
          </cell>
          <cell r="Q237">
            <v>0</v>
          </cell>
          <cell r="R237">
            <v>0</v>
          </cell>
        </row>
        <row r="238">
          <cell r="B238" t="str">
            <v>192810</v>
          </cell>
          <cell r="E238">
            <v>0</v>
          </cell>
          <cell r="F238">
            <v>0</v>
          </cell>
          <cell r="G238">
            <v>9085.5</v>
          </cell>
          <cell r="H238">
            <v>3282.2</v>
          </cell>
          <cell r="I238">
            <v>9940.1</v>
          </cell>
          <cell r="J238">
            <v>4395.2000122070313</v>
          </cell>
          <cell r="K238">
            <v>9940.1</v>
          </cell>
          <cell r="L238">
            <v>4395.2000122070313</v>
          </cell>
          <cell r="M238">
            <v>5624.9</v>
          </cell>
          <cell r="N238">
            <v>3426.4</v>
          </cell>
          <cell r="O238">
            <v>5794.6</v>
          </cell>
          <cell r="P238">
            <v>2946.5</v>
          </cell>
          <cell r="Q238">
            <v>0</v>
          </cell>
          <cell r="R238">
            <v>0</v>
          </cell>
        </row>
        <row r="239">
          <cell r="B239" t="str">
            <v>192795</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row>
        <row r="240">
          <cell r="B240" t="str">
            <v>192780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row>
        <row r="241">
          <cell r="B241" t="str">
            <v>00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row>
        <row r="242">
          <cell r="B242" t="str">
            <v>203035</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row>
        <row r="243">
          <cell r="B243" t="str">
            <v>203020</v>
          </cell>
          <cell r="E243">
            <v>0</v>
          </cell>
          <cell r="F243">
            <v>0</v>
          </cell>
          <cell r="G243">
            <v>0</v>
          </cell>
          <cell r="H243">
            <v>0</v>
          </cell>
          <cell r="I243">
            <v>0</v>
          </cell>
          <cell r="J243">
            <v>0</v>
          </cell>
          <cell r="K243">
            <v>0</v>
          </cell>
          <cell r="L243">
            <v>0</v>
          </cell>
          <cell r="M243">
            <v>2910.2998046875</v>
          </cell>
          <cell r="N243">
            <v>1580.4</v>
          </cell>
          <cell r="O243">
            <v>0</v>
          </cell>
          <cell r="P243">
            <v>0</v>
          </cell>
          <cell r="Q243">
            <v>0</v>
          </cell>
          <cell r="R243">
            <v>0</v>
          </cell>
        </row>
        <row r="244">
          <cell r="B244" t="str">
            <v>203005</v>
          </cell>
          <cell r="E244">
            <v>0</v>
          </cell>
          <cell r="F244">
            <v>0</v>
          </cell>
          <cell r="G244">
            <v>0</v>
          </cell>
          <cell r="H244">
            <v>0</v>
          </cell>
          <cell r="I244">
            <v>0</v>
          </cell>
          <cell r="J244">
            <v>0</v>
          </cell>
          <cell r="K244">
            <v>0</v>
          </cell>
          <cell r="L244">
            <v>0</v>
          </cell>
          <cell r="M244">
            <v>2660.7</v>
          </cell>
          <cell r="N244">
            <v>1355.8</v>
          </cell>
          <cell r="O244">
            <v>0</v>
          </cell>
          <cell r="P244">
            <v>0</v>
          </cell>
          <cell r="Q244">
            <v>0</v>
          </cell>
          <cell r="R244">
            <v>0</v>
          </cell>
        </row>
        <row r="245">
          <cell r="B245" t="str">
            <v>202990</v>
          </cell>
          <cell r="E245">
            <v>5808.3</v>
          </cell>
          <cell r="F245">
            <v>1010.6</v>
          </cell>
          <cell r="G245">
            <v>5956.1</v>
          </cell>
          <cell r="H245">
            <v>934.5</v>
          </cell>
          <cell r="I245">
            <v>0</v>
          </cell>
          <cell r="J245">
            <v>0</v>
          </cell>
          <cell r="K245">
            <v>0</v>
          </cell>
          <cell r="L245">
            <v>0</v>
          </cell>
          <cell r="M245">
            <v>2205.1999999999998</v>
          </cell>
          <cell r="N245">
            <v>1078.7</v>
          </cell>
          <cell r="O245">
            <v>2667.7998046875</v>
          </cell>
          <cell r="P245">
            <v>598.79999999999995</v>
          </cell>
          <cell r="Q245">
            <v>0</v>
          </cell>
          <cell r="R245">
            <v>0</v>
          </cell>
        </row>
        <row r="246">
          <cell r="B246" t="str">
            <v>202975</v>
          </cell>
          <cell r="E246">
            <v>6199.6</v>
          </cell>
          <cell r="F246">
            <v>1161.300048828125</v>
          </cell>
          <cell r="G246">
            <v>6390.2</v>
          </cell>
          <cell r="H246">
            <v>1085.2</v>
          </cell>
          <cell r="I246">
            <v>0</v>
          </cell>
          <cell r="J246">
            <v>0</v>
          </cell>
          <cell r="K246">
            <v>0</v>
          </cell>
          <cell r="L246">
            <v>0</v>
          </cell>
          <cell r="M246">
            <v>2400.8000000000002</v>
          </cell>
          <cell r="N246">
            <v>1229.4000000000001</v>
          </cell>
          <cell r="O246">
            <v>3093</v>
          </cell>
          <cell r="P246">
            <v>749.4999877929688</v>
          </cell>
          <cell r="Q246">
            <v>0</v>
          </cell>
          <cell r="R246">
            <v>0</v>
          </cell>
        </row>
        <row r="247">
          <cell r="B247" t="str">
            <v>202960</v>
          </cell>
          <cell r="E247">
            <v>6607.2</v>
          </cell>
          <cell r="F247">
            <v>1642.4999944450096</v>
          </cell>
          <cell r="G247">
            <v>0</v>
          </cell>
          <cell r="H247">
            <v>0</v>
          </cell>
          <cell r="I247">
            <v>0</v>
          </cell>
          <cell r="J247">
            <v>0</v>
          </cell>
          <cell r="K247">
            <v>0</v>
          </cell>
          <cell r="L247">
            <v>0</v>
          </cell>
          <cell r="M247">
            <v>3457.3539024054044</v>
          </cell>
          <cell r="N247">
            <v>1599.3242347566961</v>
          </cell>
          <cell r="O247">
            <v>3483.3</v>
          </cell>
          <cell r="P247">
            <v>1230.7</v>
          </cell>
          <cell r="Q247">
            <v>0</v>
          </cell>
          <cell r="R247">
            <v>0</v>
          </cell>
        </row>
        <row r="248">
          <cell r="B248" t="str">
            <v>202945</v>
          </cell>
          <cell r="E248">
            <v>6718.8</v>
          </cell>
          <cell r="F248">
            <v>1793.4</v>
          </cell>
          <cell r="G248">
            <v>6811.5</v>
          </cell>
          <cell r="H248">
            <v>1717.3</v>
          </cell>
          <cell r="I248">
            <v>0</v>
          </cell>
          <cell r="J248">
            <v>0</v>
          </cell>
          <cell r="K248">
            <v>0</v>
          </cell>
          <cell r="L248">
            <v>0</v>
          </cell>
          <cell r="M248">
            <v>3679.4</v>
          </cell>
          <cell r="N248">
            <v>1657.4</v>
          </cell>
          <cell r="O248">
            <v>3585.3</v>
          </cell>
          <cell r="P248">
            <v>1381.6</v>
          </cell>
          <cell r="Q248">
            <v>0</v>
          </cell>
          <cell r="R248">
            <v>0</v>
          </cell>
        </row>
        <row r="249">
          <cell r="B249" t="str">
            <v>202930</v>
          </cell>
          <cell r="E249">
            <v>6885.8</v>
          </cell>
          <cell r="F249">
            <v>1954.9000244140625</v>
          </cell>
          <cell r="G249">
            <v>7041.7</v>
          </cell>
          <cell r="H249">
            <v>1878.8</v>
          </cell>
          <cell r="I249">
            <v>0</v>
          </cell>
          <cell r="J249">
            <v>0</v>
          </cell>
          <cell r="K249">
            <v>0</v>
          </cell>
          <cell r="L249">
            <v>0</v>
          </cell>
          <cell r="M249">
            <v>3854.1</v>
          </cell>
          <cell r="N249">
            <v>1818.9000480651855</v>
          </cell>
          <cell r="O249">
            <v>3760</v>
          </cell>
          <cell r="P249">
            <v>1543.0999511718751</v>
          </cell>
          <cell r="Q249">
            <v>0</v>
          </cell>
          <cell r="R249">
            <v>0</v>
          </cell>
        </row>
        <row r="250">
          <cell r="B250" t="str">
            <v>202915</v>
          </cell>
          <cell r="E250">
            <v>7062.5</v>
          </cell>
          <cell r="F250">
            <v>2125.1999999999998</v>
          </cell>
          <cell r="G250">
            <v>7132.4</v>
          </cell>
          <cell r="H250">
            <v>2049.1</v>
          </cell>
          <cell r="I250">
            <v>0</v>
          </cell>
          <cell r="J250">
            <v>0</v>
          </cell>
          <cell r="K250">
            <v>0</v>
          </cell>
          <cell r="L250">
            <v>0</v>
          </cell>
          <cell r="M250">
            <v>3997.2</v>
          </cell>
          <cell r="N250">
            <v>1989.0999992370605</v>
          </cell>
          <cell r="O250">
            <v>3903.1</v>
          </cell>
          <cell r="P250">
            <v>1713.4</v>
          </cell>
          <cell r="Q250">
            <v>0</v>
          </cell>
          <cell r="R250">
            <v>0</v>
          </cell>
        </row>
        <row r="251">
          <cell r="B251" t="str">
            <v>202900</v>
          </cell>
          <cell r="E251">
            <v>7143.9</v>
          </cell>
          <cell r="F251">
            <v>2279.1999999999998</v>
          </cell>
          <cell r="G251">
            <v>7435.8</v>
          </cell>
          <cell r="H251">
            <v>2203.1</v>
          </cell>
          <cell r="I251">
            <v>0</v>
          </cell>
          <cell r="J251">
            <v>0</v>
          </cell>
          <cell r="K251">
            <v>0</v>
          </cell>
          <cell r="L251">
            <v>0</v>
          </cell>
          <cell r="M251">
            <v>4163.8</v>
          </cell>
          <cell r="N251">
            <v>2143.2000007629399</v>
          </cell>
          <cell r="O251">
            <v>4069.7</v>
          </cell>
          <cell r="P251">
            <v>1867.399951171875</v>
          </cell>
          <cell r="Q251">
            <v>0</v>
          </cell>
          <cell r="R251">
            <v>0</v>
          </cell>
        </row>
        <row r="252">
          <cell r="B252" t="str">
            <v>202885</v>
          </cell>
          <cell r="E252">
            <v>7366.2</v>
          </cell>
          <cell r="F252">
            <v>2465.2000488281251</v>
          </cell>
          <cell r="G252">
            <v>0</v>
          </cell>
          <cell r="H252">
            <v>0</v>
          </cell>
          <cell r="I252">
            <v>0</v>
          </cell>
          <cell r="J252">
            <v>0</v>
          </cell>
          <cell r="K252">
            <v>0</v>
          </cell>
          <cell r="L252">
            <v>0</v>
          </cell>
          <cell r="M252">
            <v>4336.3999999999996</v>
          </cell>
          <cell r="N252">
            <v>2329.1000488281252</v>
          </cell>
          <cell r="O252">
            <v>4242.2996093749998</v>
          </cell>
          <cell r="P252">
            <v>2053.3999511718748</v>
          </cell>
          <cell r="Q252">
            <v>0</v>
          </cell>
          <cell r="R252">
            <v>0</v>
          </cell>
        </row>
        <row r="253">
          <cell r="B253" t="str">
            <v>202870</v>
          </cell>
          <cell r="E253">
            <v>7429.2</v>
          </cell>
          <cell r="F253">
            <v>2633.5</v>
          </cell>
          <cell r="G253">
            <v>7704</v>
          </cell>
          <cell r="H253">
            <v>2557.4</v>
          </cell>
          <cell r="I253">
            <v>0</v>
          </cell>
          <cell r="J253">
            <v>0</v>
          </cell>
          <cell r="K253">
            <v>0</v>
          </cell>
          <cell r="L253">
            <v>0</v>
          </cell>
          <cell r="M253">
            <v>4416.2</v>
          </cell>
          <cell r="N253">
            <v>2497.4</v>
          </cell>
          <cell r="O253">
            <v>4311.7</v>
          </cell>
          <cell r="P253">
            <v>2221.6999023437502</v>
          </cell>
          <cell r="Q253">
            <v>0</v>
          </cell>
          <cell r="R253">
            <v>0</v>
          </cell>
        </row>
        <row r="254">
          <cell r="B254" t="str">
            <v>202855</v>
          </cell>
          <cell r="E254">
            <v>7585.7</v>
          </cell>
          <cell r="F254">
            <v>2800.4999877929686</v>
          </cell>
          <cell r="G254">
            <v>0</v>
          </cell>
          <cell r="H254">
            <v>0</v>
          </cell>
          <cell r="I254">
            <v>0</v>
          </cell>
          <cell r="J254">
            <v>0</v>
          </cell>
          <cell r="K254">
            <v>0</v>
          </cell>
          <cell r="L254">
            <v>0</v>
          </cell>
          <cell r="M254">
            <v>4555.8999999999996</v>
          </cell>
          <cell r="N254">
            <v>2664.4000480651857</v>
          </cell>
          <cell r="O254">
            <v>4431.1000000000004</v>
          </cell>
          <cell r="P254">
            <v>2388.6999999999998</v>
          </cell>
          <cell r="Q254">
            <v>0</v>
          </cell>
          <cell r="R254">
            <v>0</v>
          </cell>
        </row>
        <row r="255">
          <cell r="B255" t="str">
            <v>202840</v>
          </cell>
          <cell r="E255">
            <v>7697.6955974349821</v>
          </cell>
          <cell r="F255">
            <v>2904.6000304244599</v>
          </cell>
          <cell r="G255">
            <v>8008</v>
          </cell>
          <cell r="H255">
            <v>2828.6</v>
          </cell>
          <cell r="I255">
            <v>0</v>
          </cell>
          <cell r="J255">
            <v>0</v>
          </cell>
          <cell r="K255">
            <v>0</v>
          </cell>
          <cell r="L255">
            <v>0</v>
          </cell>
          <cell r="M255">
            <v>4787.3</v>
          </cell>
          <cell r="N255">
            <v>2849.0000233064152</v>
          </cell>
          <cell r="O255">
            <v>4662.5</v>
          </cell>
          <cell r="P255">
            <v>2573.1999999999998</v>
          </cell>
          <cell r="Q255">
            <v>0</v>
          </cell>
          <cell r="R255">
            <v>0</v>
          </cell>
        </row>
        <row r="256">
          <cell r="B256" t="str">
            <v>202825</v>
          </cell>
          <cell r="E256">
            <v>7839.2</v>
          </cell>
          <cell r="F256">
            <v>3156.2000244140627</v>
          </cell>
          <cell r="G256">
            <v>0</v>
          </cell>
          <cell r="H256">
            <v>0</v>
          </cell>
          <cell r="I256">
            <v>8860.9</v>
          </cell>
          <cell r="J256">
            <v>4193.2000122070313</v>
          </cell>
          <cell r="K256">
            <v>8860.9</v>
          </cell>
          <cell r="L256">
            <v>4193.2000122070313</v>
          </cell>
          <cell r="M256">
            <v>4701.7</v>
          </cell>
          <cell r="N256">
            <v>3304.7</v>
          </cell>
          <cell r="O256">
            <v>4781</v>
          </cell>
          <cell r="P256">
            <v>2824.8</v>
          </cell>
          <cell r="Q256">
            <v>0</v>
          </cell>
          <cell r="R256">
            <v>0</v>
          </cell>
        </row>
        <row r="257">
          <cell r="B257" t="str">
            <v>202810</v>
          </cell>
          <cell r="E257">
            <v>8083.1</v>
          </cell>
          <cell r="F257">
            <v>3337.7</v>
          </cell>
          <cell r="G257">
            <v>0</v>
          </cell>
          <cell r="H257">
            <v>0</v>
          </cell>
          <cell r="I257">
            <v>9104.7000000000007</v>
          </cell>
          <cell r="J257">
            <v>4374.6999877929684</v>
          </cell>
          <cell r="K257">
            <v>9104.7000000000007</v>
          </cell>
          <cell r="L257">
            <v>4374.6999877929684</v>
          </cell>
          <cell r="M257">
            <v>4945.5</v>
          </cell>
          <cell r="N257">
            <v>3486.2</v>
          </cell>
          <cell r="O257">
            <v>5024.8</v>
          </cell>
          <cell r="P257">
            <v>3006.3</v>
          </cell>
          <cell r="Q257">
            <v>0</v>
          </cell>
          <cell r="R257">
            <v>0</v>
          </cell>
        </row>
        <row r="258">
          <cell r="B258" t="str">
            <v>202795</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row>
        <row r="259">
          <cell r="B259" t="str">
            <v>202780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row>
        <row r="260">
          <cell r="B260" t="str">
            <v>00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row>
        <row r="261">
          <cell r="B261" t="str">
            <v>213035</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row>
        <row r="262">
          <cell r="B262" t="str">
            <v>213020</v>
          </cell>
          <cell r="E262">
            <v>0</v>
          </cell>
          <cell r="F262">
            <v>0</v>
          </cell>
          <cell r="G262">
            <v>0</v>
          </cell>
          <cell r="H262">
            <v>0</v>
          </cell>
          <cell r="I262">
            <v>0</v>
          </cell>
          <cell r="J262">
            <v>0</v>
          </cell>
          <cell r="K262">
            <v>0</v>
          </cell>
          <cell r="L262">
            <v>0</v>
          </cell>
          <cell r="M262">
            <v>3297.1</v>
          </cell>
          <cell r="N262">
            <v>874.5</v>
          </cell>
          <cell r="O262">
            <v>0</v>
          </cell>
          <cell r="P262">
            <v>0</v>
          </cell>
          <cell r="Q262">
            <v>0</v>
          </cell>
          <cell r="R262">
            <v>0</v>
          </cell>
        </row>
        <row r="263">
          <cell r="B263" t="str">
            <v>213005</v>
          </cell>
          <cell r="E263">
            <v>0</v>
          </cell>
          <cell r="F263">
            <v>0</v>
          </cell>
          <cell r="G263">
            <v>0</v>
          </cell>
          <cell r="H263">
            <v>0</v>
          </cell>
          <cell r="I263">
            <v>0</v>
          </cell>
          <cell r="J263">
            <v>0</v>
          </cell>
          <cell r="K263">
            <v>0</v>
          </cell>
          <cell r="L263">
            <v>0</v>
          </cell>
          <cell r="M263">
            <v>2452.3998046874999</v>
          </cell>
          <cell r="N263">
            <v>1229.4000000000001</v>
          </cell>
          <cell r="O263">
            <v>0</v>
          </cell>
          <cell r="P263">
            <v>0</v>
          </cell>
          <cell r="Q263">
            <v>0</v>
          </cell>
          <cell r="R263">
            <v>0</v>
          </cell>
        </row>
        <row r="264">
          <cell r="B264" t="str">
            <v>212990</v>
          </cell>
          <cell r="E264">
            <v>5390.6</v>
          </cell>
          <cell r="F264">
            <v>930.1</v>
          </cell>
          <cell r="G264">
            <v>0</v>
          </cell>
          <cell r="H264">
            <v>0</v>
          </cell>
          <cell r="I264">
            <v>0</v>
          </cell>
          <cell r="J264">
            <v>0</v>
          </cell>
          <cell r="K264">
            <v>0</v>
          </cell>
          <cell r="L264">
            <v>0</v>
          </cell>
          <cell r="M264">
            <v>2533.8000000000002</v>
          </cell>
          <cell r="N264">
            <v>1078.7</v>
          </cell>
          <cell r="O264">
            <v>2332.3000000000002</v>
          </cell>
          <cell r="P264">
            <v>598.79999999999995</v>
          </cell>
          <cell r="Q264">
            <v>0</v>
          </cell>
          <cell r="R264">
            <v>0</v>
          </cell>
        </row>
        <row r="265">
          <cell r="B265" t="str">
            <v>212975</v>
          </cell>
          <cell r="E265">
            <v>5487.2</v>
          </cell>
          <cell r="F265">
            <v>1089.4000000000001</v>
          </cell>
          <cell r="G265">
            <v>0</v>
          </cell>
          <cell r="H265">
            <v>0</v>
          </cell>
          <cell r="I265">
            <v>0</v>
          </cell>
          <cell r="J265">
            <v>0</v>
          </cell>
          <cell r="K265">
            <v>0</v>
          </cell>
          <cell r="L265">
            <v>0</v>
          </cell>
          <cell r="M265">
            <v>3228.4</v>
          </cell>
          <cell r="N265">
            <v>1714.9000122070313</v>
          </cell>
          <cell r="O265">
            <v>2428.9</v>
          </cell>
          <cell r="P265">
            <v>758.10004882812495</v>
          </cell>
          <cell r="Q265">
            <v>0</v>
          </cell>
          <cell r="R265">
            <v>0</v>
          </cell>
        </row>
        <row r="266">
          <cell r="B266" t="str">
            <v>212960</v>
          </cell>
          <cell r="E266">
            <v>5670.3</v>
          </cell>
          <cell r="F266">
            <v>1236.4999755859376</v>
          </cell>
          <cell r="G266">
            <v>0</v>
          </cell>
          <cell r="H266">
            <v>0</v>
          </cell>
          <cell r="I266">
            <v>0</v>
          </cell>
          <cell r="J266">
            <v>0</v>
          </cell>
          <cell r="K266">
            <v>0</v>
          </cell>
          <cell r="L266">
            <v>0</v>
          </cell>
          <cell r="M266">
            <v>3477.6</v>
          </cell>
          <cell r="N266">
            <v>1862</v>
          </cell>
          <cell r="O266">
            <v>2889.7</v>
          </cell>
          <cell r="P266">
            <v>905.2</v>
          </cell>
          <cell r="Q266">
            <v>0</v>
          </cell>
          <cell r="R266">
            <v>0</v>
          </cell>
        </row>
        <row r="267">
          <cell r="B267" t="str">
            <v>212945</v>
          </cell>
          <cell r="E267">
            <v>5878</v>
          </cell>
          <cell r="F267">
            <v>958</v>
          </cell>
          <cell r="G267">
            <v>0</v>
          </cell>
          <cell r="H267">
            <v>0</v>
          </cell>
          <cell r="I267">
            <v>0</v>
          </cell>
          <cell r="J267">
            <v>0</v>
          </cell>
          <cell r="K267">
            <v>0</v>
          </cell>
          <cell r="L267">
            <v>0</v>
          </cell>
          <cell r="M267">
            <v>3800.0926769712664</v>
          </cell>
          <cell r="N267">
            <v>2012.8000154293127</v>
          </cell>
          <cell r="O267">
            <v>3104.5</v>
          </cell>
          <cell r="P267">
            <v>1056</v>
          </cell>
          <cell r="Q267">
            <v>0</v>
          </cell>
          <cell r="R267">
            <v>0</v>
          </cell>
        </row>
        <row r="268">
          <cell r="B268" t="str">
            <v>212930</v>
          </cell>
          <cell r="E268">
            <v>6088.900390625</v>
          </cell>
          <cell r="F268">
            <v>1297.000048828125</v>
          </cell>
          <cell r="G268">
            <v>0</v>
          </cell>
          <cell r="H268">
            <v>0</v>
          </cell>
          <cell r="I268">
            <v>0</v>
          </cell>
          <cell r="J268">
            <v>0</v>
          </cell>
          <cell r="K268">
            <v>0</v>
          </cell>
          <cell r="L268">
            <v>0</v>
          </cell>
          <cell r="M268">
            <v>4119.1000000000004</v>
          </cell>
          <cell r="N268">
            <v>2165.1</v>
          </cell>
          <cell r="O268">
            <v>3365.2</v>
          </cell>
          <cell r="P268">
            <v>1208.3</v>
          </cell>
          <cell r="Q268">
            <v>0</v>
          </cell>
          <cell r="R268">
            <v>0</v>
          </cell>
        </row>
        <row r="269">
          <cell r="B269" t="str">
            <v>212915</v>
          </cell>
          <cell r="E269">
            <v>6230.2</v>
          </cell>
          <cell r="F269">
            <v>1574</v>
          </cell>
          <cell r="G269">
            <v>0</v>
          </cell>
          <cell r="H269">
            <v>0</v>
          </cell>
          <cell r="I269">
            <v>0</v>
          </cell>
          <cell r="J269">
            <v>0</v>
          </cell>
          <cell r="K269">
            <v>0</v>
          </cell>
          <cell r="L269">
            <v>0</v>
          </cell>
          <cell r="M269">
            <v>4297.8999999999996</v>
          </cell>
          <cell r="N269">
            <v>2442.10009765625</v>
          </cell>
          <cell r="O269">
            <v>3506.5</v>
          </cell>
          <cell r="P269">
            <v>1485.3</v>
          </cell>
          <cell r="Q269">
            <v>0</v>
          </cell>
          <cell r="R269">
            <v>0</v>
          </cell>
        </row>
        <row r="270">
          <cell r="B270" t="str">
            <v>212900</v>
          </cell>
          <cell r="E270">
            <v>6279.9</v>
          </cell>
          <cell r="F270">
            <v>1724</v>
          </cell>
          <cell r="G270">
            <v>0</v>
          </cell>
          <cell r="H270">
            <v>0</v>
          </cell>
          <cell r="I270">
            <v>0</v>
          </cell>
          <cell r="J270">
            <v>0</v>
          </cell>
          <cell r="K270">
            <v>0</v>
          </cell>
          <cell r="L270">
            <v>0</v>
          </cell>
          <cell r="M270">
            <v>4357.8</v>
          </cell>
          <cell r="N270">
            <v>2592.1</v>
          </cell>
          <cell r="O270">
            <v>3556.2</v>
          </cell>
          <cell r="P270">
            <v>1635.300048828125</v>
          </cell>
          <cell r="Q270">
            <v>0</v>
          </cell>
          <cell r="R270">
            <v>0</v>
          </cell>
        </row>
        <row r="271">
          <cell r="B271" t="str">
            <v>212885</v>
          </cell>
          <cell r="E271">
            <v>6378.900390625</v>
          </cell>
          <cell r="F271">
            <v>1891.30009765625</v>
          </cell>
          <cell r="G271">
            <v>0</v>
          </cell>
          <cell r="H271">
            <v>0</v>
          </cell>
          <cell r="I271">
            <v>0</v>
          </cell>
          <cell r="J271">
            <v>0</v>
          </cell>
          <cell r="K271">
            <v>0</v>
          </cell>
          <cell r="L271">
            <v>0</v>
          </cell>
          <cell r="M271">
            <v>4535.3</v>
          </cell>
          <cell r="N271">
            <v>2759.4</v>
          </cell>
          <cell r="O271">
            <v>3655.2</v>
          </cell>
          <cell r="P271">
            <v>1802.60009765625</v>
          </cell>
          <cell r="Q271">
            <v>0</v>
          </cell>
          <cell r="R271">
            <v>0</v>
          </cell>
        </row>
        <row r="272">
          <cell r="B272" t="str">
            <v>212870</v>
          </cell>
          <cell r="E272">
            <v>6559.8</v>
          </cell>
          <cell r="F272">
            <v>2063.7000122070313</v>
          </cell>
          <cell r="G272">
            <v>0</v>
          </cell>
          <cell r="H272">
            <v>0</v>
          </cell>
          <cell r="I272">
            <v>0</v>
          </cell>
          <cell r="J272">
            <v>0</v>
          </cell>
          <cell r="K272">
            <v>0</v>
          </cell>
          <cell r="L272">
            <v>0</v>
          </cell>
          <cell r="M272">
            <v>4716.099609375</v>
          </cell>
          <cell r="N272">
            <v>2931.7999023437501</v>
          </cell>
          <cell r="O272">
            <v>3836</v>
          </cell>
          <cell r="P272">
            <v>1975</v>
          </cell>
          <cell r="Q272">
            <v>0</v>
          </cell>
          <cell r="R272">
            <v>0</v>
          </cell>
        </row>
        <row r="273">
          <cell r="B273" t="str">
            <v>212855</v>
          </cell>
          <cell r="E273">
            <v>6747.1</v>
          </cell>
          <cell r="F273">
            <v>2220.4999877929686</v>
          </cell>
          <cell r="G273">
            <v>7240.2</v>
          </cell>
          <cell r="H273">
            <v>2387.0999992370607</v>
          </cell>
          <cell r="I273">
            <v>7775.9</v>
          </cell>
          <cell r="J273">
            <v>3500.1</v>
          </cell>
          <cell r="K273">
            <v>7775.9</v>
          </cell>
          <cell r="L273">
            <v>3500.1</v>
          </cell>
          <cell r="M273">
            <v>4910.7</v>
          </cell>
          <cell r="N273">
            <v>3088.6</v>
          </cell>
          <cell r="O273">
            <v>4067.9</v>
          </cell>
          <cell r="P273">
            <v>2580.1999999999998</v>
          </cell>
          <cell r="Q273">
            <v>0</v>
          </cell>
          <cell r="R273">
            <v>0</v>
          </cell>
        </row>
        <row r="274">
          <cell r="B274" t="str">
            <v>212840</v>
          </cell>
          <cell r="E274">
            <v>6866.3</v>
          </cell>
          <cell r="F274">
            <v>2373.8000000000002</v>
          </cell>
          <cell r="G274">
            <v>6900.9</v>
          </cell>
          <cell r="H274">
            <v>2540.4</v>
          </cell>
          <cell r="I274">
            <v>7845.3</v>
          </cell>
          <cell r="J274">
            <v>3653.4</v>
          </cell>
          <cell r="K274">
            <v>7845.3</v>
          </cell>
          <cell r="L274">
            <v>3653.4</v>
          </cell>
          <cell r="M274">
            <v>4980.1000000000004</v>
          </cell>
          <cell r="N274">
            <v>3241.9</v>
          </cell>
          <cell r="O274">
            <v>4137.3</v>
          </cell>
          <cell r="P274">
            <v>2733.5</v>
          </cell>
          <cell r="Q274">
            <v>0</v>
          </cell>
          <cell r="R274">
            <v>0</v>
          </cell>
        </row>
        <row r="275">
          <cell r="B275" t="str">
            <v>212825</v>
          </cell>
          <cell r="E275">
            <v>6939.7882650753909</v>
          </cell>
          <cell r="F275">
            <v>2533.3000000000002</v>
          </cell>
          <cell r="G275">
            <v>7223.6</v>
          </cell>
          <cell r="H275">
            <v>2699.9</v>
          </cell>
          <cell r="I275">
            <v>7969.2</v>
          </cell>
          <cell r="J275">
            <v>3812.8999994959968</v>
          </cell>
          <cell r="K275">
            <v>7969.2</v>
          </cell>
          <cell r="L275">
            <v>3812.8999994959968</v>
          </cell>
          <cell r="M275">
            <v>5104</v>
          </cell>
          <cell r="N275">
            <v>3401.39990234375</v>
          </cell>
          <cell r="O275">
            <v>4261.2</v>
          </cell>
          <cell r="P275">
            <v>2893</v>
          </cell>
          <cell r="Q275">
            <v>0</v>
          </cell>
          <cell r="R275">
            <v>0</v>
          </cell>
        </row>
        <row r="276">
          <cell r="B276" t="str">
            <v>212810</v>
          </cell>
          <cell r="E276">
            <v>7163.8</v>
          </cell>
          <cell r="F276">
            <v>2698.8000007629394</v>
          </cell>
          <cell r="G276">
            <v>0</v>
          </cell>
          <cell r="H276">
            <v>0</v>
          </cell>
          <cell r="I276">
            <v>8185.4</v>
          </cell>
          <cell r="J276">
            <v>3978.4</v>
          </cell>
          <cell r="K276">
            <v>8185.4</v>
          </cell>
          <cell r="L276">
            <v>3978.4</v>
          </cell>
          <cell r="M276">
            <v>5870.6</v>
          </cell>
          <cell r="N276">
            <v>3210.2</v>
          </cell>
          <cell r="O276">
            <v>4477.3</v>
          </cell>
          <cell r="P276">
            <v>3058.5</v>
          </cell>
          <cell r="Q276">
            <v>0</v>
          </cell>
          <cell r="R276">
            <v>0</v>
          </cell>
        </row>
        <row r="277">
          <cell r="B277" t="str">
            <v>212795</v>
          </cell>
          <cell r="E277">
            <v>7513.8</v>
          </cell>
          <cell r="F277">
            <v>2849.5999877929689</v>
          </cell>
          <cell r="G277">
            <v>0</v>
          </cell>
          <cell r="H277">
            <v>0</v>
          </cell>
          <cell r="I277">
            <v>8297.2662253440249</v>
          </cell>
          <cell r="J277">
            <v>4108.3610951222663</v>
          </cell>
          <cell r="K277">
            <v>8297.2662253440249</v>
          </cell>
          <cell r="L277">
            <v>4108.3610951222663</v>
          </cell>
          <cell r="M277">
            <v>6220.7003906250002</v>
          </cell>
          <cell r="N277">
            <v>3361.0000007629396</v>
          </cell>
          <cell r="O277">
            <v>4827.3999999999996</v>
          </cell>
          <cell r="P277">
            <v>3209.3</v>
          </cell>
          <cell r="Q277">
            <v>6048.8</v>
          </cell>
          <cell r="R277">
            <v>3911.6</v>
          </cell>
        </row>
        <row r="278">
          <cell r="B278" t="str">
            <v>212780</v>
          </cell>
          <cell r="E278">
            <v>7585.2</v>
          </cell>
          <cell r="F278">
            <v>3030.3</v>
          </cell>
          <cell r="G278">
            <v>0</v>
          </cell>
          <cell r="H278">
            <v>0</v>
          </cell>
          <cell r="I278">
            <v>8222.4807413370909</v>
          </cell>
          <cell r="J278">
            <v>4266.1516678140924</v>
          </cell>
          <cell r="K278">
            <v>8222.4807413370909</v>
          </cell>
          <cell r="L278">
            <v>4266.1516678140924</v>
          </cell>
          <cell r="M278">
            <v>6239.9</v>
          </cell>
          <cell r="N278">
            <v>3470.3</v>
          </cell>
          <cell r="O278">
            <v>4898.8003906249996</v>
          </cell>
          <cell r="P278">
            <v>3390</v>
          </cell>
          <cell r="Q278">
            <v>6068</v>
          </cell>
          <cell r="R278">
            <v>4020.9</v>
          </cell>
        </row>
        <row r="279">
          <cell r="B279" t="str">
            <v>212765</v>
          </cell>
          <cell r="E279">
            <v>7697.7</v>
          </cell>
          <cell r="F279">
            <v>3184.3998046874999</v>
          </cell>
          <cell r="G279">
            <v>0</v>
          </cell>
          <cell r="H279">
            <v>0</v>
          </cell>
          <cell r="I279">
            <v>8482.1870214923802</v>
          </cell>
          <cell r="J279">
            <v>4437.0086455062619</v>
          </cell>
          <cell r="K279">
            <v>8482.1870214923802</v>
          </cell>
          <cell r="L279">
            <v>4437.0086455062619</v>
          </cell>
          <cell r="M279">
            <v>6352.4</v>
          </cell>
          <cell r="N279">
            <v>3624.4</v>
          </cell>
          <cell r="O279">
            <v>5011.2996093749998</v>
          </cell>
          <cell r="P279">
            <v>3544.1</v>
          </cell>
          <cell r="Q279">
            <v>6180.5</v>
          </cell>
          <cell r="R279">
            <v>4175</v>
          </cell>
        </row>
        <row r="280">
          <cell r="B280" t="str">
            <v>212750</v>
          </cell>
          <cell r="E280">
            <v>7945.9</v>
          </cell>
          <cell r="F280">
            <v>3463.8</v>
          </cell>
          <cell r="G280">
            <v>0</v>
          </cell>
          <cell r="H280">
            <v>0</v>
          </cell>
          <cell r="I280">
            <v>8690.6848153035935</v>
          </cell>
          <cell r="J280">
            <v>4711.8783045205855</v>
          </cell>
          <cell r="K280">
            <v>8690.6848153035935</v>
          </cell>
          <cell r="L280">
            <v>4711.8783045205855</v>
          </cell>
          <cell r="M280">
            <v>6600.6</v>
          </cell>
          <cell r="N280">
            <v>3903.7</v>
          </cell>
          <cell r="O280">
            <v>5259.5</v>
          </cell>
          <cell r="P280">
            <v>3823.5001953125002</v>
          </cell>
          <cell r="Q280">
            <v>6428.7003906250002</v>
          </cell>
          <cell r="R280">
            <v>4454.3</v>
          </cell>
        </row>
        <row r="281">
          <cell r="B281" t="str">
            <v>212735</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row>
        <row r="282">
          <cell r="B282" t="str">
            <v>212720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row>
        <row r="283">
          <cell r="B283" t="str">
            <v>212705</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row>
        <row r="284">
          <cell r="B284" t="str">
            <v>00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row>
        <row r="285">
          <cell r="B285" t="str">
            <v>00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row>
        <row r="286">
          <cell r="B286" t="str">
            <v>00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row>
        <row r="287">
          <cell r="B287" t="str">
            <v>223050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row>
        <row r="288">
          <cell r="B288" t="str">
            <v>223035</v>
          </cell>
          <cell r="E288">
            <v>0</v>
          </cell>
          <cell r="F288">
            <v>0</v>
          </cell>
          <cell r="G288">
            <v>0</v>
          </cell>
          <cell r="H288">
            <v>0</v>
          </cell>
          <cell r="I288">
            <v>0</v>
          </cell>
          <cell r="J288">
            <v>0</v>
          </cell>
          <cell r="K288">
            <v>0</v>
          </cell>
          <cell r="L288">
            <v>0</v>
          </cell>
          <cell r="M288">
            <v>2453.1</v>
          </cell>
          <cell r="N288">
            <v>829.5</v>
          </cell>
          <cell r="O288">
            <v>0</v>
          </cell>
          <cell r="P288">
            <v>0</v>
          </cell>
          <cell r="Q288">
            <v>0</v>
          </cell>
          <cell r="R288">
            <v>0</v>
          </cell>
        </row>
        <row r="289">
          <cell r="B289" t="str">
            <v>223020</v>
          </cell>
          <cell r="E289">
            <v>0</v>
          </cell>
          <cell r="F289">
            <v>0</v>
          </cell>
          <cell r="G289">
            <v>0</v>
          </cell>
          <cell r="H289">
            <v>0</v>
          </cell>
          <cell r="I289">
            <v>0</v>
          </cell>
          <cell r="J289">
            <v>0</v>
          </cell>
          <cell r="K289">
            <v>0</v>
          </cell>
          <cell r="L289">
            <v>0</v>
          </cell>
          <cell r="M289">
            <v>2632.1</v>
          </cell>
          <cell r="N289">
            <v>855.3</v>
          </cell>
          <cell r="O289">
            <v>0</v>
          </cell>
          <cell r="P289">
            <v>0</v>
          </cell>
          <cell r="Q289">
            <v>0</v>
          </cell>
          <cell r="R289">
            <v>0</v>
          </cell>
        </row>
        <row r="290">
          <cell r="B290" t="str">
            <v>223005</v>
          </cell>
          <cell r="E290">
            <v>0</v>
          </cell>
          <cell r="F290">
            <v>0</v>
          </cell>
          <cell r="G290">
            <v>0</v>
          </cell>
          <cell r="H290">
            <v>0</v>
          </cell>
          <cell r="I290">
            <v>0</v>
          </cell>
          <cell r="J290">
            <v>0</v>
          </cell>
          <cell r="K290">
            <v>0</v>
          </cell>
          <cell r="L290">
            <v>0</v>
          </cell>
          <cell r="M290">
            <v>2922.8018597595837</v>
          </cell>
          <cell r="N290">
            <v>1050.5626558221206</v>
          </cell>
          <cell r="O290">
            <v>0</v>
          </cell>
          <cell r="P290">
            <v>0</v>
          </cell>
          <cell r="Q290">
            <v>0</v>
          </cell>
          <cell r="R290">
            <v>0</v>
          </cell>
        </row>
        <row r="291">
          <cell r="B291" t="str">
            <v>222990</v>
          </cell>
          <cell r="E291">
            <v>6074.5</v>
          </cell>
          <cell r="F291">
            <v>2574.4</v>
          </cell>
          <cell r="G291">
            <v>0</v>
          </cell>
          <cell r="H291">
            <v>0</v>
          </cell>
          <cell r="I291">
            <v>0</v>
          </cell>
          <cell r="J291">
            <v>0</v>
          </cell>
          <cell r="K291">
            <v>0</v>
          </cell>
          <cell r="L291">
            <v>0</v>
          </cell>
          <cell r="M291">
            <v>4703.2</v>
          </cell>
          <cell r="N291">
            <v>1078.7</v>
          </cell>
          <cell r="O291">
            <v>3554</v>
          </cell>
          <cell r="P291">
            <v>598.800048828125</v>
          </cell>
          <cell r="Q291">
            <v>0</v>
          </cell>
          <cell r="R291">
            <v>0</v>
          </cell>
        </row>
        <row r="292">
          <cell r="B292" t="str">
            <v>222975</v>
          </cell>
          <cell r="E292">
            <v>7286.6</v>
          </cell>
          <cell r="F292">
            <v>1089.4000236511231</v>
          </cell>
          <cell r="G292">
            <v>0</v>
          </cell>
          <cell r="H292">
            <v>0</v>
          </cell>
          <cell r="I292">
            <v>0</v>
          </cell>
          <cell r="J292">
            <v>0</v>
          </cell>
          <cell r="K292">
            <v>0</v>
          </cell>
          <cell r="L292">
            <v>0</v>
          </cell>
          <cell r="M292">
            <v>5060.3</v>
          </cell>
          <cell r="N292">
            <v>1714.9</v>
          </cell>
          <cell r="O292">
            <v>4228.3999999999996</v>
          </cell>
          <cell r="P292">
            <v>758.1</v>
          </cell>
          <cell r="Q292">
            <v>0</v>
          </cell>
          <cell r="R292">
            <v>0</v>
          </cell>
        </row>
        <row r="293">
          <cell r="B293" t="str">
            <v>222960</v>
          </cell>
          <cell r="E293">
            <v>6894.6</v>
          </cell>
          <cell r="F293">
            <v>1236.5</v>
          </cell>
          <cell r="G293">
            <v>7061.6</v>
          </cell>
          <cell r="H293">
            <v>1160.5</v>
          </cell>
          <cell r="I293">
            <v>0</v>
          </cell>
          <cell r="J293">
            <v>0</v>
          </cell>
          <cell r="K293">
            <v>0</v>
          </cell>
          <cell r="L293">
            <v>0</v>
          </cell>
          <cell r="M293">
            <v>4734.0295814331248</v>
          </cell>
          <cell r="N293">
            <v>1862.000022210264</v>
          </cell>
          <cell r="O293">
            <v>4114</v>
          </cell>
          <cell r="P293">
            <v>905.2</v>
          </cell>
          <cell r="Q293">
            <v>0</v>
          </cell>
          <cell r="R293">
            <v>0</v>
          </cell>
        </row>
        <row r="294">
          <cell r="B294" t="str">
            <v>222945</v>
          </cell>
          <cell r="E294">
            <v>4560.3999999999996</v>
          </cell>
          <cell r="F294">
            <v>958.0000061035156</v>
          </cell>
          <cell r="G294">
            <v>5064.7</v>
          </cell>
          <cell r="H294">
            <v>1124.5999999999999</v>
          </cell>
          <cell r="I294">
            <v>0</v>
          </cell>
          <cell r="J294">
            <v>0</v>
          </cell>
          <cell r="K294">
            <v>0</v>
          </cell>
          <cell r="L294">
            <v>0</v>
          </cell>
          <cell r="M294">
            <v>4947.1694183933614</v>
          </cell>
          <cell r="N294">
            <v>2022.5838928270471</v>
          </cell>
          <cell r="O294">
            <v>3694.7</v>
          </cell>
          <cell r="P294">
            <v>1052.5</v>
          </cell>
          <cell r="Q294">
            <v>0</v>
          </cell>
          <cell r="R294">
            <v>0</v>
          </cell>
        </row>
        <row r="295">
          <cell r="B295" t="str">
            <v>222930</v>
          </cell>
          <cell r="E295">
            <v>4560.8999999999996</v>
          </cell>
          <cell r="F295">
            <v>1114.0999999999999</v>
          </cell>
          <cell r="G295">
            <v>4861</v>
          </cell>
          <cell r="H295">
            <v>1280.7</v>
          </cell>
          <cell r="I295">
            <v>0</v>
          </cell>
          <cell r="J295">
            <v>0</v>
          </cell>
          <cell r="K295">
            <v>0</v>
          </cell>
          <cell r="L295">
            <v>0</v>
          </cell>
          <cell r="M295">
            <v>4971.8</v>
          </cell>
          <cell r="N295">
            <v>2328.4999984741212</v>
          </cell>
          <cell r="O295">
            <v>4362.8999999999996</v>
          </cell>
          <cell r="P295">
            <v>1226.4000488281249</v>
          </cell>
          <cell r="Q295">
            <v>0</v>
          </cell>
          <cell r="R295">
            <v>0</v>
          </cell>
        </row>
        <row r="296">
          <cell r="B296" t="str">
            <v>222915</v>
          </cell>
          <cell r="E296">
            <v>4584</v>
          </cell>
          <cell r="F296">
            <v>1249.0999999999999</v>
          </cell>
          <cell r="G296">
            <v>0</v>
          </cell>
          <cell r="H296">
            <v>0</v>
          </cell>
          <cell r="I296">
            <v>0</v>
          </cell>
          <cell r="J296">
            <v>0</v>
          </cell>
          <cell r="K296">
            <v>0</v>
          </cell>
          <cell r="L296">
            <v>0</v>
          </cell>
          <cell r="M296">
            <v>5108.8999999999996</v>
          </cell>
          <cell r="N296">
            <v>2463.5</v>
          </cell>
          <cell r="O296">
            <v>4368.2</v>
          </cell>
          <cell r="P296">
            <v>1361.4</v>
          </cell>
          <cell r="Q296">
            <v>0</v>
          </cell>
          <cell r="R296">
            <v>0</v>
          </cell>
        </row>
        <row r="297">
          <cell r="B297" t="str">
            <v>222900</v>
          </cell>
          <cell r="E297">
            <v>4575.8999999999996</v>
          </cell>
          <cell r="F297">
            <v>1407.5</v>
          </cell>
          <cell r="G297">
            <v>5083</v>
          </cell>
          <cell r="H297">
            <v>1574.09990234375</v>
          </cell>
          <cell r="I297">
            <v>0</v>
          </cell>
          <cell r="J297">
            <v>0</v>
          </cell>
          <cell r="K297">
            <v>0</v>
          </cell>
          <cell r="L297">
            <v>0</v>
          </cell>
          <cell r="M297">
            <v>5196.2</v>
          </cell>
          <cell r="N297">
            <v>2621.9</v>
          </cell>
          <cell r="O297">
            <v>4410.8</v>
          </cell>
          <cell r="P297">
            <v>1866.09990234375</v>
          </cell>
          <cell r="Q297">
            <v>0</v>
          </cell>
          <cell r="R297">
            <v>0</v>
          </cell>
        </row>
        <row r="298">
          <cell r="B298" t="str">
            <v>222885</v>
          </cell>
          <cell r="E298">
            <v>4636.3829118602926</v>
          </cell>
          <cell r="F298">
            <v>1575.6000096203938</v>
          </cell>
          <cell r="G298">
            <v>4690.2003906250002</v>
          </cell>
          <cell r="H298">
            <v>1742.2</v>
          </cell>
          <cell r="I298">
            <v>0</v>
          </cell>
          <cell r="J298">
            <v>0</v>
          </cell>
          <cell r="K298">
            <v>0</v>
          </cell>
          <cell r="L298">
            <v>0</v>
          </cell>
          <cell r="M298">
            <v>5225.6739330306609</v>
          </cell>
          <cell r="N298">
            <v>2792.1109001100549</v>
          </cell>
          <cell r="O298">
            <v>4447.400144400448</v>
          </cell>
          <cell r="P298">
            <v>2136.3000000000002</v>
          </cell>
          <cell r="Q298">
            <v>0</v>
          </cell>
          <cell r="R298">
            <v>0</v>
          </cell>
        </row>
        <row r="299">
          <cell r="B299" t="str">
            <v>222870</v>
          </cell>
          <cell r="E299">
            <v>4724.8003906249996</v>
          </cell>
          <cell r="F299">
            <v>1726.9</v>
          </cell>
          <cell r="G299">
            <v>0</v>
          </cell>
          <cell r="H299">
            <v>0</v>
          </cell>
          <cell r="I299">
            <v>0</v>
          </cell>
          <cell r="J299">
            <v>0</v>
          </cell>
          <cell r="K299">
            <v>0</v>
          </cell>
          <cell r="L299">
            <v>0</v>
          </cell>
          <cell r="M299">
            <v>5324.8</v>
          </cell>
          <cell r="N299">
            <v>2943.6</v>
          </cell>
          <cell r="O299">
            <v>4546.3</v>
          </cell>
          <cell r="P299">
            <v>2287.6</v>
          </cell>
          <cell r="Q299">
            <v>0</v>
          </cell>
          <cell r="R299">
            <v>0</v>
          </cell>
        </row>
        <row r="300">
          <cell r="B300" t="str">
            <v>222855</v>
          </cell>
          <cell r="E300">
            <v>4853.3999999999996</v>
          </cell>
          <cell r="F300">
            <v>1877.9999938964843</v>
          </cell>
          <cell r="G300">
            <v>0</v>
          </cell>
          <cell r="H300">
            <v>0</v>
          </cell>
          <cell r="I300">
            <v>0</v>
          </cell>
          <cell r="J300">
            <v>0</v>
          </cell>
          <cell r="K300">
            <v>0</v>
          </cell>
          <cell r="L300">
            <v>0</v>
          </cell>
          <cell r="M300">
            <v>5456.1</v>
          </cell>
          <cell r="N300">
            <v>3094.4000015258789</v>
          </cell>
          <cell r="O300">
            <v>4674.8996093750002</v>
          </cell>
          <cell r="P300">
            <v>2438.6999999999998</v>
          </cell>
          <cell r="Q300">
            <v>0</v>
          </cell>
          <cell r="R300">
            <v>0</v>
          </cell>
        </row>
        <row r="301">
          <cell r="B301" t="str">
            <v>222840</v>
          </cell>
          <cell r="E301">
            <v>5028</v>
          </cell>
          <cell r="F301">
            <v>2045.09990234375</v>
          </cell>
          <cell r="G301">
            <v>0</v>
          </cell>
          <cell r="H301">
            <v>0</v>
          </cell>
          <cell r="I301">
            <v>0</v>
          </cell>
          <cell r="J301">
            <v>0</v>
          </cell>
          <cell r="K301">
            <v>0</v>
          </cell>
          <cell r="L301">
            <v>0</v>
          </cell>
          <cell r="M301">
            <v>5652.2003906250002</v>
          </cell>
          <cell r="N301">
            <v>3259.5</v>
          </cell>
          <cell r="O301">
            <v>4849.5</v>
          </cell>
          <cell r="P301">
            <v>2605.8000000000002</v>
          </cell>
          <cell r="Q301">
            <v>0</v>
          </cell>
          <cell r="R301">
            <v>0</v>
          </cell>
        </row>
        <row r="302">
          <cell r="B302" t="str">
            <v>222825</v>
          </cell>
          <cell r="E302">
            <v>5394.3</v>
          </cell>
          <cell r="F302">
            <v>2195.8000000000002</v>
          </cell>
          <cell r="G302">
            <v>0</v>
          </cell>
          <cell r="H302">
            <v>0</v>
          </cell>
          <cell r="I302">
            <v>0</v>
          </cell>
          <cell r="J302">
            <v>0</v>
          </cell>
          <cell r="K302">
            <v>0</v>
          </cell>
          <cell r="L302">
            <v>0</v>
          </cell>
          <cell r="M302">
            <v>6018.5</v>
          </cell>
          <cell r="N302">
            <v>3410.2</v>
          </cell>
          <cell r="O302">
            <v>5215.8003906249996</v>
          </cell>
          <cell r="P302">
            <v>2756.5</v>
          </cell>
          <cell r="Q302">
            <v>0</v>
          </cell>
          <cell r="R302">
            <v>0</v>
          </cell>
        </row>
        <row r="303">
          <cell r="B303" t="str">
            <v>222810</v>
          </cell>
          <cell r="E303">
            <v>5509.099609375</v>
          </cell>
          <cell r="F303">
            <v>2357.1999999999998</v>
          </cell>
          <cell r="G303">
            <v>0</v>
          </cell>
          <cell r="H303">
            <v>0</v>
          </cell>
          <cell r="I303">
            <v>0</v>
          </cell>
          <cell r="J303">
            <v>0</v>
          </cell>
          <cell r="K303">
            <v>0</v>
          </cell>
          <cell r="L303">
            <v>0</v>
          </cell>
          <cell r="M303">
            <v>6147.599609375</v>
          </cell>
          <cell r="N303">
            <v>3571.9</v>
          </cell>
          <cell r="O303">
            <v>5330.6</v>
          </cell>
          <cell r="P303">
            <v>2917.9</v>
          </cell>
          <cell r="Q303">
            <v>0</v>
          </cell>
          <cell r="R303">
            <v>0</v>
          </cell>
        </row>
        <row r="304">
          <cell r="B304" t="str">
            <v>222795</v>
          </cell>
          <cell r="E304">
            <v>5635.9999900510784</v>
          </cell>
          <cell r="F304">
            <v>2534.2999762077452</v>
          </cell>
          <cell r="G304">
            <v>5859.9</v>
          </cell>
          <cell r="H304">
            <v>2700.9</v>
          </cell>
          <cell r="I304">
            <v>6657.6</v>
          </cell>
          <cell r="J304">
            <v>3813.8999956276539</v>
          </cell>
          <cell r="K304">
            <v>6657.6</v>
          </cell>
          <cell r="L304">
            <v>3813.8999956276539</v>
          </cell>
          <cell r="M304">
            <v>6407.3</v>
          </cell>
          <cell r="N304">
            <v>3751.0000015258788</v>
          </cell>
          <cell r="O304">
            <v>5457.4003206679108</v>
          </cell>
          <cell r="P304">
            <v>3095</v>
          </cell>
          <cell r="Q304">
            <v>0</v>
          </cell>
          <cell r="R304">
            <v>0</v>
          </cell>
        </row>
        <row r="305">
          <cell r="B305" t="str">
            <v>222780</v>
          </cell>
          <cell r="E305">
            <v>5799.8</v>
          </cell>
          <cell r="F305">
            <v>2684.3</v>
          </cell>
          <cell r="G305">
            <v>6023.7003906250002</v>
          </cell>
          <cell r="H305">
            <v>2850.9</v>
          </cell>
          <cell r="I305">
            <v>6821.4</v>
          </cell>
          <cell r="J305">
            <v>3963.89990234375</v>
          </cell>
          <cell r="K305">
            <v>6821.4</v>
          </cell>
          <cell r="L305">
            <v>3963.89990234375</v>
          </cell>
          <cell r="M305">
            <v>6571.1</v>
          </cell>
          <cell r="N305">
            <v>3901</v>
          </cell>
          <cell r="O305">
            <v>5621.3</v>
          </cell>
          <cell r="P305">
            <v>3245</v>
          </cell>
          <cell r="Q305">
            <v>0</v>
          </cell>
          <cell r="R305">
            <v>0</v>
          </cell>
        </row>
        <row r="306">
          <cell r="B306" t="str">
            <v>222765</v>
          </cell>
          <cell r="E306">
            <v>6000</v>
          </cell>
          <cell r="F306">
            <v>2834.3</v>
          </cell>
          <cell r="G306">
            <v>6177.7003906250002</v>
          </cell>
          <cell r="H306">
            <v>2993.5</v>
          </cell>
          <cell r="I306">
            <v>6975.4</v>
          </cell>
          <cell r="J306">
            <v>4106.5</v>
          </cell>
          <cell r="K306">
            <v>6975.4</v>
          </cell>
          <cell r="L306">
            <v>4106.5</v>
          </cell>
          <cell r="M306">
            <v>6725.1</v>
          </cell>
          <cell r="N306">
            <v>4043.6</v>
          </cell>
          <cell r="O306">
            <v>5775.2</v>
          </cell>
          <cell r="P306">
            <v>3387.6</v>
          </cell>
          <cell r="Q306">
            <v>0</v>
          </cell>
          <cell r="R306">
            <v>0</v>
          </cell>
        </row>
        <row r="307">
          <cell r="B307" t="str">
            <v>222750</v>
          </cell>
          <cell r="E307">
            <v>6303.6</v>
          </cell>
          <cell r="F307">
            <v>2977.7000061035155</v>
          </cell>
          <cell r="G307">
            <v>6527.4996093749996</v>
          </cell>
          <cell r="H307">
            <v>3144.3</v>
          </cell>
          <cell r="I307">
            <v>7364.8</v>
          </cell>
          <cell r="J307">
            <v>4257.3</v>
          </cell>
          <cell r="K307">
            <v>7364.8</v>
          </cell>
          <cell r="L307">
            <v>4257.3</v>
          </cell>
          <cell r="M307">
            <v>7075</v>
          </cell>
          <cell r="N307">
            <v>4194.3999999999996</v>
          </cell>
          <cell r="O307">
            <v>6258.5</v>
          </cell>
          <cell r="P307">
            <v>3538.4</v>
          </cell>
          <cell r="Q307">
            <v>0</v>
          </cell>
          <cell r="R307">
            <v>0</v>
          </cell>
        </row>
        <row r="308">
          <cell r="B308" t="str">
            <v>222735</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row>
        <row r="309">
          <cell r="B309" t="str">
            <v>222720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row>
        <row r="310">
          <cell r="B310" t="str">
            <v>222705</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row>
        <row r="311">
          <cell r="B311" t="str">
            <v>00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row>
        <row r="312">
          <cell r="B312" t="str">
            <v>233050</v>
          </cell>
          <cell r="E312">
            <v>0</v>
          </cell>
          <cell r="F312">
            <v>0</v>
          </cell>
          <cell r="G312">
            <v>0</v>
          </cell>
          <cell r="H312">
            <v>0</v>
          </cell>
          <cell r="I312">
            <v>0</v>
          </cell>
          <cell r="J312">
            <v>0</v>
          </cell>
          <cell r="K312">
            <v>0</v>
          </cell>
          <cell r="L312">
            <v>0</v>
          </cell>
          <cell r="M312">
            <v>3125.1</v>
          </cell>
          <cell r="N312">
            <v>854.9</v>
          </cell>
          <cell r="O312">
            <v>0</v>
          </cell>
          <cell r="P312">
            <v>0</v>
          </cell>
          <cell r="Q312">
            <v>0</v>
          </cell>
          <cell r="R312">
            <v>0</v>
          </cell>
        </row>
        <row r="313">
          <cell r="B313" t="str">
            <v>233035</v>
          </cell>
          <cell r="E313">
            <v>4061.9</v>
          </cell>
          <cell r="F313">
            <v>914.5</v>
          </cell>
          <cell r="G313">
            <v>0</v>
          </cell>
          <cell r="H313">
            <v>0</v>
          </cell>
          <cell r="I313">
            <v>0</v>
          </cell>
          <cell r="J313">
            <v>0</v>
          </cell>
          <cell r="K313">
            <v>0</v>
          </cell>
          <cell r="L313">
            <v>0</v>
          </cell>
          <cell r="M313">
            <v>4308.5</v>
          </cell>
          <cell r="N313">
            <v>1123.5</v>
          </cell>
          <cell r="O313">
            <v>0</v>
          </cell>
          <cell r="P313">
            <v>0</v>
          </cell>
          <cell r="Q313">
            <v>0</v>
          </cell>
          <cell r="R313">
            <v>0</v>
          </cell>
        </row>
        <row r="314">
          <cell r="B314" t="str">
            <v>233020</v>
          </cell>
          <cell r="E314">
            <v>4197.8</v>
          </cell>
          <cell r="F314">
            <v>1065.2</v>
          </cell>
          <cell r="G314">
            <v>0</v>
          </cell>
          <cell r="H314">
            <v>0</v>
          </cell>
          <cell r="I314">
            <v>0</v>
          </cell>
          <cell r="J314">
            <v>0</v>
          </cell>
          <cell r="K314">
            <v>0</v>
          </cell>
          <cell r="L314">
            <v>0</v>
          </cell>
          <cell r="M314">
            <v>5335</v>
          </cell>
          <cell r="N314">
            <v>1312.3999877929687</v>
          </cell>
          <cell r="O314">
            <v>6180.6</v>
          </cell>
          <cell r="P314">
            <v>1812.6</v>
          </cell>
          <cell r="Q314">
            <v>0</v>
          </cell>
          <cell r="R314">
            <v>0</v>
          </cell>
        </row>
        <row r="315">
          <cell r="B315" t="str">
            <v>233005</v>
          </cell>
          <cell r="E315">
            <v>4155</v>
          </cell>
          <cell r="F315">
            <v>1220</v>
          </cell>
          <cell r="G315">
            <v>0</v>
          </cell>
          <cell r="H315">
            <v>0</v>
          </cell>
          <cell r="I315">
            <v>0</v>
          </cell>
          <cell r="J315">
            <v>0</v>
          </cell>
          <cell r="K315">
            <v>0</v>
          </cell>
          <cell r="L315">
            <v>0</v>
          </cell>
          <cell r="M315">
            <v>5144.3</v>
          </cell>
          <cell r="N315">
            <v>1467.5</v>
          </cell>
          <cell r="O315">
            <v>6137.7996093749998</v>
          </cell>
          <cell r="P315">
            <v>1967.4</v>
          </cell>
          <cell r="Q315">
            <v>0</v>
          </cell>
          <cell r="R315">
            <v>0</v>
          </cell>
        </row>
        <row r="316">
          <cell r="B316" t="str">
            <v>232990</v>
          </cell>
          <cell r="E316">
            <v>4233.5</v>
          </cell>
          <cell r="F316">
            <v>1370.6000030517578</v>
          </cell>
          <cell r="G316">
            <v>0</v>
          </cell>
          <cell r="H316">
            <v>0</v>
          </cell>
          <cell r="I316">
            <v>0</v>
          </cell>
          <cell r="J316">
            <v>0</v>
          </cell>
          <cell r="K316">
            <v>0</v>
          </cell>
          <cell r="L316">
            <v>0</v>
          </cell>
          <cell r="M316">
            <v>5222.8</v>
          </cell>
          <cell r="N316">
            <v>1618</v>
          </cell>
          <cell r="O316">
            <v>6216.3</v>
          </cell>
          <cell r="P316">
            <v>2118</v>
          </cell>
          <cell r="Q316">
            <v>0</v>
          </cell>
          <cell r="R316">
            <v>0</v>
          </cell>
        </row>
        <row r="317">
          <cell r="B317" t="str">
            <v>232975</v>
          </cell>
          <cell r="E317">
            <v>4333.7</v>
          </cell>
          <cell r="F317">
            <v>1529.7999969482421</v>
          </cell>
          <cell r="G317">
            <v>0</v>
          </cell>
          <cell r="H317">
            <v>0</v>
          </cell>
          <cell r="I317">
            <v>0</v>
          </cell>
          <cell r="J317">
            <v>0</v>
          </cell>
          <cell r="K317">
            <v>0</v>
          </cell>
          <cell r="L317">
            <v>0</v>
          </cell>
          <cell r="M317">
            <v>5323</v>
          </cell>
          <cell r="N317">
            <v>1777.2</v>
          </cell>
          <cell r="O317">
            <v>6316.5</v>
          </cell>
          <cell r="P317">
            <v>2277.1999999999998</v>
          </cell>
          <cell r="Q317">
            <v>0</v>
          </cell>
          <cell r="R317">
            <v>0</v>
          </cell>
        </row>
        <row r="318">
          <cell r="B318" t="str">
            <v>232960</v>
          </cell>
          <cell r="E318">
            <v>4429</v>
          </cell>
          <cell r="F318">
            <v>1681.5</v>
          </cell>
          <cell r="G318">
            <v>0</v>
          </cell>
          <cell r="H318">
            <v>0</v>
          </cell>
          <cell r="I318">
            <v>0</v>
          </cell>
          <cell r="J318">
            <v>0</v>
          </cell>
          <cell r="K318">
            <v>0</v>
          </cell>
          <cell r="L318">
            <v>0</v>
          </cell>
          <cell r="M318">
            <v>5418.3</v>
          </cell>
          <cell r="N318">
            <v>1928.9</v>
          </cell>
          <cell r="O318">
            <v>6411.799788800613</v>
          </cell>
          <cell r="P318">
            <v>2428.8999775717984</v>
          </cell>
          <cell r="Q318">
            <v>0</v>
          </cell>
          <cell r="R318">
            <v>0</v>
          </cell>
        </row>
        <row r="319">
          <cell r="B319" t="str">
            <v>232945</v>
          </cell>
          <cell r="E319">
            <v>4542.6000000000004</v>
          </cell>
          <cell r="F319">
            <v>1841.5999969482423</v>
          </cell>
          <cell r="G319">
            <v>0</v>
          </cell>
          <cell r="H319">
            <v>0</v>
          </cell>
          <cell r="I319">
            <v>0</v>
          </cell>
          <cell r="J319">
            <v>0</v>
          </cell>
          <cell r="K319">
            <v>0</v>
          </cell>
          <cell r="L319">
            <v>0</v>
          </cell>
          <cell r="M319">
            <v>5612.4</v>
          </cell>
          <cell r="N319">
            <v>2089</v>
          </cell>
          <cell r="O319">
            <v>6525.5003906250004</v>
          </cell>
          <cell r="P319">
            <v>2589</v>
          </cell>
          <cell r="Q319">
            <v>0</v>
          </cell>
          <cell r="R319">
            <v>0</v>
          </cell>
        </row>
        <row r="320">
          <cell r="B320" t="str">
            <v>232930</v>
          </cell>
          <cell r="E320">
            <v>4639.3999999999996</v>
          </cell>
          <cell r="F320">
            <v>1996.6</v>
          </cell>
          <cell r="G320">
            <v>0</v>
          </cell>
          <cell r="H320">
            <v>0</v>
          </cell>
          <cell r="I320">
            <v>0</v>
          </cell>
          <cell r="J320">
            <v>0</v>
          </cell>
          <cell r="K320">
            <v>0</v>
          </cell>
          <cell r="L320">
            <v>0</v>
          </cell>
          <cell r="M320">
            <v>5764.4</v>
          </cell>
          <cell r="N320">
            <v>2244</v>
          </cell>
          <cell r="O320">
            <v>6622.2</v>
          </cell>
          <cell r="P320">
            <v>2744</v>
          </cell>
          <cell r="Q320">
            <v>0</v>
          </cell>
          <cell r="R320">
            <v>0</v>
          </cell>
        </row>
        <row r="321">
          <cell r="B321" t="str">
            <v>232915</v>
          </cell>
          <cell r="E321">
            <v>4790</v>
          </cell>
          <cell r="F321">
            <v>2158.4</v>
          </cell>
          <cell r="G321">
            <v>0</v>
          </cell>
          <cell r="H321">
            <v>0</v>
          </cell>
          <cell r="I321">
            <v>0</v>
          </cell>
          <cell r="J321">
            <v>0</v>
          </cell>
          <cell r="K321">
            <v>0</v>
          </cell>
          <cell r="L321">
            <v>0</v>
          </cell>
          <cell r="M321">
            <v>5915</v>
          </cell>
          <cell r="N321">
            <v>2405.8000000000002</v>
          </cell>
          <cell r="O321">
            <v>6772.8</v>
          </cell>
          <cell r="P321">
            <v>2905.8</v>
          </cell>
          <cell r="Q321">
            <v>0</v>
          </cell>
          <cell r="R321">
            <v>0</v>
          </cell>
        </row>
        <row r="322">
          <cell r="B322" t="str">
            <v>232900</v>
          </cell>
          <cell r="E322">
            <v>4991.1000000000004</v>
          </cell>
          <cell r="F322">
            <v>2312.7999053955077</v>
          </cell>
          <cell r="G322">
            <v>0</v>
          </cell>
          <cell r="H322">
            <v>0</v>
          </cell>
          <cell r="I322">
            <v>0</v>
          </cell>
          <cell r="J322">
            <v>0</v>
          </cell>
          <cell r="K322">
            <v>0</v>
          </cell>
          <cell r="L322">
            <v>0</v>
          </cell>
          <cell r="M322">
            <v>6116.2</v>
          </cell>
          <cell r="N322">
            <v>2560.1999999999998</v>
          </cell>
          <cell r="O322">
            <v>6644.4239220420113</v>
          </cell>
          <cell r="P322">
            <v>3121.2927649235617</v>
          </cell>
          <cell r="Q322">
            <v>0</v>
          </cell>
          <cell r="R322">
            <v>0</v>
          </cell>
        </row>
        <row r="323">
          <cell r="B323" t="str">
            <v>232885</v>
          </cell>
          <cell r="E323">
            <v>5206.5003906250004</v>
          </cell>
          <cell r="F323">
            <v>2466.9</v>
          </cell>
          <cell r="G323">
            <v>0</v>
          </cell>
          <cell r="H323">
            <v>0</v>
          </cell>
          <cell r="I323">
            <v>7550.9</v>
          </cell>
          <cell r="J323">
            <v>3820.3</v>
          </cell>
          <cell r="K323">
            <v>7550.9</v>
          </cell>
          <cell r="L323">
            <v>3820.3</v>
          </cell>
          <cell r="M323">
            <v>5900.7</v>
          </cell>
          <cell r="N323">
            <v>3034.3</v>
          </cell>
          <cell r="O323">
            <v>6757.0334245717067</v>
          </cell>
          <cell r="P323">
            <v>3337.6781318315761</v>
          </cell>
          <cell r="Q323">
            <v>0</v>
          </cell>
          <cell r="R323">
            <v>0</v>
          </cell>
        </row>
        <row r="324">
          <cell r="B324" t="str">
            <v>232870</v>
          </cell>
          <cell r="E324">
            <v>5461</v>
          </cell>
          <cell r="F324">
            <v>2632</v>
          </cell>
          <cell r="G324">
            <v>0</v>
          </cell>
          <cell r="H324">
            <v>0</v>
          </cell>
          <cell r="I324">
            <v>7805.4</v>
          </cell>
          <cell r="J324">
            <v>3985.4</v>
          </cell>
          <cell r="K324">
            <v>7805.4</v>
          </cell>
          <cell r="L324">
            <v>3985.4</v>
          </cell>
          <cell r="M324">
            <v>5977.2</v>
          </cell>
          <cell r="N324">
            <v>3331.7</v>
          </cell>
          <cell r="O324">
            <v>7800.3</v>
          </cell>
          <cell r="P324">
            <v>3422.9</v>
          </cell>
          <cell r="Q324">
            <v>0</v>
          </cell>
          <cell r="R324">
            <v>0</v>
          </cell>
        </row>
        <row r="325">
          <cell r="B325" t="str">
            <v>232855</v>
          </cell>
          <cell r="E325">
            <v>5615.099609375</v>
          </cell>
          <cell r="F325">
            <v>2855.0000030517576</v>
          </cell>
          <cell r="G325">
            <v>0</v>
          </cell>
          <cell r="H325">
            <v>0</v>
          </cell>
          <cell r="I325">
            <v>7959.5</v>
          </cell>
          <cell r="J325">
            <v>4208.3999999999996</v>
          </cell>
          <cell r="K325">
            <v>7959.5</v>
          </cell>
          <cell r="L325">
            <v>4208.3999999999996</v>
          </cell>
          <cell r="M325">
            <v>6131.2003906250002</v>
          </cell>
          <cell r="N325">
            <v>3554.7</v>
          </cell>
          <cell r="O325">
            <v>7954.4007812500004</v>
          </cell>
          <cell r="P325">
            <v>3645.9</v>
          </cell>
          <cell r="Q325">
            <v>0</v>
          </cell>
          <cell r="R325">
            <v>0</v>
          </cell>
        </row>
        <row r="326">
          <cell r="B326" t="str">
            <v>232840</v>
          </cell>
          <cell r="E326">
            <v>5721.443578638401</v>
          </cell>
          <cell r="F326">
            <v>3007.3999388979055</v>
          </cell>
          <cell r="G326">
            <v>6303.4</v>
          </cell>
          <cell r="H326">
            <v>3074.3</v>
          </cell>
          <cell r="I326">
            <v>8065.4992187500002</v>
          </cell>
          <cell r="J326">
            <v>4358.3999999999996</v>
          </cell>
          <cell r="K326">
            <v>8065.4992187500002</v>
          </cell>
          <cell r="L326">
            <v>4358.3999999999996</v>
          </cell>
          <cell r="M326">
            <v>6237.1998529448529</v>
          </cell>
          <cell r="N326">
            <v>3707.2000091909467</v>
          </cell>
          <cell r="O326">
            <v>8060.399512860301</v>
          </cell>
          <cell r="P326">
            <v>3798.3</v>
          </cell>
          <cell r="Q326">
            <v>0</v>
          </cell>
          <cell r="R326">
            <v>0</v>
          </cell>
        </row>
        <row r="327">
          <cell r="B327" t="str">
            <v>232825</v>
          </cell>
          <cell r="E327">
            <v>4348.099609375</v>
          </cell>
          <cell r="F327">
            <v>2137.7999755859373</v>
          </cell>
          <cell r="G327">
            <v>0</v>
          </cell>
          <cell r="H327">
            <v>0</v>
          </cell>
          <cell r="I327">
            <v>0</v>
          </cell>
          <cell r="J327">
            <v>0</v>
          </cell>
          <cell r="K327">
            <v>0</v>
          </cell>
          <cell r="L327">
            <v>0</v>
          </cell>
          <cell r="M327">
            <v>7603.0606476760049</v>
          </cell>
          <cell r="N327">
            <v>3490.0786576954551</v>
          </cell>
          <cell r="O327">
            <v>6687.3</v>
          </cell>
          <cell r="P327">
            <v>2928.699951171875</v>
          </cell>
          <cell r="Q327">
            <v>0</v>
          </cell>
          <cell r="R327">
            <v>0</v>
          </cell>
        </row>
        <row r="328">
          <cell r="B328" t="str">
            <v>232810</v>
          </cell>
          <cell r="E328">
            <v>4311.3999999999996</v>
          </cell>
          <cell r="F328">
            <v>2170.6999999999998</v>
          </cell>
          <cell r="G328">
            <v>6565.7</v>
          </cell>
          <cell r="H328">
            <v>3392.1000061035156</v>
          </cell>
          <cell r="I328">
            <v>0</v>
          </cell>
          <cell r="J328">
            <v>0</v>
          </cell>
          <cell r="K328">
            <v>0</v>
          </cell>
          <cell r="L328">
            <v>0</v>
          </cell>
          <cell r="M328">
            <v>7834.251722977684</v>
          </cell>
          <cell r="N328">
            <v>3607.9311095080193</v>
          </cell>
          <cell r="O328">
            <v>6697.3</v>
          </cell>
          <cell r="P328">
            <v>2993.7999969482416</v>
          </cell>
          <cell r="Q328">
            <v>0</v>
          </cell>
          <cell r="R328">
            <v>0</v>
          </cell>
        </row>
        <row r="329">
          <cell r="B329" t="str">
            <v>232795</v>
          </cell>
          <cell r="E329">
            <v>4436.3</v>
          </cell>
          <cell r="F329">
            <v>2291.4998046874998</v>
          </cell>
          <cell r="G329">
            <v>6661.1</v>
          </cell>
          <cell r="H329">
            <v>3631.2</v>
          </cell>
          <cell r="I329">
            <v>6838.5</v>
          </cell>
          <cell r="J329">
            <v>3641.10009765625</v>
          </cell>
          <cell r="K329">
            <v>6838.5</v>
          </cell>
          <cell r="L329">
            <v>3641.10009765625</v>
          </cell>
          <cell r="M329">
            <v>8111.0847793849807</v>
          </cell>
          <cell r="N329">
            <v>3742.2508942594081</v>
          </cell>
          <cell r="O329">
            <v>6775.8</v>
          </cell>
          <cell r="P329">
            <v>3082.5</v>
          </cell>
          <cell r="Q329">
            <v>6838.5</v>
          </cell>
          <cell r="R329">
            <v>3641.10009765625</v>
          </cell>
        </row>
        <row r="330">
          <cell r="B330" t="str">
            <v>232780</v>
          </cell>
          <cell r="E330">
            <v>4382.6000000000004</v>
          </cell>
          <cell r="F330">
            <v>2246.4</v>
          </cell>
          <cell r="G330">
            <v>0</v>
          </cell>
          <cell r="H330">
            <v>0</v>
          </cell>
          <cell r="I330">
            <v>7130</v>
          </cell>
          <cell r="J330">
            <v>3706.899996948242</v>
          </cell>
          <cell r="K330">
            <v>7130</v>
          </cell>
          <cell r="L330">
            <v>3706.899996948242</v>
          </cell>
          <cell r="M330">
            <v>8595.7999999999993</v>
          </cell>
          <cell r="N330">
            <v>3827.000094604492</v>
          </cell>
          <cell r="O330">
            <v>6721.8</v>
          </cell>
          <cell r="P330">
            <v>3037.2</v>
          </cell>
          <cell r="Q330">
            <v>7130</v>
          </cell>
          <cell r="R330">
            <v>3706.899996948242</v>
          </cell>
        </row>
        <row r="331">
          <cell r="B331" t="str">
            <v>232765</v>
          </cell>
          <cell r="E331">
            <v>4579.1000000000004</v>
          </cell>
          <cell r="F331">
            <v>2410.1999999999998</v>
          </cell>
          <cell r="G331">
            <v>4883.6996093750004</v>
          </cell>
          <cell r="H331">
            <v>2476.2000122070313</v>
          </cell>
          <cell r="I331">
            <v>7326.4</v>
          </cell>
          <cell r="J331">
            <v>3870.7</v>
          </cell>
          <cell r="K331">
            <v>7326.4</v>
          </cell>
          <cell r="L331">
            <v>3870.7</v>
          </cell>
          <cell r="M331">
            <v>7357.4</v>
          </cell>
          <cell r="N331">
            <v>4345.1000000000004</v>
          </cell>
          <cell r="O331">
            <v>6861.8</v>
          </cell>
          <cell r="P331">
            <v>3222.4</v>
          </cell>
          <cell r="Q331">
            <v>7326.4</v>
          </cell>
          <cell r="R331">
            <v>3870.7</v>
          </cell>
        </row>
        <row r="332">
          <cell r="B332" t="str">
            <v>232750</v>
          </cell>
          <cell r="E332">
            <v>4638.6000000000004</v>
          </cell>
          <cell r="F332">
            <v>2565</v>
          </cell>
          <cell r="G332">
            <v>5322.6003906249998</v>
          </cell>
          <cell r="H332">
            <v>2631</v>
          </cell>
          <cell r="I332">
            <v>7447.2</v>
          </cell>
          <cell r="J332">
            <v>4025.4999969482424</v>
          </cell>
          <cell r="K332">
            <v>7447.2</v>
          </cell>
          <cell r="L332">
            <v>4025.4999969482424</v>
          </cell>
          <cell r="M332">
            <v>7243.8</v>
          </cell>
          <cell r="N332">
            <v>4194.4000015258789</v>
          </cell>
          <cell r="O332">
            <v>6442.3673185159996</v>
          </cell>
          <cell r="P332">
            <v>3523.7381427116502</v>
          </cell>
          <cell r="Q332">
            <v>7447.2</v>
          </cell>
          <cell r="R332">
            <v>4025.4999969482424</v>
          </cell>
        </row>
        <row r="333">
          <cell r="B333" t="str">
            <v>232735</v>
          </cell>
          <cell r="E333">
            <v>4947.6000000000004</v>
          </cell>
          <cell r="F333">
            <v>2710.7</v>
          </cell>
          <cell r="G333">
            <v>0</v>
          </cell>
          <cell r="H333">
            <v>0</v>
          </cell>
          <cell r="I333">
            <v>7695</v>
          </cell>
          <cell r="J333">
            <v>4171.1999969482422</v>
          </cell>
          <cell r="K333">
            <v>7695</v>
          </cell>
          <cell r="L333">
            <v>4171.1999969482422</v>
          </cell>
          <cell r="M333">
            <v>7469.5</v>
          </cell>
          <cell r="N333">
            <v>4600.3998062133787</v>
          </cell>
          <cell r="O333">
            <v>6942.6</v>
          </cell>
          <cell r="P333">
            <v>3632.2000244140627</v>
          </cell>
          <cell r="Q333">
            <v>7695</v>
          </cell>
          <cell r="R333">
            <v>4171.1999969482422</v>
          </cell>
        </row>
        <row r="334">
          <cell r="B334" t="str">
            <v>232720</v>
          </cell>
          <cell r="E334">
            <v>5149.900390625</v>
          </cell>
          <cell r="F334">
            <v>2877.7001922607424</v>
          </cell>
          <cell r="G334">
            <v>5527.8003906249996</v>
          </cell>
          <cell r="H334">
            <v>2943.7</v>
          </cell>
          <cell r="I334">
            <v>7841.5</v>
          </cell>
          <cell r="J334">
            <v>4338.2</v>
          </cell>
          <cell r="K334">
            <v>7841.5</v>
          </cell>
          <cell r="L334">
            <v>4338.2</v>
          </cell>
          <cell r="M334">
            <v>7642.7</v>
          </cell>
          <cell r="N334">
            <v>4765.1000000000004</v>
          </cell>
          <cell r="O334">
            <v>7089.1</v>
          </cell>
          <cell r="P334">
            <v>3799.2</v>
          </cell>
          <cell r="Q334">
            <v>7841.5</v>
          </cell>
          <cell r="R334">
            <v>4338.2</v>
          </cell>
        </row>
        <row r="335">
          <cell r="B335" t="str">
            <v>232705</v>
          </cell>
          <cell r="E335">
            <v>5306.599609375</v>
          </cell>
          <cell r="F335">
            <v>3040.600003051758</v>
          </cell>
          <cell r="G335">
            <v>5824.1</v>
          </cell>
          <cell r="H335">
            <v>3106.6</v>
          </cell>
          <cell r="I335">
            <v>8026.9</v>
          </cell>
          <cell r="J335">
            <v>4501.1000000000004</v>
          </cell>
          <cell r="K335">
            <v>8026.9</v>
          </cell>
          <cell r="L335">
            <v>4501.1000000000004</v>
          </cell>
          <cell r="M335">
            <v>7825.7</v>
          </cell>
          <cell r="N335">
            <v>4907.9998046874998</v>
          </cell>
          <cell r="O335">
            <v>7274.5</v>
          </cell>
          <cell r="P335">
            <v>3962.100003051758</v>
          </cell>
          <cell r="Q335">
            <v>8026.9</v>
          </cell>
          <cell r="R335">
            <v>4501.1000000000004</v>
          </cell>
        </row>
        <row r="336">
          <cell r="B336" t="str">
            <v>232690</v>
          </cell>
          <cell r="E336">
            <v>5371.9996093749996</v>
          </cell>
          <cell r="F336">
            <v>3191.7999969482421</v>
          </cell>
          <cell r="G336">
            <v>5954</v>
          </cell>
          <cell r="H336">
            <v>3257.8</v>
          </cell>
          <cell r="I336">
            <v>7063.2690000000002</v>
          </cell>
          <cell r="J336">
            <v>4047.5010026550221</v>
          </cell>
          <cell r="K336">
            <v>7063.2690000000002</v>
          </cell>
          <cell r="L336">
            <v>4047.5010026550221</v>
          </cell>
          <cell r="M336">
            <v>6896.1420000000007</v>
          </cell>
          <cell r="N336">
            <v>4401.5039999999999</v>
          </cell>
          <cell r="O336">
            <v>0</v>
          </cell>
          <cell r="P336">
            <v>0</v>
          </cell>
          <cell r="Q336">
            <v>7063.2690000000002</v>
          </cell>
          <cell r="R336">
            <v>4047.5010026550221</v>
          </cell>
        </row>
        <row r="337">
          <cell r="B337" t="str">
            <v>232675</v>
          </cell>
          <cell r="E337">
            <v>5470.3996093750002</v>
          </cell>
          <cell r="F337">
            <v>3368.9998046874998</v>
          </cell>
          <cell r="G337">
            <v>6012</v>
          </cell>
          <cell r="H337">
            <v>3435.0001983642578</v>
          </cell>
          <cell r="I337">
            <v>7131.39</v>
          </cell>
          <cell r="J337">
            <v>4201.6649150390631</v>
          </cell>
          <cell r="K337">
            <v>7131.39</v>
          </cell>
          <cell r="L337">
            <v>4201.6649150390631</v>
          </cell>
          <cell r="M337">
            <v>6968.0039999999999</v>
          </cell>
          <cell r="N337">
            <v>4555.6679999999997</v>
          </cell>
          <cell r="O337">
            <v>0</v>
          </cell>
          <cell r="P337">
            <v>0</v>
          </cell>
          <cell r="Q337">
            <v>7131.39</v>
          </cell>
          <cell r="R337">
            <v>4201.6649150390631</v>
          </cell>
        </row>
        <row r="338">
          <cell r="B338" t="str">
            <v>232660</v>
          </cell>
          <cell r="E338">
            <v>5563.1</v>
          </cell>
          <cell r="F338">
            <v>3518.5000030517576</v>
          </cell>
          <cell r="G338">
            <v>6188.4</v>
          </cell>
          <cell r="H338">
            <v>3584.4999969482424</v>
          </cell>
          <cell r="I338">
            <v>8317.6</v>
          </cell>
          <cell r="J338">
            <v>4979.0000976562496</v>
          </cell>
          <cell r="K338">
            <v>8317.6</v>
          </cell>
          <cell r="L338">
            <v>4979.0000976562496</v>
          </cell>
          <cell r="M338">
            <v>7994.5</v>
          </cell>
          <cell r="N338">
            <v>5385.9</v>
          </cell>
          <cell r="O338">
            <v>0</v>
          </cell>
          <cell r="P338">
            <v>0</v>
          </cell>
          <cell r="Q338">
            <v>8317.6</v>
          </cell>
          <cell r="R338">
            <v>4979.0000976562496</v>
          </cell>
        </row>
        <row r="339">
          <cell r="B339" t="str">
            <v>232645</v>
          </cell>
          <cell r="E339">
            <v>5773.2</v>
          </cell>
          <cell r="F339">
            <v>3740.7999969482421</v>
          </cell>
          <cell r="G339">
            <v>6327</v>
          </cell>
          <cell r="H339">
            <v>3806.8</v>
          </cell>
          <cell r="I339">
            <v>7407.9629999999997</v>
          </cell>
          <cell r="J339">
            <v>4525.130912384031</v>
          </cell>
          <cell r="K339">
            <v>7407.9629999999997</v>
          </cell>
          <cell r="L339">
            <v>4525.130912384031</v>
          </cell>
          <cell r="M339">
            <v>7289.9040000000005</v>
          </cell>
          <cell r="N339">
            <v>4879.134</v>
          </cell>
          <cell r="O339">
            <v>0</v>
          </cell>
          <cell r="P339">
            <v>0</v>
          </cell>
          <cell r="Q339">
            <v>7407.9629999999997</v>
          </cell>
          <cell r="R339">
            <v>4525.130912384031</v>
          </cell>
        </row>
        <row r="340">
          <cell r="B340" t="str">
            <v>232630</v>
          </cell>
          <cell r="E340">
            <v>5904.3</v>
          </cell>
          <cell r="F340">
            <v>3888.8</v>
          </cell>
          <cell r="G340">
            <v>6688.7</v>
          </cell>
          <cell r="H340">
            <v>3954.8</v>
          </cell>
          <cell r="I340">
            <v>7750.9170000000004</v>
          </cell>
          <cell r="J340">
            <v>5043.6509993362415</v>
          </cell>
          <cell r="K340">
            <v>7750.9170000000004</v>
          </cell>
          <cell r="L340">
            <v>5043.6509993362415</v>
          </cell>
          <cell r="M340">
            <v>7436.3256796875003</v>
          </cell>
          <cell r="N340">
            <v>5007.8940000000002</v>
          </cell>
          <cell r="O340">
            <v>0</v>
          </cell>
          <cell r="P340">
            <v>0</v>
          </cell>
          <cell r="Q340">
            <v>7750.9170000000004</v>
          </cell>
          <cell r="R340">
            <v>5043.6509993362415</v>
          </cell>
        </row>
        <row r="341">
          <cell r="B341" t="str">
            <v>232615</v>
          </cell>
          <cell r="E341">
            <v>6080.6242627163383</v>
          </cell>
          <cell r="F341">
            <v>4073.0000011547063</v>
          </cell>
          <cell r="G341">
            <v>6624.9</v>
          </cell>
          <cell r="H341">
            <v>4139</v>
          </cell>
          <cell r="I341">
            <v>7872.1079999999993</v>
          </cell>
          <cell r="J341">
            <v>5203.9049233894266</v>
          </cell>
          <cell r="K341">
            <v>7872.1079999999993</v>
          </cell>
          <cell r="L341">
            <v>5203.9049233894266</v>
          </cell>
          <cell r="M341">
            <v>7710.987411326968</v>
          </cell>
          <cell r="N341">
            <v>5165.277</v>
          </cell>
          <cell r="O341">
            <v>0</v>
          </cell>
          <cell r="P341">
            <v>0</v>
          </cell>
          <cell r="Q341">
            <v>7872.1079999999993</v>
          </cell>
          <cell r="R341">
            <v>5203.9049233894266</v>
          </cell>
        </row>
        <row r="342">
          <cell r="B342" t="str">
            <v>232600</v>
          </cell>
          <cell r="E342">
            <v>6091.4</v>
          </cell>
          <cell r="F342">
            <v>4114.3</v>
          </cell>
          <cell r="G342">
            <v>0</v>
          </cell>
          <cell r="H342">
            <v>0</v>
          </cell>
          <cell r="I342">
            <v>9064.7000000000007</v>
          </cell>
          <cell r="J342">
            <v>6022.8</v>
          </cell>
          <cell r="K342">
            <v>9064.7000000000007</v>
          </cell>
          <cell r="L342">
            <v>6022.8</v>
          </cell>
          <cell r="M342">
            <v>8972.1</v>
          </cell>
          <cell r="N342">
            <v>5978.4</v>
          </cell>
          <cell r="O342">
            <v>0</v>
          </cell>
          <cell r="P342">
            <v>0</v>
          </cell>
          <cell r="Q342">
            <v>9064.7000000000007</v>
          </cell>
          <cell r="R342">
            <v>6022.8</v>
          </cell>
        </row>
        <row r="343">
          <cell r="B343" t="str">
            <v>232585</v>
          </cell>
          <cell r="E343">
            <v>6205.2</v>
          </cell>
          <cell r="F343">
            <v>4284.2</v>
          </cell>
          <cell r="G343">
            <v>0</v>
          </cell>
          <cell r="H343">
            <v>0</v>
          </cell>
          <cell r="I343">
            <v>9178.5</v>
          </cell>
          <cell r="J343">
            <v>6192.6999992370602</v>
          </cell>
          <cell r="K343">
            <v>9178.5</v>
          </cell>
          <cell r="L343">
            <v>6192.6999992370602</v>
          </cell>
          <cell r="M343">
            <v>9085.9</v>
          </cell>
          <cell r="N343">
            <v>6148.3</v>
          </cell>
          <cell r="O343">
            <v>0</v>
          </cell>
          <cell r="P343">
            <v>0</v>
          </cell>
          <cell r="Q343">
            <v>9178.5</v>
          </cell>
          <cell r="R343">
            <v>6192.6999992370602</v>
          </cell>
        </row>
        <row r="344">
          <cell r="B344" t="str">
            <v>232570</v>
          </cell>
          <cell r="E344">
            <v>6326.5</v>
          </cell>
          <cell r="F344">
            <v>4435.5000030517576</v>
          </cell>
          <cell r="G344">
            <v>0</v>
          </cell>
          <cell r="H344">
            <v>0</v>
          </cell>
          <cell r="I344">
            <v>9216.7000000000007</v>
          </cell>
          <cell r="J344">
            <v>6243.5</v>
          </cell>
          <cell r="K344">
            <v>9216.7000000000007</v>
          </cell>
          <cell r="L344">
            <v>6243.5</v>
          </cell>
          <cell r="M344">
            <v>9239</v>
          </cell>
          <cell r="N344">
            <v>6307.7</v>
          </cell>
          <cell r="O344">
            <v>0</v>
          </cell>
          <cell r="P344">
            <v>0</v>
          </cell>
          <cell r="Q344">
            <v>9216.7000000000007</v>
          </cell>
          <cell r="R344">
            <v>6243.5</v>
          </cell>
        </row>
        <row r="345">
          <cell r="B345" t="str">
            <v>232555</v>
          </cell>
          <cell r="E345">
            <v>6521.5003906250004</v>
          </cell>
          <cell r="F345">
            <v>4609.2</v>
          </cell>
          <cell r="G345">
            <v>0</v>
          </cell>
          <cell r="H345">
            <v>0</v>
          </cell>
          <cell r="I345">
            <v>9494.7000000000007</v>
          </cell>
          <cell r="J345">
            <v>6517.6999992370602</v>
          </cell>
          <cell r="K345">
            <v>9494.7000000000007</v>
          </cell>
          <cell r="L345">
            <v>6517.6999992370602</v>
          </cell>
          <cell r="M345">
            <v>9607.7000000000007</v>
          </cell>
          <cell r="N345">
            <v>6481.4</v>
          </cell>
          <cell r="O345">
            <v>0</v>
          </cell>
          <cell r="P345">
            <v>0</v>
          </cell>
          <cell r="Q345">
            <v>9494.7000000000007</v>
          </cell>
          <cell r="R345">
            <v>6517.6999992370602</v>
          </cell>
        </row>
        <row r="346">
          <cell r="B346" t="str">
            <v>232540</v>
          </cell>
          <cell r="E346">
            <v>6895.5</v>
          </cell>
          <cell r="F346">
            <v>4783.3999999999996</v>
          </cell>
          <cell r="G346">
            <v>0</v>
          </cell>
          <cell r="H346">
            <v>0</v>
          </cell>
          <cell r="I346">
            <v>9868.7999999999993</v>
          </cell>
          <cell r="J346">
            <v>6691.9</v>
          </cell>
          <cell r="K346">
            <v>9868.7999999999993</v>
          </cell>
          <cell r="L346">
            <v>6691.9</v>
          </cell>
          <cell r="M346">
            <v>9981.7999999999993</v>
          </cell>
          <cell r="N346">
            <v>6655.6</v>
          </cell>
          <cell r="O346">
            <v>0</v>
          </cell>
          <cell r="P346">
            <v>0</v>
          </cell>
          <cell r="Q346">
            <v>9868.7999999999993</v>
          </cell>
          <cell r="R346">
            <v>6691.9</v>
          </cell>
        </row>
        <row r="347">
          <cell r="B347" t="str">
            <v>232525</v>
          </cell>
          <cell r="E347">
            <v>7003.2</v>
          </cell>
          <cell r="F347">
            <v>4949.6000000000004</v>
          </cell>
          <cell r="G347">
            <v>0</v>
          </cell>
          <cell r="H347">
            <v>0</v>
          </cell>
          <cell r="I347">
            <v>9976.5</v>
          </cell>
          <cell r="J347">
            <v>6858.1</v>
          </cell>
          <cell r="K347">
            <v>9976.5</v>
          </cell>
          <cell r="L347">
            <v>6858.1</v>
          </cell>
          <cell r="M347">
            <v>10089.399218750001</v>
          </cell>
          <cell r="N347">
            <v>6821.8</v>
          </cell>
          <cell r="O347">
            <v>0</v>
          </cell>
          <cell r="P347">
            <v>0</v>
          </cell>
          <cell r="Q347">
            <v>9976.5</v>
          </cell>
          <cell r="R347">
            <v>6858.1</v>
          </cell>
        </row>
        <row r="348">
          <cell r="B348" t="str">
            <v>232510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row>
        <row r="349">
          <cell r="B349" t="str">
            <v>232495</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row>
        <row r="350">
          <cell r="B350" t="str">
            <v>00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row>
        <row r="351">
          <cell r="B351" t="str">
            <v>00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row>
        <row r="352">
          <cell r="B352" t="str">
            <v>00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row>
        <row r="353">
          <cell r="B353" t="str">
            <v>00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row>
        <row r="354">
          <cell r="B354" t="str">
            <v>243035</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row>
        <row r="355">
          <cell r="B355" t="str">
            <v>243020</v>
          </cell>
          <cell r="E355">
            <v>0</v>
          </cell>
          <cell r="F355">
            <v>0</v>
          </cell>
          <cell r="G355">
            <v>0</v>
          </cell>
          <cell r="H355">
            <v>0</v>
          </cell>
          <cell r="I355">
            <v>0</v>
          </cell>
          <cell r="J355">
            <v>0</v>
          </cell>
          <cell r="K355">
            <v>0</v>
          </cell>
          <cell r="L355">
            <v>0</v>
          </cell>
          <cell r="M355">
            <v>3033.1338868928688</v>
          </cell>
          <cell r="N355">
            <v>1216.6975925227005</v>
          </cell>
          <cell r="O355">
            <v>0</v>
          </cell>
          <cell r="P355">
            <v>0</v>
          </cell>
          <cell r="Q355">
            <v>0</v>
          </cell>
          <cell r="R355">
            <v>0</v>
          </cell>
        </row>
        <row r="356">
          <cell r="B356" t="str">
            <v>243005</v>
          </cell>
          <cell r="E356">
            <v>0</v>
          </cell>
          <cell r="F356">
            <v>0</v>
          </cell>
          <cell r="G356">
            <v>0</v>
          </cell>
          <cell r="H356">
            <v>0</v>
          </cell>
          <cell r="I356">
            <v>0</v>
          </cell>
          <cell r="J356">
            <v>0</v>
          </cell>
          <cell r="K356">
            <v>0</v>
          </cell>
          <cell r="L356">
            <v>0</v>
          </cell>
          <cell r="M356">
            <v>3233.1489132608999</v>
          </cell>
          <cell r="N356">
            <v>1395.533829090366</v>
          </cell>
          <cell r="O356">
            <v>0</v>
          </cell>
          <cell r="P356">
            <v>0</v>
          </cell>
          <cell r="Q356">
            <v>0</v>
          </cell>
          <cell r="R356">
            <v>0</v>
          </cell>
        </row>
        <row r="357">
          <cell r="B357" t="str">
            <v>242990</v>
          </cell>
          <cell r="E357">
            <v>7083.2</v>
          </cell>
          <cell r="F357">
            <v>1567.0999938964844</v>
          </cell>
          <cell r="G357">
            <v>0</v>
          </cell>
          <cell r="H357">
            <v>0</v>
          </cell>
          <cell r="I357">
            <v>0</v>
          </cell>
          <cell r="J357">
            <v>0</v>
          </cell>
          <cell r="K357">
            <v>0</v>
          </cell>
          <cell r="L357">
            <v>0</v>
          </cell>
          <cell r="M357">
            <v>3858.9414431293999</v>
          </cell>
          <cell r="N357">
            <v>1699.9539129874399</v>
          </cell>
          <cell r="O357">
            <v>6301.7844264771311</v>
          </cell>
          <cell r="P357">
            <v>2085.0099407334988</v>
          </cell>
          <cell r="Q357">
            <v>0</v>
          </cell>
          <cell r="R357">
            <v>0</v>
          </cell>
        </row>
        <row r="358">
          <cell r="B358" t="str">
            <v>242975</v>
          </cell>
          <cell r="E358">
            <v>6347.7</v>
          </cell>
          <cell r="F358">
            <v>1256.3</v>
          </cell>
          <cell r="G358">
            <v>0</v>
          </cell>
          <cell r="H358">
            <v>0</v>
          </cell>
          <cell r="I358">
            <v>0</v>
          </cell>
          <cell r="J358">
            <v>0</v>
          </cell>
          <cell r="K358">
            <v>0</v>
          </cell>
          <cell r="L358">
            <v>0</v>
          </cell>
          <cell r="M358">
            <v>3296.6244751201921</v>
          </cell>
          <cell r="N358">
            <v>1550.7883922956737</v>
          </cell>
          <cell r="O358">
            <v>5163.7621777037211</v>
          </cell>
          <cell r="P358">
            <v>1740.7626974697737</v>
          </cell>
          <cell r="Q358">
            <v>0</v>
          </cell>
          <cell r="R358">
            <v>0</v>
          </cell>
        </row>
        <row r="359">
          <cell r="B359" t="str">
            <v>242960</v>
          </cell>
          <cell r="E359">
            <v>6434.5</v>
          </cell>
          <cell r="F359">
            <v>1421</v>
          </cell>
          <cell r="G359">
            <v>0</v>
          </cell>
          <cell r="H359">
            <v>0</v>
          </cell>
          <cell r="I359">
            <v>0</v>
          </cell>
          <cell r="J359">
            <v>0</v>
          </cell>
          <cell r="K359">
            <v>0</v>
          </cell>
          <cell r="L359">
            <v>0</v>
          </cell>
          <cell r="M359">
            <v>3414.0925231737956</v>
          </cell>
          <cell r="N359">
            <v>1697.2553540136475</v>
          </cell>
          <cell r="O359">
            <v>5298.3131451384952</v>
          </cell>
          <cell r="P359">
            <v>1909.4412218459904</v>
          </cell>
          <cell r="Q359">
            <v>0</v>
          </cell>
          <cell r="R359">
            <v>0</v>
          </cell>
        </row>
        <row r="360">
          <cell r="B360" t="str">
            <v>242945</v>
          </cell>
          <cell r="E360">
            <v>6514.7</v>
          </cell>
          <cell r="F360">
            <v>1567.7000488281251</v>
          </cell>
          <cell r="G360">
            <v>0</v>
          </cell>
          <cell r="H360">
            <v>0</v>
          </cell>
          <cell r="I360">
            <v>0</v>
          </cell>
          <cell r="J360">
            <v>0</v>
          </cell>
          <cell r="K360">
            <v>0</v>
          </cell>
          <cell r="L360">
            <v>0</v>
          </cell>
          <cell r="M360">
            <v>3344.9759121475226</v>
          </cell>
          <cell r="N360">
            <v>1998.0429970630696</v>
          </cell>
          <cell r="O360">
            <v>5482.0100309095324</v>
          </cell>
          <cell r="P360">
            <v>2069.2996844001718</v>
          </cell>
          <cell r="Q360">
            <v>0</v>
          </cell>
          <cell r="R360">
            <v>0</v>
          </cell>
        </row>
        <row r="361">
          <cell r="B361" t="str">
            <v>242930</v>
          </cell>
          <cell r="E361">
            <v>7206.04739145043</v>
          </cell>
          <cell r="F361">
            <v>2271.936090967065</v>
          </cell>
          <cell r="G361">
            <v>6580.3</v>
          </cell>
          <cell r="H361">
            <v>1535.5</v>
          </cell>
          <cell r="I361">
            <v>0</v>
          </cell>
          <cell r="J361">
            <v>0</v>
          </cell>
          <cell r="K361">
            <v>0</v>
          </cell>
          <cell r="L361">
            <v>0</v>
          </cell>
          <cell r="M361">
            <v>3518.3571672536723</v>
          </cell>
          <cell r="N361">
            <v>2137.6425401568149</v>
          </cell>
          <cell r="O361">
            <v>5653.7786532432201</v>
          </cell>
          <cell r="P361">
            <v>2219.2801199950709</v>
          </cell>
          <cell r="Q361">
            <v>0</v>
          </cell>
          <cell r="R361">
            <v>0</v>
          </cell>
        </row>
        <row r="362">
          <cell r="B362" t="str">
            <v>242915</v>
          </cell>
          <cell r="E362">
            <v>6165.8996093750002</v>
          </cell>
          <cell r="F362">
            <v>1403.7</v>
          </cell>
          <cell r="G362">
            <v>6389.7996093749998</v>
          </cell>
          <cell r="H362">
            <v>1570.3</v>
          </cell>
          <cell r="I362">
            <v>0</v>
          </cell>
          <cell r="J362">
            <v>0</v>
          </cell>
          <cell r="K362">
            <v>0</v>
          </cell>
          <cell r="L362">
            <v>0</v>
          </cell>
          <cell r="M362">
            <v>3952.2616970595891</v>
          </cell>
          <cell r="N362">
            <v>2314.7794990671614</v>
          </cell>
          <cell r="O362">
            <v>3479.4</v>
          </cell>
          <cell r="P362">
            <v>1763.4</v>
          </cell>
          <cell r="Q362">
            <v>0</v>
          </cell>
          <cell r="R362">
            <v>0</v>
          </cell>
        </row>
        <row r="363">
          <cell r="B363" t="str">
            <v>242900</v>
          </cell>
          <cell r="E363">
            <v>6242</v>
          </cell>
          <cell r="F363">
            <v>1660.1</v>
          </cell>
          <cell r="G363">
            <v>6465.9</v>
          </cell>
          <cell r="H363">
            <v>1826.6999992370606</v>
          </cell>
          <cell r="I363">
            <v>0</v>
          </cell>
          <cell r="J363">
            <v>0</v>
          </cell>
          <cell r="K363">
            <v>0</v>
          </cell>
          <cell r="L363">
            <v>0</v>
          </cell>
          <cell r="M363">
            <v>4672.7</v>
          </cell>
          <cell r="N363">
            <v>2528.2000976562499</v>
          </cell>
          <cell r="O363">
            <v>3624.7</v>
          </cell>
          <cell r="P363">
            <v>2019.8</v>
          </cell>
          <cell r="Q363">
            <v>0</v>
          </cell>
          <cell r="R363">
            <v>0</v>
          </cell>
        </row>
        <row r="364">
          <cell r="B364" t="str">
            <v>242885</v>
          </cell>
          <cell r="E364">
            <v>6378.8</v>
          </cell>
          <cell r="F364">
            <v>1812.2999992370605</v>
          </cell>
          <cell r="G364">
            <v>6602.7</v>
          </cell>
          <cell r="H364">
            <v>1978.9000488281249</v>
          </cell>
          <cell r="I364">
            <v>0</v>
          </cell>
          <cell r="J364">
            <v>0</v>
          </cell>
          <cell r="K364">
            <v>0</v>
          </cell>
          <cell r="L364">
            <v>0</v>
          </cell>
          <cell r="M364">
            <v>4809.5</v>
          </cell>
          <cell r="N364">
            <v>2680.4</v>
          </cell>
          <cell r="O364">
            <v>3825.8</v>
          </cell>
          <cell r="P364">
            <v>2172</v>
          </cell>
          <cell r="Q364">
            <v>0</v>
          </cell>
          <cell r="R364">
            <v>0</v>
          </cell>
        </row>
        <row r="365">
          <cell r="B365" t="str">
            <v>242870</v>
          </cell>
          <cell r="E365">
            <v>8390.6</v>
          </cell>
          <cell r="F365">
            <v>3772.1000122070313</v>
          </cell>
          <cell r="G365">
            <v>8614.5</v>
          </cell>
          <cell r="H365">
            <v>3938.7</v>
          </cell>
          <cell r="I365">
            <v>9727.5</v>
          </cell>
          <cell r="J365">
            <v>5051.7</v>
          </cell>
          <cell r="K365">
            <v>9727.5</v>
          </cell>
          <cell r="L365">
            <v>5051.7</v>
          </cell>
          <cell r="M365">
            <v>6821.2</v>
          </cell>
          <cell r="N365">
            <v>4640.2</v>
          </cell>
          <cell r="O365">
            <v>5837.4996093749996</v>
          </cell>
          <cell r="P365">
            <v>4131.8</v>
          </cell>
          <cell r="Q365">
            <v>0</v>
          </cell>
          <cell r="R365">
            <v>0</v>
          </cell>
        </row>
        <row r="366">
          <cell r="B366" t="str">
            <v>242855</v>
          </cell>
          <cell r="E366">
            <v>8615.5622712770801</v>
          </cell>
          <cell r="F366">
            <v>3985.2477086536001</v>
          </cell>
          <cell r="G366">
            <v>8841.7623728694507</v>
          </cell>
          <cell r="H366">
            <v>4171.9763530653699</v>
          </cell>
          <cell r="I366">
            <v>8760.278879604999</v>
          </cell>
          <cell r="J366">
            <v>4650.7791822544186</v>
          </cell>
          <cell r="K366">
            <v>9954.8623631874998</v>
          </cell>
          <cell r="L366">
            <v>5284.9763434709303</v>
          </cell>
          <cell r="M366">
            <v>6126.2080000000005</v>
          </cell>
          <cell r="N366">
            <v>4212.8240000000005</v>
          </cell>
          <cell r="O366">
            <v>5260.5517543688211</v>
          </cell>
          <cell r="P366">
            <v>3765.4319999999998</v>
          </cell>
          <cell r="Q366">
            <v>0</v>
          </cell>
          <cell r="R366">
            <v>0</v>
          </cell>
        </row>
        <row r="367">
          <cell r="B367" t="str">
            <v>242840</v>
          </cell>
          <cell r="E367">
            <v>8871.5</v>
          </cell>
          <cell r="F367">
            <v>4167.6000000000004</v>
          </cell>
          <cell r="G367">
            <v>9097.7000000000007</v>
          </cell>
          <cell r="H367">
            <v>4354.3</v>
          </cell>
          <cell r="I367">
            <v>8985.503999999999</v>
          </cell>
          <cell r="J367">
            <v>4811.2240000000002</v>
          </cell>
          <cell r="K367">
            <v>8985.503999999999</v>
          </cell>
          <cell r="L367">
            <v>4811.2240000000002</v>
          </cell>
          <cell r="M367">
            <v>6320.8640000000005</v>
          </cell>
          <cell r="N367">
            <v>4342.9760859375001</v>
          </cell>
          <cell r="O367">
            <v>6199.1</v>
          </cell>
          <cell r="P367">
            <v>4426.8</v>
          </cell>
          <cell r="Q367">
            <v>0</v>
          </cell>
          <cell r="R367">
            <v>0</v>
          </cell>
        </row>
        <row r="368">
          <cell r="B368" t="str">
            <v>242825</v>
          </cell>
          <cell r="E368">
            <v>9133.7000000000007</v>
          </cell>
          <cell r="F368">
            <v>4341.7998046875</v>
          </cell>
          <cell r="G368">
            <v>9357.6</v>
          </cell>
          <cell r="H368">
            <v>4508.3997802734375</v>
          </cell>
          <cell r="I368">
            <v>9423.630000000001</v>
          </cell>
          <cell r="J368">
            <v>5059.26</v>
          </cell>
          <cell r="K368">
            <v>9423.630000000001</v>
          </cell>
          <cell r="L368">
            <v>5059.26</v>
          </cell>
          <cell r="M368">
            <v>6698.43</v>
          </cell>
          <cell r="N368">
            <v>4580.37</v>
          </cell>
          <cell r="O368">
            <v>6459.0003906250004</v>
          </cell>
          <cell r="P368">
            <v>4580.8999999999996</v>
          </cell>
          <cell r="Q368">
            <v>0</v>
          </cell>
          <cell r="R368">
            <v>0</v>
          </cell>
        </row>
        <row r="369">
          <cell r="B369" t="str">
            <v>242810</v>
          </cell>
          <cell r="E369">
            <v>9280.9</v>
          </cell>
          <cell r="F369">
            <v>4623.2</v>
          </cell>
          <cell r="G369">
            <v>8554.32</v>
          </cell>
          <cell r="H369">
            <v>4310.8200219726541</v>
          </cell>
          <cell r="I369">
            <v>9585.9588967406999</v>
          </cell>
          <cell r="J369">
            <v>5323.1138428446093</v>
          </cell>
          <cell r="K369">
            <v>9585.9588967406999</v>
          </cell>
          <cell r="L369">
            <v>5323.1138428446093</v>
          </cell>
          <cell r="M369">
            <v>6830.91</v>
          </cell>
          <cell r="N369">
            <v>4833.6298242187495</v>
          </cell>
          <cell r="O369">
            <v>6606.2</v>
          </cell>
          <cell r="P369">
            <v>4862.3000976562498</v>
          </cell>
          <cell r="Q369">
            <v>13296</v>
          </cell>
          <cell r="R369">
            <v>6853.2998046875</v>
          </cell>
        </row>
        <row r="370">
          <cell r="B370" t="str">
            <v>242795</v>
          </cell>
          <cell r="E370">
            <v>9171.7000000000007</v>
          </cell>
          <cell r="F370">
            <v>4827.6000000000004</v>
          </cell>
          <cell r="G370">
            <v>8456.0400000000009</v>
          </cell>
          <cell r="H370">
            <v>4494.78</v>
          </cell>
          <cell r="I370">
            <v>9623.0757101286599</v>
          </cell>
          <cell r="J370">
            <v>5555.1283920134738</v>
          </cell>
          <cell r="K370">
            <v>9623.0757101286599</v>
          </cell>
          <cell r="L370">
            <v>5555.1283920134738</v>
          </cell>
          <cell r="M370">
            <v>6732.63</v>
          </cell>
          <cell r="N370">
            <v>5017.59</v>
          </cell>
          <cell r="O370">
            <v>6497</v>
          </cell>
          <cell r="P370">
            <v>5066.7</v>
          </cell>
          <cell r="Q370">
            <v>13186.8</v>
          </cell>
          <cell r="R370">
            <v>7057.699951171875</v>
          </cell>
        </row>
        <row r="371">
          <cell r="B371" t="str">
            <v>242780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row>
        <row r="372">
          <cell r="B372" t="str">
            <v>00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row>
        <row r="373">
          <cell r="B373" t="str">
            <v>00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row>
        <row r="374">
          <cell r="B374" t="str">
            <v>252825</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row>
        <row r="375">
          <cell r="B375" t="str">
            <v>252810</v>
          </cell>
          <cell r="E375">
            <v>2773.5</v>
          </cell>
          <cell r="F375">
            <v>1983.6</v>
          </cell>
          <cell r="G375">
            <v>0</v>
          </cell>
          <cell r="H375">
            <v>0</v>
          </cell>
          <cell r="I375">
            <v>0</v>
          </cell>
          <cell r="J375">
            <v>0</v>
          </cell>
          <cell r="K375">
            <v>0</v>
          </cell>
          <cell r="L375">
            <v>0</v>
          </cell>
          <cell r="M375">
            <v>6986.7</v>
          </cell>
          <cell r="N375">
            <v>3564.2000976562499</v>
          </cell>
          <cell r="O375">
            <v>5112.7</v>
          </cell>
          <cell r="P375">
            <v>2774.4</v>
          </cell>
          <cell r="Q375">
            <v>0</v>
          </cell>
          <cell r="R375">
            <v>0</v>
          </cell>
        </row>
        <row r="376">
          <cell r="B376" t="str">
            <v>252795</v>
          </cell>
          <cell r="E376">
            <v>2988.9001953124998</v>
          </cell>
          <cell r="F376">
            <v>2184.8000030517578</v>
          </cell>
          <cell r="G376">
            <v>0</v>
          </cell>
          <cell r="H376">
            <v>0</v>
          </cell>
          <cell r="I376">
            <v>5736.3</v>
          </cell>
          <cell r="J376">
            <v>3645.3</v>
          </cell>
          <cell r="K376">
            <v>5736.3</v>
          </cell>
          <cell r="L376">
            <v>3645.3</v>
          </cell>
          <cell r="M376">
            <v>7202.1</v>
          </cell>
          <cell r="N376">
            <v>3765.3998901367186</v>
          </cell>
          <cell r="O376">
            <v>5328.1</v>
          </cell>
          <cell r="P376">
            <v>2975.6000488281252</v>
          </cell>
          <cell r="Q376">
            <v>5736.3</v>
          </cell>
          <cell r="R376">
            <v>3645.3</v>
          </cell>
        </row>
        <row r="377">
          <cell r="B377" t="str">
            <v>252780</v>
          </cell>
          <cell r="E377">
            <v>3369</v>
          </cell>
          <cell r="F377">
            <v>2335.1001953125001</v>
          </cell>
          <cell r="G377">
            <v>0</v>
          </cell>
          <cell r="H377">
            <v>0</v>
          </cell>
          <cell r="I377">
            <v>6116.4</v>
          </cell>
          <cell r="J377">
            <v>3795.60009765625</v>
          </cell>
          <cell r="K377">
            <v>6116.4</v>
          </cell>
          <cell r="L377">
            <v>3795.60009765625</v>
          </cell>
          <cell r="M377">
            <v>7582.2</v>
          </cell>
          <cell r="N377">
            <v>3915.7000122070313</v>
          </cell>
          <cell r="O377">
            <v>0</v>
          </cell>
          <cell r="P377">
            <v>0</v>
          </cell>
          <cell r="Q377">
            <v>6116.4</v>
          </cell>
          <cell r="R377">
            <v>3795.60009765625</v>
          </cell>
        </row>
        <row r="378">
          <cell r="B378" t="str">
            <v>252765</v>
          </cell>
          <cell r="E378">
            <v>3387.3</v>
          </cell>
          <cell r="F378">
            <v>2531.8000000000002</v>
          </cell>
          <cell r="G378">
            <v>3968.9</v>
          </cell>
          <cell r="H378">
            <v>2597.8000000000002</v>
          </cell>
          <cell r="I378">
            <v>6129.6</v>
          </cell>
          <cell r="J378">
            <v>3992.3000976562498</v>
          </cell>
          <cell r="K378">
            <v>6129.6</v>
          </cell>
          <cell r="L378">
            <v>3992.3000976562498</v>
          </cell>
          <cell r="M378">
            <v>7595.4</v>
          </cell>
          <cell r="N378">
            <v>4112.3999999999996</v>
          </cell>
          <cell r="O378">
            <v>5721.400390625</v>
          </cell>
          <cell r="P378">
            <v>3322.6</v>
          </cell>
          <cell r="Q378">
            <v>6129.6</v>
          </cell>
          <cell r="R378">
            <v>3992.3000976562498</v>
          </cell>
        </row>
        <row r="379">
          <cell r="B379" t="str">
            <v>252750</v>
          </cell>
          <cell r="E379">
            <v>3345.5</v>
          </cell>
          <cell r="F379">
            <v>2700.5998046875002</v>
          </cell>
          <cell r="G379">
            <v>0</v>
          </cell>
          <cell r="H379">
            <v>0</v>
          </cell>
          <cell r="I379">
            <v>6093</v>
          </cell>
          <cell r="J379">
            <v>4161.0999053955074</v>
          </cell>
          <cell r="K379">
            <v>6093</v>
          </cell>
          <cell r="L379">
            <v>4161.0999053955074</v>
          </cell>
          <cell r="M379">
            <v>7558.7</v>
          </cell>
          <cell r="N379">
            <v>4281.2</v>
          </cell>
          <cell r="O379">
            <v>5684.7</v>
          </cell>
          <cell r="P379">
            <v>3491.4</v>
          </cell>
          <cell r="Q379">
            <v>6093</v>
          </cell>
          <cell r="R379">
            <v>4161.0999053955074</v>
          </cell>
        </row>
        <row r="380">
          <cell r="B380" t="str">
            <v>252735</v>
          </cell>
          <cell r="E380">
            <v>3484.4</v>
          </cell>
          <cell r="F380">
            <v>2862.2000030517574</v>
          </cell>
          <cell r="G380">
            <v>0</v>
          </cell>
          <cell r="H380">
            <v>0</v>
          </cell>
          <cell r="I380">
            <v>6231.8</v>
          </cell>
          <cell r="J380">
            <v>4322.7</v>
          </cell>
          <cell r="K380">
            <v>6231.8</v>
          </cell>
          <cell r="L380">
            <v>4322.7</v>
          </cell>
          <cell r="M380">
            <v>7697.6</v>
          </cell>
          <cell r="N380">
            <v>4442.8</v>
          </cell>
          <cell r="O380">
            <v>0</v>
          </cell>
          <cell r="P380">
            <v>0</v>
          </cell>
          <cell r="Q380">
            <v>6231.8</v>
          </cell>
          <cell r="R380">
            <v>4322.7</v>
          </cell>
        </row>
        <row r="381">
          <cell r="B381" t="str">
            <v>252720</v>
          </cell>
          <cell r="E381">
            <v>4305</v>
          </cell>
          <cell r="F381">
            <v>3140.6</v>
          </cell>
          <cell r="G381">
            <v>6782.5</v>
          </cell>
          <cell r="H381">
            <v>3599.0001953125002</v>
          </cell>
          <cell r="I381">
            <v>7166.8</v>
          </cell>
          <cell r="J381">
            <v>4624.9000976562502</v>
          </cell>
          <cell r="K381">
            <v>7166.8</v>
          </cell>
          <cell r="L381">
            <v>4624.9000976562502</v>
          </cell>
          <cell r="M381">
            <v>8632.6</v>
          </cell>
          <cell r="N381">
            <v>4745</v>
          </cell>
          <cell r="O381">
            <v>6758.6</v>
          </cell>
          <cell r="P381">
            <v>3955.2</v>
          </cell>
          <cell r="Q381">
            <v>7166.8</v>
          </cell>
          <cell r="R381">
            <v>4624.9000976562502</v>
          </cell>
        </row>
        <row r="382">
          <cell r="B382" t="str">
            <v>252705</v>
          </cell>
          <cell r="E382">
            <v>4735.9984934601835</v>
          </cell>
          <cell r="F382">
            <v>3301.6000003052045</v>
          </cell>
          <cell r="G382">
            <v>5454.7717400853362</v>
          </cell>
          <cell r="H382">
            <v>3367.6</v>
          </cell>
          <cell r="I382">
            <v>7530.7</v>
          </cell>
          <cell r="J382">
            <v>4762.0999029670265</v>
          </cell>
          <cell r="K382">
            <v>7530.7</v>
          </cell>
          <cell r="L382">
            <v>4762.0999029670265</v>
          </cell>
          <cell r="M382">
            <v>8891.6070570054835</v>
          </cell>
          <cell r="N382">
            <v>4974.1872667622056</v>
          </cell>
          <cell r="O382">
            <v>6778.3</v>
          </cell>
          <cell r="P382">
            <v>4223.1000089384415</v>
          </cell>
          <cell r="Q382">
            <v>7530.7</v>
          </cell>
          <cell r="R382">
            <v>4762.0999029670265</v>
          </cell>
        </row>
        <row r="383">
          <cell r="B383" t="str">
            <v>252690</v>
          </cell>
          <cell r="E383">
            <v>4919</v>
          </cell>
          <cell r="F383">
            <v>3464.7998016357424</v>
          </cell>
          <cell r="G383">
            <v>5336.7</v>
          </cell>
          <cell r="H383">
            <v>3530.8</v>
          </cell>
          <cell r="I383">
            <v>6860.25</v>
          </cell>
          <cell r="J383">
            <v>4432.7699121093747</v>
          </cell>
          <cell r="K383">
            <v>6860.25</v>
          </cell>
          <cell r="L383">
            <v>4432.7699121093747</v>
          </cell>
          <cell r="M383">
            <v>7663.7707031250002</v>
          </cell>
          <cell r="N383">
            <v>4993.1098132324232</v>
          </cell>
          <cell r="O383">
            <v>6870.1</v>
          </cell>
          <cell r="P383">
            <v>4386.2999511718754</v>
          </cell>
          <cell r="Q383">
            <v>7622.5</v>
          </cell>
          <cell r="R383">
            <v>4925.2999023437496</v>
          </cell>
        </row>
        <row r="384">
          <cell r="B384" t="str">
            <v>252675</v>
          </cell>
          <cell r="E384">
            <v>4960.0408707530923</v>
          </cell>
          <cell r="F384">
            <v>3625.9000084029576</v>
          </cell>
          <cell r="G384">
            <v>5463.1</v>
          </cell>
          <cell r="H384">
            <v>3691.9</v>
          </cell>
          <cell r="I384">
            <v>7112.9326545241474</v>
          </cell>
          <cell r="J384">
            <v>4967.3442425739568</v>
          </cell>
          <cell r="K384">
            <v>7112.9326545241474</v>
          </cell>
          <cell r="L384">
            <v>4967.3442425739568</v>
          </cell>
          <cell r="M384">
            <v>7720.11</v>
          </cell>
          <cell r="N384">
            <v>5138.1000000000004</v>
          </cell>
          <cell r="O384">
            <v>6932.7</v>
          </cell>
          <cell r="P384">
            <v>4547.4000432585008</v>
          </cell>
          <cell r="Q384">
            <v>7903.2585050268344</v>
          </cell>
          <cell r="R384">
            <v>5519.2713806377315</v>
          </cell>
        </row>
        <row r="385">
          <cell r="B385" t="str">
            <v>252660</v>
          </cell>
          <cell r="E385">
            <v>5128</v>
          </cell>
          <cell r="F385">
            <v>3795.2999969482421</v>
          </cell>
          <cell r="G385">
            <v>0</v>
          </cell>
          <cell r="H385">
            <v>0</v>
          </cell>
          <cell r="I385">
            <v>8101.2992187500004</v>
          </cell>
          <cell r="J385">
            <v>5703.8</v>
          </cell>
          <cell r="K385">
            <v>8101.2992187500004</v>
          </cell>
          <cell r="L385">
            <v>5703.8</v>
          </cell>
          <cell r="M385">
            <v>8768.2999999999993</v>
          </cell>
          <cell r="N385">
            <v>5878.4000030517582</v>
          </cell>
          <cell r="O385">
            <v>7123.1</v>
          </cell>
          <cell r="P385">
            <v>4716.7999969482426</v>
          </cell>
          <cell r="Q385">
            <v>8101.2992187500004</v>
          </cell>
          <cell r="R385">
            <v>5703.8</v>
          </cell>
        </row>
        <row r="386">
          <cell r="B386" t="str">
            <v>252645</v>
          </cell>
          <cell r="E386">
            <v>5168.5</v>
          </cell>
          <cell r="F386">
            <v>3955.6</v>
          </cell>
          <cell r="G386">
            <v>0</v>
          </cell>
          <cell r="H386">
            <v>0</v>
          </cell>
          <cell r="I386">
            <v>8141.8</v>
          </cell>
          <cell r="J386">
            <v>5864.1</v>
          </cell>
          <cell r="K386">
            <v>8141.8</v>
          </cell>
          <cell r="L386">
            <v>5864.1</v>
          </cell>
          <cell r="M386">
            <v>8944.6</v>
          </cell>
          <cell r="N386">
            <v>6038.7000030517574</v>
          </cell>
          <cell r="O386">
            <v>7163.6</v>
          </cell>
          <cell r="P386">
            <v>4877.0999969482427</v>
          </cell>
          <cell r="Q386">
            <v>8141.8</v>
          </cell>
          <cell r="R386">
            <v>5864.1</v>
          </cell>
        </row>
        <row r="387">
          <cell r="B387" t="str">
            <v>252630</v>
          </cell>
          <cell r="E387">
            <v>5189.2</v>
          </cell>
          <cell r="F387">
            <v>4202.1000000000004</v>
          </cell>
          <cell r="G387">
            <v>0</v>
          </cell>
          <cell r="H387">
            <v>0</v>
          </cell>
          <cell r="I387">
            <v>8162.5</v>
          </cell>
          <cell r="J387">
            <v>6110.6</v>
          </cell>
          <cell r="K387">
            <v>8162.5</v>
          </cell>
          <cell r="L387">
            <v>6110.6</v>
          </cell>
          <cell r="M387">
            <v>9001.5</v>
          </cell>
          <cell r="N387">
            <v>6285.2</v>
          </cell>
          <cell r="O387">
            <v>0</v>
          </cell>
          <cell r="P387">
            <v>0</v>
          </cell>
          <cell r="Q387">
            <v>8162.5</v>
          </cell>
          <cell r="R387">
            <v>6110.6</v>
          </cell>
        </row>
        <row r="388">
          <cell r="B388" t="str">
            <v>252615</v>
          </cell>
          <cell r="E388">
            <v>5254.5</v>
          </cell>
          <cell r="F388">
            <v>4355.6999969482422</v>
          </cell>
          <cell r="G388">
            <v>0</v>
          </cell>
          <cell r="H388">
            <v>0</v>
          </cell>
          <cell r="I388">
            <v>8130.9</v>
          </cell>
          <cell r="J388">
            <v>6264.200197601318</v>
          </cell>
          <cell r="K388">
            <v>8130.9</v>
          </cell>
          <cell r="L388">
            <v>6264.200197601318</v>
          </cell>
          <cell r="M388">
            <v>9066.7992187500004</v>
          </cell>
          <cell r="N388">
            <v>6438.8</v>
          </cell>
          <cell r="O388">
            <v>7249.6</v>
          </cell>
          <cell r="P388">
            <v>5277.1999969482422</v>
          </cell>
          <cell r="Q388">
            <v>8130.9</v>
          </cell>
          <cell r="R388">
            <v>6264.200197601318</v>
          </cell>
        </row>
        <row r="389">
          <cell r="B389" t="str">
            <v>252600</v>
          </cell>
          <cell r="E389">
            <v>5417.7</v>
          </cell>
          <cell r="F389">
            <v>4525.8</v>
          </cell>
          <cell r="G389">
            <v>0</v>
          </cell>
          <cell r="H389">
            <v>0</v>
          </cell>
          <cell r="I389">
            <v>8277.7000000000007</v>
          </cell>
          <cell r="J389">
            <v>6434.2999969482426</v>
          </cell>
          <cell r="K389">
            <v>8277.7000000000007</v>
          </cell>
          <cell r="L389">
            <v>6434.2999969482426</v>
          </cell>
          <cell r="M389">
            <v>9230</v>
          </cell>
          <cell r="N389">
            <v>6608.900390625</v>
          </cell>
          <cell r="O389">
            <v>0</v>
          </cell>
          <cell r="P389">
            <v>0</v>
          </cell>
          <cell r="Q389">
            <v>8277.7000000000007</v>
          </cell>
          <cell r="R389">
            <v>6434.2999969482426</v>
          </cell>
        </row>
        <row r="390">
          <cell r="B390" t="str">
            <v>252585</v>
          </cell>
          <cell r="E390">
            <v>5401.7</v>
          </cell>
          <cell r="F390">
            <v>4702.3</v>
          </cell>
          <cell r="G390">
            <v>0</v>
          </cell>
          <cell r="H390">
            <v>0</v>
          </cell>
          <cell r="I390">
            <v>8261.7000000000007</v>
          </cell>
          <cell r="J390">
            <v>6610.8</v>
          </cell>
          <cell r="K390">
            <v>8261.7000000000007</v>
          </cell>
          <cell r="L390">
            <v>6610.8</v>
          </cell>
          <cell r="M390">
            <v>9214.0007812500007</v>
          </cell>
          <cell r="N390">
            <v>6785.4</v>
          </cell>
          <cell r="O390">
            <v>0</v>
          </cell>
          <cell r="P390">
            <v>0</v>
          </cell>
          <cell r="Q390">
            <v>8261.7000000000007</v>
          </cell>
          <cell r="R390">
            <v>6610.8</v>
          </cell>
        </row>
        <row r="391">
          <cell r="B391" t="str">
            <v>252570</v>
          </cell>
          <cell r="E391">
            <v>5473</v>
          </cell>
          <cell r="F391">
            <v>4869.2</v>
          </cell>
          <cell r="G391">
            <v>0</v>
          </cell>
          <cell r="H391">
            <v>0</v>
          </cell>
          <cell r="I391">
            <v>8332.9</v>
          </cell>
          <cell r="J391">
            <v>6777.7</v>
          </cell>
          <cell r="K391">
            <v>8332.9</v>
          </cell>
          <cell r="L391">
            <v>6777.7</v>
          </cell>
          <cell r="M391">
            <v>9285.2992187500004</v>
          </cell>
          <cell r="N391">
            <v>6952.3000122070316</v>
          </cell>
          <cell r="O391">
            <v>0</v>
          </cell>
          <cell r="P391">
            <v>0</v>
          </cell>
          <cell r="Q391">
            <v>8332.9</v>
          </cell>
          <cell r="R391">
            <v>6777.7</v>
          </cell>
        </row>
        <row r="392">
          <cell r="B392" t="str">
            <v>252555</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row>
        <row r="393">
          <cell r="B393" t="str">
            <v>252540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row>
        <row r="394">
          <cell r="B394" t="str">
            <v>00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row>
        <row r="395">
          <cell r="B395" t="str">
            <v>00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row>
        <row r="396">
          <cell r="B396" t="str">
            <v>00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row>
        <row r="397">
          <cell r="B397" t="str">
            <v>263020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row>
        <row r="398">
          <cell r="B398" t="str">
            <v>263005</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row>
        <row r="399">
          <cell r="B399" t="str">
            <v>262990</v>
          </cell>
          <cell r="E399">
            <v>0</v>
          </cell>
          <cell r="F399">
            <v>0</v>
          </cell>
          <cell r="G399">
            <v>0</v>
          </cell>
          <cell r="H399">
            <v>0</v>
          </cell>
          <cell r="I399">
            <v>0</v>
          </cell>
          <cell r="J399">
            <v>0</v>
          </cell>
          <cell r="K399">
            <v>0</v>
          </cell>
          <cell r="L399">
            <v>0</v>
          </cell>
          <cell r="M399">
            <v>5009.5</v>
          </cell>
          <cell r="N399">
            <v>1734.9999969482421</v>
          </cell>
          <cell r="O399">
            <v>0</v>
          </cell>
          <cell r="P399">
            <v>0</v>
          </cell>
          <cell r="Q399">
            <v>0</v>
          </cell>
          <cell r="R399">
            <v>0</v>
          </cell>
        </row>
        <row r="400">
          <cell r="B400" t="str">
            <v>262975</v>
          </cell>
          <cell r="E400">
            <v>0</v>
          </cell>
          <cell r="F400">
            <v>0</v>
          </cell>
          <cell r="G400">
            <v>0</v>
          </cell>
          <cell r="H400">
            <v>0</v>
          </cell>
          <cell r="I400">
            <v>0</v>
          </cell>
          <cell r="J400">
            <v>0</v>
          </cell>
          <cell r="K400">
            <v>0</v>
          </cell>
          <cell r="L400">
            <v>0</v>
          </cell>
          <cell r="M400">
            <v>4565.0340169327292</v>
          </cell>
          <cell r="N400">
            <v>1759.7716001812125</v>
          </cell>
          <cell r="O400">
            <v>0</v>
          </cell>
          <cell r="P400">
            <v>0</v>
          </cell>
          <cell r="Q400">
            <v>0</v>
          </cell>
          <cell r="R400">
            <v>0</v>
          </cell>
        </row>
        <row r="401">
          <cell r="B401" t="str">
            <v>262960</v>
          </cell>
          <cell r="E401">
            <v>0</v>
          </cell>
          <cell r="F401">
            <v>0</v>
          </cell>
          <cell r="G401">
            <v>0</v>
          </cell>
          <cell r="H401">
            <v>0</v>
          </cell>
          <cell r="I401">
            <v>0</v>
          </cell>
          <cell r="J401">
            <v>0</v>
          </cell>
          <cell r="K401">
            <v>0</v>
          </cell>
          <cell r="L401">
            <v>0</v>
          </cell>
          <cell r="M401">
            <v>5021.8999999999996</v>
          </cell>
          <cell r="N401">
            <v>1983.9</v>
          </cell>
          <cell r="O401">
            <v>0</v>
          </cell>
          <cell r="P401">
            <v>0</v>
          </cell>
          <cell r="Q401">
            <v>0</v>
          </cell>
          <cell r="R401">
            <v>0</v>
          </cell>
        </row>
        <row r="402">
          <cell r="B402" t="str">
            <v>262945</v>
          </cell>
          <cell r="E402">
            <v>0</v>
          </cell>
          <cell r="F402">
            <v>0</v>
          </cell>
          <cell r="G402">
            <v>0</v>
          </cell>
          <cell r="H402">
            <v>0</v>
          </cell>
          <cell r="I402">
            <v>0</v>
          </cell>
          <cell r="J402">
            <v>0</v>
          </cell>
          <cell r="K402">
            <v>0</v>
          </cell>
          <cell r="L402">
            <v>0</v>
          </cell>
          <cell r="M402">
            <v>5118.5</v>
          </cell>
          <cell r="N402">
            <v>2175.1</v>
          </cell>
          <cell r="O402">
            <v>0</v>
          </cell>
          <cell r="P402">
            <v>0</v>
          </cell>
          <cell r="Q402">
            <v>0</v>
          </cell>
          <cell r="R402">
            <v>0</v>
          </cell>
        </row>
        <row r="403">
          <cell r="B403" t="str">
            <v>262930</v>
          </cell>
          <cell r="E403">
            <v>0</v>
          </cell>
          <cell r="F403">
            <v>0</v>
          </cell>
          <cell r="G403">
            <v>0</v>
          </cell>
          <cell r="H403">
            <v>0</v>
          </cell>
          <cell r="I403">
            <v>0</v>
          </cell>
          <cell r="J403">
            <v>0</v>
          </cell>
          <cell r="K403">
            <v>0</v>
          </cell>
          <cell r="L403">
            <v>0</v>
          </cell>
          <cell r="M403">
            <v>5220.2</v>
          </cell>
          <cell r="N403">
            <v>2314.6</v>
          </cell>
          <cell r="O403">
            <v>0</v>
          </cell>
          <cell r="P403">
            <v>0</v>
          </cell>
          <cell r="Q403">
            <v>0</v>
          </cell>
          <cell r="R403">
            <v>0</v>
          </cell>
        </row>
        <row r="404">
          <cell r="B404" t="str">
            <v>262915</v>
          </cell>
          <cell r="E404">
            <v>4412.2003906250002</v>
          </cell>
          <cell r="F404">
            <v>1211.7999511718749</v>
          </cell>
          <cell r="G404">
            <v>0</v>
          </cell>
          <cell r="H404">
            <v>0</v>
          </cell>
          <cell r="I404">
            <v>0</v>
          </cell>
          <cell r="J404">
            <v>0</v>
          </cell>
          <cell r="K404">
            <v>0</v>
          </cell>
          <cell r="L404">
            <v>0</v>
          </cell>
          <cell r="M404">
            <v>5889</v>
          </cell>
          <cell r="N404">
            <v>2484.6</v>
          </cell>
          <cell r="O404">
            <v>0</v>
          </cell>
          <cell r="P404">
            <v>0</v>
          </cell>
          <cell r="Q404">
            <v>0</v>
          </cell>
          <cell r="R404">
            <v>0</v>
          </cell>
        </row>
        <row r="405">
          <cell r="B405" t="str">
            <v>262900</v>
          </cell>
          <cell r="E405">
            <v>3921.1</v>
          </cell>
          <cell r="F405">
            <v>1384.2000244140625</v>
          </cell>
          <cell r="G405">
            <v>4305.2</v>
          </cell>
          <cell r="H405">
            <v>1509.3</v>
          </cell>
          <cell r="I405">
            <v>0</v>
          </cell>
          <cell r="J405">
            <v>0</v>
          </cell>
          <cell r="K405">
            <v>0</v>
          </cell>
          <cell r="L405">
            <v>0</v>
          </cell>
          <cell r="M405">
            <v>5575.1</v>
          </cell>
          <cell r="N405">
            <v>2644.4</v>
          </cell>
          <cell r="O405">
            <v>5431.7003906250002</v>
          </cell>
          <cell r="P405">
            <v>2283.3000000000002</v>
          </cell>
          <cell r="Q405">
            <v>0</v>
          </cell>
          <cell r="R405">
            <v>0</v>
          </cell>
        </row>
        <row r="406">
          <cell r="B406" t="str">
            <v>262885</v>
          </cell>
          <cell r="E406">
            <v>4061.5624581094999</v>
          </cell>
          <cell r="F406">
            <v>1538.9000173224545</v>
          </cell>
          <cell r="G406">
            <v>4387.2</v>
          </cell>
          <cell r="H406">
            <v>1664</v>
          </cell>
          <cell r="I406">
            <v>0</v>
          </cell>
          <cell r="J406">
            <v>0</v>
          </cell>
          <cell r="K406">
            <v>0</v>
          </cell>
          <cell r="L406">
            <v>0</v>
          </cell>
          <cell r="M406">
            <v>5697.6</v>
          </cell>
          <cell r="N406">
            <v>2793.6</v>
          </cell>
          <cell r="O406">
            <v>5518.7</v>
          </cell>
          <cell r="P406">
            <v>2437.9998889974736</v>
          </cell>
          <cell r="Q406">
            <v>0</v>
          </cell>
          <cell r="R406">
            <v>0</v>
          </cell>
        </row>
        <row r="407">
          <cell r="B407" t="str">
            <v>262870</v>
          </cell>
          <cell r="E407">
            <v>4183.2</v>
          </cell>
          <cell r="F407">
            <v>1687.3</v>
          </cell>
          <cell r="G407">
            <v>4381</v>
          </cell>
          <cell r="H407">
            <v>1812.4</v>
          </cell>
          <cell r="I407">
            <v>0</v>
          </cell>
          <cell r="J407">
            <v>0</v>
          </cell>
          <cell r="K407">
            <v>0</v>
          </cell>
          <cell r="L407">
            <v>0</v>
          </cell>
          <cell r="M407">
            <v>5839.3</v>
          </cell>
          <cell r="N407">
            <v>2958.1</v>
          </cell>
          <cell r="O407">
            <v>5616.1</v>
          </cell>
          <cell r="P407">
            <v>2586.4</v>
          </cell>
          <cell r="Q407">
            <v>0</v>
          </cell>
          <cell r="R407">
            <v>0</v>
          </cell>
        </row>
        <row r="408">
          <cell r="B408" t="str">
            <v>262855</v>
          </cell>
          <cell r="E408">
            <v>4289.8999999999996</v>
          </cell>
          <cell r="F408">
            <v>1845.0000244140624</v>
          </cell>
          <cell r="G408">
            <v>4558</v>
          </cell>
          <cell r="H408">
            <v>1970.1</v>
          </cell>
          <cell r="I408">
            <v>0</v>
          </cell>
          <cell r="J408">
            <v>0</v>
          </cell>
          <cell r="K408">
            <v>0</v>
          </cell>
          <cell r="L408">
            <v>0</v>
          </cell>
          <cell r="M408">
            <v>5967.7003906250002</v>
          </cell>
          <cell r="N408">
            <v>3118.7</v>
          </cell>
          <cell r="O408">
            <v>5726.6</v>
          </cell>
          <cell r="P408">
            <v>2744.1</v>
          </cell>
          <cell r="Q408">
            <v>0</v>
          </cell>
          <cell r="R408">
            <v>0</v>
          </cell>
        </row>
        <row r="409">
          <cell r="B409" t="str">
            <v>262840</v>
          </cell>
          <cell r="E409">
            <v>4419.5</v>
          </cell>
          <cell r="F409">
            <v>1995.2000244140625</v>
          </cell>
          <cell r="G409">
            <v>0</v>
          </cell>
          <cell r="H409">
            <v>0</v>
          </cell>
          <cell r="I409">
            <v>0</v>
          </cell>
          <cell r="J409">
            <v>0</v>
          </cell>
          <cell r="K409">
            <v>0</v>
          </cell>
          <cell r="L409">
            <v>0</v>
          </cell>
          <cell r="M409">
            <v>6230.5</v>
          </cell>
          <cell r="N409">
            <v>3249.9000976562502</v>
          </cell>
          <cell r="O409">
            <v>5852.9</v>
          </cell>
          <cell r="P409">
            <v>2894.3</v>
          </cell>
          <cell r="Q409">
            <v>0</v>
          </cell>
          <cell r="R409">
            <v>0</v>
          </cell>
        </row>
        <row r="410">
          <cell r="B410" t="str">
            <v>262825</v>
          </cell>
          <cell r="E410">
            <v>4548.599609375</v>
          </cell>
          <cell r="F410">
            <v>2139.3000000000002</v>
          </cell>
          <cell r="G410">
            <v>0</v>
          </cell>
          <cell r="H410">
            <v>0</v>
          </cell>
          <cell r="I410">
            <v>0</v>
          </cell>
          <cell r="J410">
            <v>0</v>
          </cell>
          <cell r="K410">
            <v>0</v>
          </cell>
          <cell r="L410">
            <v>0</v>
          </cell>
          <cell r="M410">
            <v>6359.6</v>
          </cell>
          <cell r="N410">
            <v>3394</v>
          </cell>
          <cell r="O410">
            <v>5981.9996093749996</v>
          </cell>
          <cell r="P410">
            <v>3038.5</v>
          </cell>
          <cell r="Q410">
            <v>0</v>
          </cell>
          <cell r="R410">
            <v>0</v>
          </cell>
        </row>
        <row r="411">
          <cell r="B411" t="str">
            <v>262810</v>
          </cell>
          <cell r="E411">
            <v>4777.2</v>
          </cell>
          <cell r="F411">
            <v>2308.0999755859375</v>
          </cell>
          <cell r="G411">
            <v>0</v>
          </cell>
          <cell r="H411">
            <v>0</v>
          </cell>
          <cell r="I411">
            <v>0</v>
          </cell>
          <cell r="J411">
            <v>0</v>
          </cell>
          <cell r="K411">
            <v>0</v>
          </cell>
          <cell r="L411">
            <v>0</v>
          </cell>
          <cell r="M411">
            <v>6177.6221610516204</v>
          </cell>
          <cell r="N411">
            <v>3377.1647843129213</v>
          </cell>
          <cell r="O411">
            <v>6210.6</v>
          </cell>
          <cell r="P411">
            <v>3207.2</v>
          </cell>
          <cell r="Q411">
            <v>0</v>
          </cell>
          <cell r="R411">
            <v>0</v>
          </cell>
        </row>
        <row r="412">
          <cell r="B412" t="str">
            <v>262795</v>
          </cell>
          <cell r="E412">
            <v>5033.2</v>
          </cell>
          <cell r="F412">
            <v>2468.6999999999998</v>
          </cell>
          <cell r="G412">
            <v>0</v>
          </cell>
          <cell r="H412">
            <v>0</v>
          </cell>
          <cell r="I412">
            <v>0</v>
          </cell>
          <cell r="J412">
            <v>0</v>
          </cell>
          <cell r="K412">
            <v>0</v>
          </cell>
          <cell r="L412">
            <v>0</v>
          </cell>
          <cell r="M412">
            <v>5852.2</v>
          </cell>
          <cell r="N412">
            <v>3275.8</v>
          </cell>
          <cell r="O412">
            <v>6472.2485990961359</v>
          </cell>
          <cell r="P412">
            <v>3368.0321374624341</v>
          </cell>
          <cell r="Q412">
            <v>0</v>
          </cell>
          <cell r="R412">
            <v>0</v>
          </cell>
        </row>
        <row r="413">
          <cell r="B413" t="str">
            <v>262780</v>
          </cell>
          <cell r="E413">
            <v>4930.2</v>
          </cell>
          <cell r="F413">
            <v>2646.3</v>
          </cell>
          <cell r="G413">
            <v>0</v>
          </cell>
          <cell r="H413">
            <v>0</v>
          </cell>
          <cell r="I413">
            <v>0</v>
          </cell>
          <cell r="J413">
            <v>0</v>
          </cell>
          <cell r="K413">
            <v>0</v>
          </cell>
          <cell r="L413">
            <v>0</v>
          </cell>
          <cell r="M413">
            <v>5763.1996093750004</v>
          </cell>
          <cell r="N413">
            <v>3458.9</v>
          </cell>
          <cell r="O413">
            <v>6378.0438747550388</v>
          </cell>
          <cell r="P413">
            <v>3546.0127312058939</v>
          </cell>
          <cell r="Q413">
            <v>0</v>
          </cell>
          <cell r="R413">
            <v>0</v>
          </cell>
        </row>
        <row r="414">
          <cell r="B414" t="str">
            <v>262765</v>
          </cell>
          <cell r="E414">
            <v>5121.3999999999996</v>
          </cell>
          <cell r="F414">
            <v>2798.6</v>
          </cell>
          <cell r="G414">
            <v>0</v>
          </cell>
          <cell r="H414">
            <v>0</v>
          </cell>
          <cell r="I414">
            <v>0</v>
          </cell>
          <cell r="J414">
            <v>0</v>
          </cell>
          <cell r="K414">
            <v>0</v>
          </cell>
          <cell r="L414">
            <v>0</v>
          </cell>
          <cell r="M414">
            <v>5969</v>
          </cell>
          <cell r="N414">
            <v>3618</v>
          </cell>
          <cell r="O414">
            <v>6574.8388956379467</v>
          </cell>
          <cell r="P414">
            <v>3698.4224893747351</v>
          </cell>
          <cell r="Q414">
            <v>0</v>
          </cell>
          <cell r="R414">
            <v>0</v>
          </cell>
        </row>
        <row r="415">
          <cell r="B415" t="str">
            <v>262750</v>
          </cell>
          <cell r="E415">
            <v>5011</v>
          </cell>
          <cell r="F415">
            <v>2605.2000122070313</v>
          </cell>
          <cell r="G415">
            <v>0</v>
          </cell>
          <cell r="H415">
            <v>0</v>
          </cell>
          <cell r="I415">
            <v>0</v>
          </cell>
          <cell r="J415">
            <v>0</v>
          </cell>
          <cell r="K415">
            <v>0</v>
          </cell>
          <cell r="L415">
            <v>0</v>
          </cell>
          <cell r="M415">
            <v>6748.6</v>
          </cell>
          <cell r="N415">
            <v>3753.2</v>
          </cell>
          <cell r="O415">
            <v>7006.1</v>
          </cell>
          <cell r="P415">
            <v>3526.7</v>
          </cell>
          <cell r="Q415">
            <v>0</v>
          </cell>
          <cell r="R415">
            <v>0</v>
          </cell>
        </row>
        <row r="416">
          <cell r="B416" t="str">
            <v>262735</v>
          </cell>
          <cell r="E416">
            <v>6062.7</v>
          </cell>
          <cell r="F416">
            <v>3111.3</v>
          </cell>
          <cell r="G416">
            <v>0</v>
          </cell>
          <cell r="H416">
            <v>0</v>
          </cell>
          <cell r="I416">
            <v>7810.8</v>
          </cell>
          <cell r="J416">
            <v>5348</v>
          </cell>
          <cell r="K416">
            <v>7810.8</v>
          </cell>
          <cell r="L416">
            <v>5348</v>
          </cell>
          <cell r="M416">
            <v>6873.7</v>
          </cell>
          <cell r="N416">
            <v>3913.7</v>
          </cell>
          <cell r="O416">
            <v>7496.1</v>
          </cell>
          <cell r="P416">
            <v>4010.4</v>
          </cell>
          <cell r="Q416">
            <v>7810.8</v>
          </cell>
          <cell r="R416">
            <v>5348</v>
          </cell>
        </row>
        <row r="417">
          <cell r="B417" t="str">
            <v>262720</v>
          </cell>
          <cell r="E417">
            <v>6189.5</v>
          </cell>
          <cell r="F417">
            <v>3262</v>
          </cell>
          <cell r="G417">
            <v>0</v>
          </cell>
          <cell r="H417">
            <v>0</v>
          </cell>
          <cell r="I417">
            <v>10091.200000000001</v>
          </cell>
          <cell r="J417">
            <v>5492.1</v>
          </cell>
          <cell r="K417">
            <v>10091.200000000001</v>
          </cell>
          <cell r="L417">
            <v>5492.1</v>
          </cell>
          <cell r="M417">
            <v>7000.5</v>
          </cell>
          <cell r="N417">
            <v>4064.4</v>
          </cell>
          <cell r="O417">
            <v>7622.9</v>
          </cell>
          <cell r="P417">
            <v>4161.1001953124996</v>
          </cell>
          <cell r="Q417">
            <v>10091.200000000001</v>
          </cell>
          <cell r="R417">
            <v>5492.1</v>
          </cell>
        </row>
        <row r="418">
          <cell r="B418" t="str">
            <v>262705</v>
          </cell>
          <cell r="E418">
            <v>6390.0003906250004</v>
          </cell>
          <cell r="F418">
            <v>3412.8000061035154</v>
          </cell>
          <cell r="G418">
            <v>0</v>
          </cell>
          <cell r="H418">
            <v>0</v>
          </cell>
          <cell r="I418">
            <v>0</v>
          </cell>
          <cell r="J418">
            <v>0</v>
          </cell>
          <cell r="K418">
            <v>0</v>
          </cell>
          <cell r="L418">
            <v>0</v>
          </cell>
          <cell r="M418">
            <v>7201</v>
          </cell>
          <cell r="N418">
            <v>4215.2</v>
          </cell>
          <cell r="O418">
            <v>7823.4</v>
          </cell>
          <cell r="P418">
            <v>4311.8999999999996</v>
          </cell>
          <cell r="Q418">
            <v>0</v>
          </cell>
          <cell r="R418">
            <v>0</v>
          </cell>
        </row>
        <row r="419">
          <cell r="B419" t="str">
            <v>262690</v>
          </cell>
          <cell r="E419">
            <v>6625.1</v>
          </cell>
          <cell r="F419">
            <v>3607.3997816533856</v>
          </cell>
          <cell r="G419">
            <v>0</v>
          </cell>
          <cell r="H419">
            <v>0</v>
          </cell>
          <cell r="I419">
            <v>10526.8</v>
          </cell>
          <cell r="J419">
            <v>5837.5</v>
          </cell>
          <cell r="K419">
            <v>10526.8</v>
          </cell>
          <cell r="L419">
            <v>5837.5</v>
          </cell>
          <cell r="M419">
            <v>7626.2106816767191</v>
          </cell>
          <cell r="N419">
            <v>4491.3164411755261</v>
          </cell>
          <cell r="O419">
            <v>8058.5</v>
          </cell>
          <cell r="P419">
            <v>4506.5</v>
          </cell>
          <cell r="Q419">
            <v>10526.8</v>
          </cell>
          <cell r="R419">
            <v>5837.5</v>
          </cell>
        </row>
        <row r="420">
          <cell r="B420" t="str">
            <v>262675</v>
          </cell>
          <cell r="E420">
            <v>6555.2</v>
          </cell>
          <cell r="F420">
            <v>3758.5</v>
          </cell>
          <cell r="G420">
            <v>0</v>
          </cell>
          <cell r="H420">
            <v>0</v>
          </cell>
          <cell r="I420">
            <v>10456.9</v>
          </cell>
          <cell r="J420">
            <v>5988.6</v>
          </cell>
          <cell r="K420">
            <v>10456.9</v>
          </cell>
          <cell r="L420">
            <v>5988.6</v>
          </cell>
          <cell r="M420">
            <v>8467.7999999999993</v>
          </cell>
          <cell r="N420">
            <v>5033.1999984741215</v>
          </cell>
          <cell r="O420">
            <v>0</v>
          </cell>
          <cell r="P420">
            <v>0</v>
          </cell>
          <cell r="Q420">
            <v>10456.9</v>
          </cell>
          <cell r="R420">
            <v>5988.6</v>
          </cell>
        </row>
        <row r="421">
          <cell r="B421" t="str">
            <v>262660</v>
          </cell>
          <cell r="E421">
            <v>7286.3</v>
          </cell>
          <cell r="F421">
            <v>3909.3000244140626</v>
          </cell>
          <cell r="G421">
            <v>0</v>
          </cell>
          <cell r="H421">
            <v>0</v>
          </cell>
          <cell r="I421">
            <v>10293.052000000001</v>
          </cell>
          <cell r="J421">
            <v>5648.2479999999996</v>
          </cell>
          <cell r="K421">
            <v>10293.052000000001</v>
          </cell>
          <cell r="L421">
            <v>5648.2479999999996</v>
          </cell>
          <cell r="M421">
            <v>8462.9879999999994</v>
          </cell>
          <cell r="N421">
            <v>4769.2800000000007</v>
          </cell>
          <cell r="O421">
            <v>0</v>
          </cell>
          <cell r="P421">
            <v>0</v>
          </cell>
          <cell r="Q421">
            <v>10293.052000000001</v>
          </cell>
          <cell r="R421">
            <v>5648.2479999999996</v>
          </cell>
        </row>
        <row r="422">
          <cell r="B422" t="str">
            <v>262645</v>
          </cell>
          <cell r="E422">
            <v>7300</v>
          </cell>
          <cell r="F422">
            <v>4059.3000244140626</v>
          </cell>
          <cell r="G422">
            <v>0</v>
          </cell>
          <cell r="H422">
            <v>0</v>
          </cell>
          <cell r="I422">
            <v>0</v>
          </cell>
          <cell r="J422">
            <v>0</v>
          </cell>
          <cell r="K422">
            <v>0</v>
          </cell>
          <cell r="L422">
            <v>0</v>
          </cell>
          <cell r="M422">
            <v>0</v>
          </cell>
          <cell r="N422">
            <v>0</v>
          </cell>
          <cell r="O422">
            <v>0</v>
          </cell>
          <cell r="P422">
            <v>0</v>
          </cell>
          <cell r="Q422">
            <v>0</v>
          </cell>
          <cell r="R422">
            <v>0</v>
          </cell>
        </row>
        <row r="423">
          <cell r="B423" t="str">
            <v>262630</v>
          </cell>
          <cell r="E423">
            <v>7300</v>
          </cell>
          <cell r="F423">
            <v>4209.3000244140621</v>
          </cell>
          <cell r="G423">
            <v>0</v>
          </cell>
          <cell r="H423">
            <v>0</v>
          </cell>
          <cell r="I423">
            <v>0</v>
          </cell>
          <cell r="J423">
            <v>0</v>
          </cell>
          <cell r="K423">
            <v>0</v>
          </cell>
          <cell r="L423">
            <v>0</v>
          </cell>
          <cell r="M423">
            <v>0</v>
          </cell>
          <cell r="N423">
            <v>0</v>
          </cell>
          <cell r="O423">
            <v>0</v>
          </cell>
          <cell r="P423">
            <v>0</v>
          </cell>
          <cell r="Q423">
            <v>0</v>
          </cell>
          <cell r="R423">
            <v>0</v>
          </cell>
        </row>
        <row r="424">
          <cell r="B424" t="str">
            <v>262615</v>
          </cell>
          <cell r="E424">
            <v>7300</v>
          </cell>
          <cell r="F424">
            <v>4359.3000244140621</v>
          </cell>
          <cell r="G424">
            <v>0</v>
          </cell>
          <cell r="H424">
            <v>0</v>
          </cell>
          <cell r="I424">
            <v>0</v>
          </cell>
          <cell r="J424">
            <v>0</v>
          </cell>
          <cell r="K424">
            <v>0</v>
          </cell>
          <cell r="L424">
            <v>0</v>
          </cell>
          <cell r="M424">
            <v>0</v>
          </cell>
          <cell r="N424">
            <v>0</v>
          </cell>
          <cell r="O424">
            <v>0</v>
          </cell>
          <cell r="P424">
            <v>0</v>
          </cell>
          <cell r="Q424">
            <v>0</v>
          </cell>
          <cell r="R424">
            <v>0</v>
          </cell>
        </row>
        <row r="425">
          <cell r="B425" t="str">
            <v>262600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row>
        <row r="426">
          <cell r="B426" t="str">
            <v>00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row>
        <row r="427">
          <cell r="B427" t="str">
            <v>00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row>
        <row r="428">
          <cell r="B428" t="str">
            <v>00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row>
        <row r="429">
          <cell r="B429" t="str">
            <v>00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row>
        <row r="430">
          <cell r="B430" t="str">
            <v>00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row>
        <row r="431">
          <cell r="B431" t="str">
            <v>00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row>
        <row r="432">
          <cell r="B432" t="str">
            <v>00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row>
        <row r="433">
          <cell r="B433" t="str">
            <v>00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row>
        <row r="434">
          <cell r="B434" t="str">
            <v>00</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row>
        <row r="435">
          <cell r="B435" t="str">
            <v>00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row>
        <row r="436">
          <cell r="B436" t="str">
            <v>00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row>
        <row r="437">
          <cell r="B437" t="str">
            <v>00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row>
        <row r="438">
          <cell r="B438" t="str">
            <v>00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row>
        <row r="439">
          <cell r="B439" t="str">
            <v/>
          </cell>
        </row>
        <row r="440">
          <cell r="B440" t="str">
            <v/>
          </cell>
        </row>
        <row r="441">
          <cell r="B441" t="str">
            <v/>
          </cell>
        </row>
        <row r="442">
          <cell r="B442" t="str">
            <v/>
          </cell>
        </row>
        <row r="443">
          <cell r="B443" t="str">
            <v/>
          </cell>
        </row>
        <row r="444">
          <cell r="B444" t="str">
            <v/>
          </cell>
        </row>
        <row r="445">
          <cell r="B445" t="str">
            <v/>
          </cell>
        </row>
        <row r="446">
          <cell r="B446" t="str">
            <v/>
          </cell>
        </row>
        <row r="447">
          <cell r="B447" t="str">
            <v/>
          </cell>
        </row>
        <row r="448">
          <cell r="B448" t="str">
            <v/>
          </cell>
        </row>
        <row r="449">
          <cell r="B449" t="str">
            <v/>
          </cell>
        </row>
        <row r="450">
          <cell r="B450" t="str">
            <v/>
          </cell>
        </row>
        <row r="451">
          <cell r="B451" t="str">
            <v/>
          </cell>
        </row>
        <row r="452">
          <cell r="B452" t="str">
            <v/>
          </cell>
        </row>
        <row r="453">
          <cell r="B453" t="str">
            <v/>
          </cell>
        </row>
        <row r="454">
          <cell r="B454" t="str">
            <v/>
          </cell>
        </row>
        <row r="455">
          <cell r="B455" t="str">
            <v/>
          </cell>
        </row>
        <row r="456">
          <cell r="B456" t="str">
            <v/>
          </cell>
        </row>
        <row r="457">
          <cell r="B457" t="str">
            <v/>
          </cell>
        </row>
        <row r="458">
          <cell r="B458" t="str">
            <v/>
          </cell>
        </row>
        <row r="459">
          <cell r="B459" t="str">
            <v/>
          </cell>
        </row>
        <row r="460">
          <cell r="B460" t="str">
            <v/>
          </cell>
        </row>
        <row r="461">
          <cell r="B461" t="str">
            <v/>
          </cell>
        </row>
        <row r="462">
          <cell r="B462" t="str">
            <v/>
          </cell>
        </row>
        <row r="463">
          <cell r="B463" t="str">
            <v/>
          </cell>
        </row>
        <row r="464">
          <cell r="B464" t="str">
            <v/>
          </cell>
        </row>
        <row r="465">
          <cell r="B465" t="str">
            <v/>
          </cell>
        </row>
        <row r="466">
          <cell r="B466" t="str">
            <v/>
          </cell>
        </row>
        <row r="467">
          <cell r="B467" t="str">
            <v/>
          </cell>
        </row>
        <row r="468">
          <cell r="B468" t="str">
            <v/>
          </cell>
        </row>
        <row r="469">
          <cell r="B469" t="str">
            <v/>
          </cell>
        </row>
        <row r="470">
          <cell r="B470" t="str">
            <v/>
          </cell>
        </row>
        <row r="471">
          <cell r="B471" t="str">
            <v/>
          </cell>
        </row>
        <row r="472">
          <cell r="B472" t="str">
            <v/>
          </cell>
        </row>
        <row r="473">
          <cell r="B473" t="str">
            <v/>
          </cell>
        </row>
        <row r="474">
          <cell r="B474" t="str">
            <v/>
          </cell>
        </row>
        <row r="475">
          <cell r="B475" t="str">
            <v/>
          </cell>
        </row>
        <row r="476">
          <cell r="B476" t="str">
            <v/>
          </cell>
        </row>
        <row r="477">
          <cell r="B477" t="str">
            <v/>
          </cell>
        </row>
        <row r="478">
          <cell r="B478" t="str">
            <v/>
          </cell>
        </row>
        <row r="479">
          <cell r="B479" t="str">
            <v/>
          </cell>
        </row>
        <row r="480">
          <cell r="B480" t="str">
            <v/>
          </cell>
        </row>
        <row r="481">
          <cell r="B481" t="str">
            <v/>
          </cell>
        </row>
        <row r="482">
          <cell r="B482" t="str">
            <v/>
          </cell>
        </row>
        <row r="483">
          <cell r="B483" t="str">
            <v/>
          </cell>
        </row>
        <row r="484">
          <cell r="B484" t="str">
            <v/>
          </cell>
        </row>
        <row r="485">
          <cell r="B485" t="str">
            <v/>
          </cell>
        </row>
        <row r="486">
          <cell r="B486" t="str">
            <v/>
          </cell>
        </row>
        <row r="487">
          <cell r="B487" t="str">
            <v/>
          </cell>
        </row>
        <row r="488">
          <cell r="B488" t="str">
            <v/>
          </cell>
        </row>
        <row r="489">
          <cell r="B489" t="str">
            <v/>
          </cell>
        </row>
        <row r="490">
          <cell r="B490" t="str">
            <v/>
          </cell>
        </row>
        <row r="491">
          <cell r="B491" t="str">
            <v/>
          </cell>
        </row>
        <row r="492">
          <cell r="B492" t="str">
            <v/>
          </cell>
        </row>
        <row r="493">
          <cell r="B493" t="str">
            <v/>
          </cell>
        </row>
        <row r="494">
          <cell r="B494" t="str">
            <v/>
          </cell>
        </row>
        <row r="495">
          <cell r="B495" t="str">
            <v/>
          </cell>
        </row>
        <row r="496">
          <cell r="B496" t="str">
            <v/>
          </cell>
        </row>
        <row r="497">
          <cell r="B497" t="str">
            <v/>
          </cell>
        </row>
        <row r="498">
          <cell r="B498" t="str">
            <v/>
          </cell>
        </row>
        <row r="499">
          <cell r="B499" t="str">
            <v/>
          </cell>
        </row>
        <row r="500">
          <cell r="B500" t="str">
            <v/>
          </cell>
        </row>
        <row r="501">
          <cell r="B501" t="str">
            <v/>
          </cell>
        </row>
        <row r="502">
          <cell r="B502" t="str">
            <v/>
          </cell>
        </row>
        <row r="503">
          <cell r="B503" t="str">
            <v/>
          </cell>
        </row>
        <row r="504">
          <cell r="B504" t="str">
            <v/>
          </cell>
        </row>
        <row r="505">
          <cell r="B505" t="str">
            <v/>
          </cell>
        </row>
        <row r="506">
          <cell r="B506" t="str">
            <v/>
          </cell>
        </row>
        <row r="507">
          <cell r="B507" t="str">
            <v/>
          </cell>
        </row>
        <row r="508">
          <cell r="B508" t="str">
            <v/>
          </cell>
        </row>
        <row r="509">
          <cell r="B509" t="str">
            <v/>
          </cell>
        </row>
        <row r="510">
          <cell r="B510" t="str">
            <v/>
          </cell>
        </row>
        <row r="511">
          <cell r="B511" t="str">
            <v/>
          </cell>
        </row>
        <row r="512">
          <cell r="B512" t="str">
            <v/>
          </cell>
        </row>
        <row r="513">
          <cell r="B513" t="str">
            <v/>
          </cell>
        </row>
        <row r="514">
          <cell r="B514" t="str">
            <v/>
          </cell>
        </row>
        <row r="515">
          <cell r="B515" t="str">
            <v/>
          </cell>
        </row>
        <row r="516">
          <cell r="B516" t="str">
            <v/>
          </cell>
        </row>
        <row r="517">
          <cell r="B517" t="str">
            <v/>
          </cell>
        </row>
        <row r="518">
          <cell r="B518" t="str">
            <v/>
          </cell>
        </row>
        <row r="519">
          <cell r="B519" t="str">
            <v/>
          </cell>
        </row>
        <row r="520">
          <cell r="B520" t="str">
            <v/>
          </cell>
        </row>
        <row r="521">
          <cell r="B521" t="str">
            <v/>
          </cell>
        </row>
        <row r="522">
          <cell r="B522" t="str">
            <v/>
          </cell>
        </row>
        <row r="523">
          <cell r="B523" t="str">
            <v/>
          </cell>
        </row>
        <row r="524">
          <cell r="B524" t="str">
            <v/>
          </cell>
        </row>
        <row r="525">
          <cell r="B525" t="str">
            <v/>
          </cell>
        </row>
        <row r="526">
          <cell r="B526" t="str">
            <v/>
          </cell>
        </row>
        <row r="527">
          <cell r="B527" t="str">
            <v/>
          </cell>
        </row>
        <row r="528">
          <cell r="B528" t="str">
            <v/>
          </cell>
        </row>
        <row r="529">
          <cell r="B529" t="str">
            <v/>
          </cell>
        </row>
        <row r="530">
          <cell r="B530" t="str">
            <v/>
          </cell>
        </row>
        <row r="531">
          <cell r="B531" t="str">
            <v/>
          </cell>
        </row>
        <row r="532">
          <cell r="B532" t="str">
            <v/>
          </cell>
        </row>
        <row r="533">
          <cell r="B533" t="str">
            <v/>
          </cell>
        </row>
        <row r="534">
          <cell r="B534" t="str">
            <v/>
          </cell>
        </row>
        <row r="535">
          <cell r="B535" t="str">
            <v/>
          </cell>
        </row>
        <row r="536">
          <cell r="B536" t="str">
            <v/>
          </cell>
        </row>
        <row r="537">
          <cell r="B537" t="str">
            <v/>
          </cell>
        </row>
        <row r="538">
          <cell r="B538" t="str">
            <v/>
          </cell>
        </row>
        <row r="539">
          <cell r="B539" t="str">
            <v/>
          </cell>
        </row>
        <row r="540">
          <cell r="B540" t="str">
            <v/>
          </cell>
        </row>
        <row r="541">
          <cell r="B541" t="str">
            <v/>
          </cell>
        </row>
        <row r="542">
          <cell r="B542" t="str">
            <v/>
          </cell>
        </row>
        <row r="543">
          <cell r="B543" t="str">
            <v/>
          </cell>
        </row>
        <row r="544">
          <cell r="B544" t="str">
            <v/>
          </cell>
        </row>
        <row r="545">
          <cell r="B545" t="str">
            <v/>
          </cell>
        </row>
        <row r="546">
          <cell r="B546" t="str">
            <v/>
          </cell>
        </row>
        <row r="547">
          <cell r="B547" t="str">
            <v/>
          </cell>
        </row>
        <row r="548">
          <cell r="B548" t="str">
            <v/>
          </cell>
        </row>
        <row r="549">
          <cell r="B549" t="str">
            <v/>
          </cell>
        </row>
        <row r="550">
          <cell r="B550" t="str">
            <v/>
          </cell>
        </row>
        <row r="551">
          <cell r="B551" t="str">
            <v/>
          </cell>
        </row>
        <row r="552">
          <cell r="B552" t="str">
            <v/>
          </cell>
        </row>
        <row r="553">
          <cell r="B553" t="str">
            <v/>
          </cell>
        </row>
        <row r="554">
          <cell r="B554" t="str">
            <v/>
          </cell>
        </row>
        <row r="555">
          <cell r="B555" t="str">
            <v/>
          </cell>
        </row>
        <row r="556">
          <cell r="B556" t="str">
            <v/>
          </cell>
        </row>
        <row r="557">
          <cell r="B557" t="str">
            <v/>
          </cell>
        </row>
        <row r="558">
          <cell r="B558" t="str">
            <v/>
          </cell>
        </row>
        <row r="559">
          <cell r="B559" t="str">
            <v/>
          </cell>
        </row>
        <row r="560">
          <cell r="B560" t="str">
            <v/>
          </cell>
        </row>
        <row r="561">
          <cell r="B561" t="str">
            <v>STOCK16SULFURO</v>
          </cell>
          <cell r="E561">
            <v>3000</v>
          </cell>
          <cell r="F561">
            <v>1150</v>
          </cell>
        </row>
        <row r="562">
          <cell r="B562" t="str">
            <v>STOCK17SULFURO</v>
          </cell>
          <cell r="E562">
            <v>3000</v>
          </cell>
          <cell r="F562">
            <v>1150</v>
          </cell>
        </row>
        <row r="563">
          <cell r="B563" t="str">
            <v>STOCK18SULFURO</v>
          </cell>
          <cell r="E563">
            <v>3000</v>
          </cell>
          <cell r="F563">
            <v>1600</v>
          </cell>
        </row>
        <row r="564">
          <cell r="B564" t="str">
            <v>STOCK19SULFURO</v>
          </cell>
          <cell r="E564">
            <v>3000</v>
          </cell>
          <cell r="F564">
            <v>1600</v>
          </cell>
        </row>
        <row r="565">
          <cell r="B565" t="str">
            <v>STOCK20SULFURO</v>
          </cell>
          <cell r="E565">
            <v>3000</v>
          </cell>
          <cell r="F565">
            <v>1600</v>
          </cell>
        </row>
        <row r="566">
          <cell r="B566" t="str">
            <v/>
          </cell>
        </row>
        <row r="567">
          <cell r="B567" t="str">
            <v/>
          </cell>
        </row>
        <row r="568">
          <cell r="B568" t="str">
            <v/>
          </cell>
        </row>
        <row r="569">
          <cell r="B569" t="str">
            <v/>
          </cell>
        </row>
        <row r="570">
          <cell r="B570" t="str">
            <v/>
          </cell>
        </row>
        <row r="571">
          <cell r="B571" t="str">
            <v/>
          </cell>
        </row>
        <row r="572">
          <cell r="B572" t="str">
            <v>STOCK1OXIDO</v>
          </cell>
          <cell r="E572">
            <v>1500</v>
          </cell>
          <cell r="F572">
            <v>200</v>
          </cell>
        </row>
        <row r="573">
          <cell r="B573" t="str">
            <v>STOCK2OXIDO</v>
          </cell>
          <cell r="E573">
            <v>1500</v>
          </cell>
          <cell r="F573">
            <v>200</v>
          </cell>
        </row>
        <row r="574">
          <cell r="B574" t="str">
            <v>STOCK1SULFURO</v>
          </cell>
          <cell r="E574">
            <v>3000</v>
          </cell>
          <cell r="F574">
            <v>1150</v>
          </cell>
        </row>
        <row r="575">
          <cell r="B575" t="str">
            <v>STOCK2SULFURO</v>
          </cell>
          <cell r="E575">
            <v>3000</v>
          </cell>
          <cell r="F575">
            <v>1150</v>
          </cell>
        </row>
        <row r="576">
          <cell r="B576" t="str">
            <v>STOCK1MIXTO</v>
          </cell>
          <cell r="E576">
            <v>3000</v>
          </cell>
          <cell r="F576">
            <v>1150</v>
          </cell>
        </row>
        <row r="577">
          <cell r="B577" t="str">
            <v>STOCK2MIXTO</v>
          </cell>
          <cell r="E577">
            <v>3000</v>
          </cell>
          <cell r="F577">
            <v>1150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STANCIAS"/>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ing &amp; Assumptions"/>
      <sheetName val="Mine Plan"/>
      <sheetName val="Mine Unit Consumption"/>
      <sheetName val="Mine Labor"/>
      <sheetName val="Plant Unit Consumption"/>
      <sheetName val="Detailed Const. Cpx"/>
      <sheetName val="Plant &amp; Mine CAPX"/>
      <sheetName val="Deferred CAPX"/>
      <sheetName val="Key Data &amp; Results"/>
      <sheetName val="Cash Flows"/>
      <sheetName val="CATEXP13"/>
      <sheetName val="RADO_EXT"/>
      <sheetName val="costos"/>
      <sheetName val="Chatarra(1)"/>
      <sheetName val="Costos e Ingresos CP"/>
      <sheetName val="CBVactualizado"/>
      <sheetName val="Condicion"/>
      <sheetName val="Timing_&amp;_Assumptions"/>
      <sheetName val="Mine_Plan"/>
      <sheetName val="Mine_Unit_Consumption"/>
      <sheetName val="Mine_Labor"/>
      <sheetName val="Plant_Unit_Consumption"/>
      <sheetName val="Detailed_Const__Cpx"/>
      <sheetName val="Plant_&amp;_Mine_CAPX"/>
      <sheetName val="Deferred_CAPX"/>
      <sheetName val="Key_Data_&amp;_Results"/>
      <sheetName val="Cash_Flows"/>
      <sheetName val="Costos_e_Ingresos_CP"/>
      <sheetName val="CAT_5"/>
      <sheetName val="TOTAL"/>
      <sheetName val="TABLAS"/>
      <sheetName val="Timing_&amp;_Assumptions4"/>
      <sheetName val="Mine_Plan4"/>
      <sheetName val="Mine_Unit_Consumption4"/>
      <sheetName val="Mine_Labor4"/>
      <sheetName val="Plant_Unit_Consumption4"/>
      <sheetName val="Detailed_Const__Cpx4"/>
      <sheetName val="Plant_&amp;_Mine_CAPX4"/>
      <sheetName val="Deferred_CAPX4"/>
      <sheetName val="Key_Data_&amp;_Results4"/>
      <sheetName val="Cash_Flows4"/>
      <sheetName val="Costos_e_Ingresos_CP4"/>
      <sheetName val="Timing_&amp;_Assumptions1"/>
      <sheetName val="Mine_Plan1"/>
      <sheetName val="Mine_Unit_Consumption1"/>
      <sheetName val="Mine_Labor1"/>
      <sheetName val="Plant_Unit_Consumption1"/>
      <sheetName val="Detailed_Const__Cpx1"/>
      <sheetName val="Plant_&amp;_Mine_CAPX1"/>
      <sheetName val="Deferred_CAPX1"/>
      <sheetName val="Key_Data_&amp;_Results1"/>
      <sheetName val="Cash_Flows1"/>
      <sheetName val="Costos_e_Ingresos_CP1"/>
      <sheetName val="Timing_&amp;_Assumptions2"/>
      <sheetName val="Mine_Plan2"/>
      <sheetName val="Mine_Unit_Consumption2"/>
      <sheetName val="Mine_Labor2"/>
      <sheetName val="Plant_Unit_Consumption2"/>
      <sheetName val="Detailed_Const__Cpx2"/>
      <sheetName val="Plant_&amp;_Mine_CAPX2"/>
      <sheetName val="Deferred_CAPX2"/>
      <sheetName val="Key_Data_&amp;_Results2"/>
      <sheetName val="Cash_Flows2"/>
      <sheetName val="Costos_e_Ingresos_CP2"/>
      <sheetName val="Timing_&amp;_Assumptions3"/>
      <sheetName val="Mine_Plan3"/>
      <sheetName val="Mine_Unit_Consumption3"/>
      <sheetName val="Mine_Labor3"/>
      <sheetName val="Plant_Unit_Consumption3"/>
      <sheetName val="Detailed_Const__Cpx3"/>
      <sheetName val="Plant_&amp;_Mine_CAPX3"/>
      <sheetName val="Deferred_CAPX3"/>
      <sheetName val="Key_Data_&amp;_Results3"/>
      <sheetName val="Cash_Flows3"/>
      <sheetName val="Costos_e_Ingresos_CP3"/>
      <sheetName val="ITEMS"/>
      <sheetName val="CBV 2001"/>
      <sheetName val="Cover"/>
      <sheetName val="Inputs - Misc Fields"/>
      <sheetName val="Misc Calcs"/>
      <sheetName val="Cotizaciones"/>
      <sheetName val="RES"/>
      <sheetName val="1"/>
      <sheetName val="Inputs_-_Misc_Fields"/>
      <sheetName val="Misc_Calcs"/>
      <sheetName val="#¡REF"/>
      <sheetName val="CINDIREC"/>
      <sheetName val="Setup"/>
      <sheetName val="Data input"/>
      <sheetName val="Overall summary output"/>
      <sheetName val="Input selection"/>
      <sheetName val="Cost Variance calcs"/>
      <sheetName val="ESTAD04"/>
      <sheetName val="Timing_&amp;_Assumptions5"/>
      <sheetName val="Mine_Plan5"/>
      <sheetName val="Mine_Unit_Consumption5"/>
      <sheetName val="Mine_Labor5"/>
      <sheetName val="Plant_Unit_Consumption5"/>
      <sheetName val="Detailed_Const__Cpx5"/>
      <sheetName val="Plant_&amp;_Mine_CAPX5"/>
      <sheetName val="Deferred_CAPX5"/>
      <sheetName val="Key_Data_&amp;_Results5"/>
      <sheetName val="Cash_Flows5"/>
      <sheetName val="Costos_e_Ingresos_CP5"/>
      <sheetName val="CBV_2001"/>
      <sheetName val="Inputs_-_Misc_Fields1"/>
      <sheetName val="Misc_Calcs1"/>
      <sheetName val="Data_input"/>
      <sheetName val="Overall_summary_output"/>
      <sheetName val="Input_selection"/>
      <sheetName val="Cost_Variance_calcs"/>
      <sheetName val="Cuenta de Explotación"/>
      <sheetName val="S01"/>
      <sheetName val="D01"/>
      <sheetName val="D08"/>
      <sheetName val="Timing_&amp;_Assumptions6"/>
      <sheetName val="Mine_Plan6"/>
      <sheetName val="Mine_Unit_Consumption6"/>
      <sheetName val="Mine_Labor6"/>
      <sheetName val="Plant_Unit_Consumption6"/>
      <sheetName val="Detailed_Const__Cpx6"/>
      <sheetName val="Plant_&amp;_Mine_CAPX6"/>
      <sheetName val="Deferred_CAPX6"/>
      <sheetName val="Key_Data_&amp;_Results6"/>
      <sheetName val="Cash_Flows6"/>
      <sheetName val="Costos_e_Ingresos_CP6"/>
      <sheetName val="CBV_20011"/>
      <sheetName val="Inputs_-_Misc_Fields2"/>
      <sheetName val="Misc_Calcs2"/>
      <sheetName val="Data_input1"/>
      <sheetName val="Overall_summary_output1"/>
      <sheetName val="Input_selection1"/>
      <sheetName val="Cost_Variance_calcs1"/>
      <sheetName val="Cuenta_de_Explotación"/>
      <sheetName val="#REF"/>
      <sheetName val="Timing_&amp;_Assumptions7"/>
      <sheetName val="Mine_Plan7"/>
      <sheetName val="Mine_Unit_Consumption7"/>
      <sheetName val="Mine_Labor7"/>
      <sheetName val="Plant_Unit_Consumption7"/>
      <sheetName val="Detailed_Const__Cpx7"/>
      <sheetName val="Plant_&amp;_Mine_CAPX7"/>
      <sheetName val="Deferred_CAPX7"/>
      <sheetName val="Key_Data_&amp;_Results7"/>
      <sheetName val="Cash_Flows7"/>
      <sheetName val="Costos_e_Ingresos_CP7"/>
      <sheetName val="CBV_20012"/>
      <sheetName val="Inputs_-_Misc_Fields3"/>
      <sheetName val="Misc_Calcs3"/>
      <sheetName val="Data_input2"/>
      <sheetName val="Overall_summary_output2"/>
      <sheetName val="Input_selection2"/>
      <sheetName val="Cost_Variance_calcs2"/>
      <sheetName val="Cuenta_de_Explotación1"/>
      <sheetName val="Valorización Valle"/>
    </sheetNames>
    <sheetDataSet>
      <sheetData sheetId="0" refreshError="1"/>
      <sheetData sheetId="1" refreshError="1">
        <row r="29">
          <cell r="B29">
            <v>0</v>
          </cell>
          <cell r="C29">
            <v>0</v>
          </cell>
          <cell r="D29">
            <v>0</v>
          </cell>
          <cell r="E29">
            <v>0.66666666666666674</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0.5</v>
          </cell>
          <cell r="AB29">
            <v>0</v>
          </cell>
          <cell r="AC29">
            <v>0</v>
          </cell>
          <cell r="AD29">
            <v>0</v>
          </cell>
          <cell r="AE29">
            <v>0</v>
          </cell>
          <cell r="AF2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row r="29">
          <cell r="B29">
            <v>0</v>
          </cell>
        </row>
        <row r="80">
          <cell r="AF80">
            <v>848560.50000000012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29">
          <cell r="B29">
            <v>0</v>
          </cell>
        </row>
      </sheetData>
      <sheetData sheetId="44">
        <row r="29">
          <cell r="B29">
            <v>0</v>
          </cell>
        </row>
      </sheetData>
      <sheetData sheetId="45">
        <row r="29">
          <cell r="B29">
            <v>0</v>
          </cell>
        </row>
      </sheetData>
      <sheetData sheetId="46">
        <row r="29">
          <cell r="B29">
            <v>0</v>
          </cell>
        </row>
      </sheetData>
      <sheetData sheetId="47">
        <row r="29">
          <cell r="B29">
            <v>0</v>
          </cell>
        </row>
      </sheetData>
      <sheetData sheetId="48">
        <row r="29">
          <cell r="B29">
            <v>0</v>
          </cell>
        </row>
      </sheetData>
      <sheetData sheetId="49">
        <row r="29">
          <cell r="B29">
            <v>0</v>
          </cell>
        </row>
      </sheetData>
      <sheetData sheetId="50">
        <row r="29">
          <cell r="B29">
            <v>0</v>
          </cell>
        </row>
      </sheetData>
      <sheetData sheetId="51">
        <row r="29">
          <cell r="B29">
            <v>0</v>
          </cell>
        </row>
      </sheetData>
      <sheetData sheetId="52">
        <row r="29">
          <cell r="B29">
            <v>0</v>
          </cell>
        </row>
      </sheetData>
      <sheetData sheetId="53">
        <row r="29">
          <cell r="B29">
            <v>0</v>
          </cell>
        </row>
      </sheetData>
      <sheetData sheetId="54">
        <row r="29">
          <cell r="B29">
            <v>0</v>
          </cell>
        </row>
      </sheetData>
      <sheetData sheetId="55">
        <row r="29">
          <cell r="B29">
            <v>0</v>
          </cell>
        </row>
      </sheetData>
      <sheetData sheetId="56">
        <row r="29">
          <cell r="B29">
            <v>0</v>
          </cell>
        </row>
      </sheetData>
      <sheetData sheetId="57">
        <row r="29">
          <cell r="B29">
            <v>0</v>
          </cell>
        </row>
      </sheetData>
      <sheetData sheetId="58">
        <row r="29">
          <cell r="B29">
            <v>0</v>
          </cell>
        </row>
      </sheetData>
      <sheetData sheetId="59">
        <row r="29">
          <cell r="B29">
            <v>0</v>
          </cell>
        </row>
      </sheetData>
      <sheetData sheetId="60">
        <row r="29">
          <cell r="B29">
            <v>0</v>
          </cell>
        </row>
      </sheetData>
      <sheetData sheetId="61">
        <row r="29">
          <cell r="B29">
            <v>0</v>
          </cell>
        </row>
      </sheetData>
      <sheetData sheetId="62">
        <row r="29">
          <cell r="B29">
            <v>0</v>
          </cell>
        </row>
      </sheetData>
      <sheetData sheetId="63">
        <row r="29">
          <cell r="B29">
            <v>0</v>
          </cell>
        </row>
      </sheetData>
      <sheetData sheetId="64">
        <row r="29">
          <cell r="B29">
            <v>0</v>
          </cell>
        </row>
      </sheetData>
      <sheetData sheetId="65">
        <row r="29">
          <cell r="B29">
            <v>0</v>
          </cell>
        </row>
      </sheetData>
      <sheetData sheetId="66">
        <row r="29">
          <cell r="B29">
            <v>0</v>
          </cell>
        </row>
      </sheetData>
      <sheetData sheetId="67">
        <row r="29">
          <cell r="B29">
            <v>0</v>
          </cell>
        </row>
      </sheetData>
      <sheetData sheetId="68">
        <row r="29">
          <cell r="B29">
            <v>0</v>
          </cell>
        </row>
      </sheetData>
      <sheetData sheetId="69">
        <row r="29">
          <cell r="B29">
            <v>0</v>
          </cell>
        </row>
      </sheetData>
      <sheetData sheetId="70">
        <row r="29">
          <cell r="B29">
            <v>0</v>
          </cell>
        </row>
      </sheetData>
      <sheetData sheetId="71">
        <row r="29">
          <cell r="B29">
            <v>0</v>
          </cell>
        </row>
      </sheetData>
      <sheetData sheetId="72">
        <row r="29">
          <cell r="B29">
            <v>0</v>
          </cell>
        </row>
      </sheetData>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29">
          <cell r="B29">
            <v>0</v>
          </cell>
        </row>
      </sheetData>
      <sheetData sheetId="116">
        <row r="29">
          <cell r="B29">
            <v>0</v>
          </cell>
        </row>
      </sheetData>
      <sheetData sheetId="117">
        <row r="29">
          <cell r="B29">
            <v>0</v>
          </cell>
        </row>
      </sheetData>
      <sheetData sheetId="118"/>
      <sheetData sheetId="119"/>
      <sheetData sheetId="120"/>
      <sheetData sheetId="121"/>
      <sheetData sheetId="122"/>
      <sheetData sheetId="123">
        <row r="29">
          <cell r="B29">
            <v>0</v>
          </cell>
        </row>
      </sheetData>
      <sheetData sheetId="124">
        <row r="29">
          <cell r="B29">
            <v>0</v>
          </cell>
        </row>
      </sheetData>
      <sheetData sheetId="125">
        <row r="29">
          <cell r="B29">
            <v>0</v>
          </cell>
        </row>
      </sheetData>
      <sheetData sheetId="126"/>
      <sheetData sheetId="127"/>
      <sheetData sheetId="128"/>
      <sheetData sheetId="129"/>
      <sheetData sheetId="130"/>
      <sheetData sheetId="131"/>
      <sheetData sheetId="132"/>
      <sheetData sheetId="133"/>
      <sheetData sheetId="134" refreshError="1"/>
      <sheetData sheetId="135">
        <row r="29">
          <cell r="B29">
            <v>0</v>
          </cell>
        </row>
      </sheetData>
      <sheetData sheetId="136">
        <row r="29">
          <cell r="B29">
            <v>0</v>
          </cell>
        </row>
      </sheetData>
      <sheetData sheetId="137"/>
      <sheetData sheetId="138"/>
      <sheetData sheetId="139"/>
      <sheetData sheetId="140"/>
      <sheetData sheetId="141"/>
      <sheetData sheetId="142"/>
      <sheetData sheetId="143">
        <row r="29">
          <cell r="B29">
            <v>0</v>
          </cell>
        </row>
      </sheetData>
      <sheetData sheetId="144">
        <row r="29">
          <cell r="B29">
            <v>0</v>
          </cell>
        </row>
      </sheetData>
      <sheetData sheetId="145"/>
      <sheetData sheetId="146"/>
      <sheetData sheetId="147"/>
      <sheetData sheetId="148"/>
      <sheetData sheetId="149"/>
      <sheetData sheetId="150"/>
      <sheetData sheetId="151"/>
      <sheetData sheetId="152"/>
      <sheetData sheetId="153"/>
      <sheetData sheetId="15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sh Flows"/>
      <sheetName val="Mine Plan"/>
    </sheetNames>
    <sheetDataSet>
      <sheetData sheetId="0" refreshError="1"/>
      <sheetData sheetId="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N (3)"/>
      <sheetName val="Inversion (4)"/>
      <sheetName val="VAN (2)"/>
      <sheetName val="Inversion (3)"/>
      <sheetName val="Hoja1 (2)"/>
      <sheetName val="Inversion (2)"/>
      <sheetName val="preliminar"/>
      <sheetName val="PREM DESC 01 GRADO A"/>
      <sheetName val="PREM DESC 01 STANDARD"/>
      <sheetName val="preliminar 2001 (2)"/>
      <sheetName val="Parámetros"/>
      <sheetName val="Hoja1"/>
      <sheetName val="Hoja3"/>
      <sheetName val="VAN"/>
      <sheetName val="Flujo"/>
      <sheetName val="Tabla Comparativa"/>
      <sheetName val="Costos TOTALES"/>
      <sheetName val="Depreciacion"/>
      <sheetName val="Ingresos"/>
      <sheetName val=" produccion cb 2003"/>
      <sheetName val="Gráfico1"/>
      <sheetName val="Hoja2"/>
      <sheetName val="Inversion"/>
      <sheetName val="Inversion (5)"/>
      <sheetName val="Cash Flows"/>
      <sheetName val="Mine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row r="2">
          <cell r="B2" t="str">
            <v>CASO BASE VIGENTE 2003</v>
          </cell>
        </row>
        <row r="3">
          <cell r="B3" t="str">
            <v>NEGOCIO MINA HIDROMETALURGIA - DIVISION RADOMIRO TOMIC</v>
          </cell>
        </row>
        <row r="5">
          <cell r="D5" t="str">
            <v>CUADRO DE INGRESOS, COSTOS E INVERSIONES</v>
          </cell>
        </row>
        <row r="8">
          <cell r="E8" t="str">
            <v>Precio del Cobre (US¢/lb)</v>
          </cell>
          <cell r="G8">
            <v>102</v>
          </cell>
        </row>
        <row r="9">
          <cell r="E9" t="str">
            <v>Tipo de Cambio ($/US$)</v>
          </cell>
          <cell r="G9">
            <v>680.2</v>
          </cell>
        </row>
        <row r="10">
          <cell r="E10" t="str">
            <v>Moneda</v>
          </cell>
          <cell r="G10" t="str">
            <v>PROMEDIO 2002</v>
          </cell>
        </row>
        <row r="11">
          <cell r="E11" t="str">
            <v>Tasa de Descuento</v>
          </cell>
          <cell r="G11">
            <v>0.1</v>
          </cell>
        </row>
        <row r="12">
          <cell r="E12" t="str">
            <v xml:space="preserve">Fecha de Actualización de Flujos </v>
          </cell>
          <cell r="G12">
            <v>37621</v>
          </cell>
        </row>
        <row r="15">
          <cell r="B15" t="str">
            <v xml:space="preserve">AÑO </v>
          </cell>
          <cell r="C15" t="str">
            <v>INVERSIÓN (*)</v>
          </cell>
          <cell r="D15" t="str">
            <v>INGRESO</v>
          </cell>
          <cell r="E15" t="str">
            <v>VALOR</v>
          </cell>
          <cell r="F15" t="str">
            <v>TOTAL COSTOS</v>
          </cell>
          <cell r="G15" t="str">
            <v xml:space="preserve">FLUJO DE </v>
          </cell>
        </row>
        <row r="16">
          <cell r="D16" t="str">
            <v>TOTAL (**)</v>
          </cell>
          <cell r="E16" t="str">
            <v>RESIDUAL</v>
          </cell>
          <cell r="F16" t="str">
            <v>Y GASTOS NETOS (***)</v>
          </cell>
          <cell r="G16" t="str">
            <v>CAJA</v>
          </cell>
        </row>
        <row r="17">
          <cell r="C17" t="str">
            <v>[kUS$]</v>
          </cell>
          <cell r="D17" t="str">
            <v>[kUS$]</v>
          </cell>
          <cell r="E17" t="str">
            <v>[kUS$]</v>
          </cell>
          <cell r="F17" t="str">
            <v>[kUS$]</v>
          </cell>
          <cell r="G17" t="str">
            <v>[kUS$]</v>
          </cell>
        </row>
        <row r="18">
          <cell r="B18">
            <v>2003</v>
          </cell>
          <cell r="C18">
            <v>49155.966666666667</v>
          </cell>
          <cell r="D18">
            <v>534343.23204999999</v>
          </cell>
          <cell r="E18">
            <v>0</v>
          </cell>
          <cell r="F18">
            <v>221954.10794173367</v>
          </cell>
          <cell r="G18">
            <v>263233.15744159964</v>
          </cell>
        </row>
        <row r="19">
          <cell r="B19">
            <v>2004</v>
          </cell>
          <cell r="C19">
            <v>33236</v>
          </cell>
          <cell r="D19">
            <v>615913.78612705623</v>
          </cell>
          <cell r="E19">
            <v>0</v>
          </cell>
          <cell r="F19">
            <v>233432.86280519213</v>
          </cell>
          <cell r="G19">
            <v>349244.9233218641</v>
          </cell>
        </row>
        <row r="20">
          <cell r="B20">
            <v>2005</v>
          </cell>
          <cell r="C20">
            <v>8006.3107114754102</v>
          </cell>
          <cell r="D20">
            <v>614496.14073519246</v>
          </cell>
          <cell r="E20">
            <v>0</v>
          </cell>
          <cell r="F20">
            <v>216640.41390614875</v>
          </cell>
          <cell r="G20">
            <v>389849.41611756827</v>
          </cell>
        </row>
        <row r="21">
          <cell r="B21">
            <v>2006</v>
          </cell>
          <cell r="C21">
            <v>20657.172782631897</v>
          </cell>
          <cell r="D21">
            <v>606234.89743324253</v>
          </cell>
          <cell r="E21">
            <v>0</v>
          </cell>
          <cell r="F21">
            <v>223139.28990325844</v>
          </cell>
          <cell r="G21">
            <v>362438.43474735221</v>
          </cell>
        </row>
        <row r="22">
          <cell r="B22">
            <v>2007</v>
          </cell>
          <cell r="C22">
            <v>10424.156025531827</v>
          </cell>
          <cell r="D22">
            <v>598238.33474193746</v>
          </cell>
          <cell r="E22">
            <v>0</v>
          </cell>
          <cell r="F22">
            <v>220439.55086172288</v>
          </cell>
          <cell r="G22">
            <v>367374.62785468274</v>
          </cell>
        </row>
        <row r="23">
          <cell r="B23">
            <v>2008</v>
          </cell>
          <cell r="C23">
            <v>21469.754243446114</v>
          </cell>
          <cell r="D23">
            <v>575385.57020011113</v>
          </cell>
          <cell r="E23">
            <v>0</v>
          </cell>
          <cell r="F23">
            <v>213716.40431603097</v>
          </cell>
          <cell r="G23">
            <v>340199.41164063406</v>
          </cell>
        </row>
        <row r="24">
          <cell r="B24">
            <v>2009</v>
          </cell>
          <cell r="C24">
            <v>6856.0703290144493</v>
          </cell>
          <cell r="D24">
            <v>570849.90700860356</v>
          </cell>
          <cell r="E24">
            <v>0</v>
          </cell>
          <cell r="F24">
            <v>210057.16656723575</v>
          </cell>
          <cell r="G24">
            <v>353936.6701123534</v>
          </cell>
        </row>
        <row r="25">
          <cell r="B25">
            <v>2010</v>
          </cell>
          <cell r="C25">
            <v>6635</v>
          </cell>
          <cell r="D25">
            <v>489969.77611636324</v>
          </cell>
          <cell r="E25">
            <v>0</v>
          </cell>
          <cell r="F25">
            <v>189403.2675151522</v>
          </cell>
          <cell r="G25">
            <v>293931.50860121101</v>
          </cell>
        </row>
        <row r="26">
          <cell r="B26">
            <v>2011</v>
          </cell>
          <cell r="C26">
            <v>7303</v>
          </cell>
          <cell r="D26">
            <v>444938.29889720504</v>
          </cell>
          <cell r="E26">
            <v>0</v>
          </cell>
          <cell r="F26">
            <v>182563.33954558912</v>
          </cell>
          <cell r="G26">
            <v>255071.95935161592</v>
          </cell>
        </row>
        <row r="27">
          <cell r="B27">
            <v>2012</v>
          </cell>
          <cell r="C27">
            <v>6000</v>
          </cell>
          <cell r="D27">
            <v>424281.63955222414</v>
          </cell>
          <cell r="E27">
            <v>0</v>
          </cell>
          <cell r="F27">
            <v>157426.66389688532</v>
          </cell>
          <cell r="G27">
            <v>260854.97565533881</v>
          </cell>
        </row>
        <row r="28">
          <cell r="B28">
            <v>2013</v>
          </cell>
          <cell r="C28">
            <v>5000</v>
          </cell>
          <cell r="D28">
            <v>370526.9448334116</v>
          </cell>
          <cell r="E28">
            <v>0</v>
          </cell>
          <cell r="F28">
            <v>135219.39397585858</v>
          </cell>
          <cell r="G28">
            <v>230307.55085755303</v>
          </cell>
        </row>
        <row r="29">
          <cell r="B29">
            <v>2014</v>
          </cell>
          <cell r="C29">
            <v>1200</v>
          </cell>
          <cell r="D29">
            <v>380675.59027892415</v>
          </cell>
          <cell r="E29">
            <v>0</v>
          </cell>
          <cell r="F29">
            <v>128586.0500691099</v>
          </cell>
          <cell r="G29">
            <v>250889.54020981427</v>
          </cell>
        </row>
        <row r="30">
          <cell r="B30">
            <v>2015</v>
          </cell>
          <cell r="C30">
            <v>400</v>
          </cell>
          <cell r="D30">
            <v>298839.9650267025</v>
          </cell>
          <cell r="E30">
            <v>-649000</v>
          </cell>
          <cell r="F30">
            <v>105457.26385173219</v>
          </cell>
          <cell r="G30">
            <v>841982.70117497025</v>
          </cell>
        </row>
        <row r="31">
          <cell r="B31">
            <v>2016</v>
          </cell>
          <cell r="C31">
            <v>400</v>
          </cell>
          <cell r="D31">
            <v>19096.271547291664</v>
          </cell>
          <cell r="E31">
            <v>0</v>
          </cell>
          <cell r="F31">
            <v>10163.257244345066</v>
          </cell>
          <cell r="G31">
            <v>8533.014302946598</v>
          </cell>
        </row>
        <row r="32">
          <cell r="B32">
            <v>2017</v>
          </cell>
          <cell r="C32">
            <v>200</v>
          </cell>
          <cell r="D32">
            <v>18392.724700812501</v>
          </cell>
          <cell r="E32">
            <v>0</v>
          </cell>
          <cell r="F32">
            <v>10021.395836643776</v>
          </cell>
          <cell r="G32">
            <v>8171.328864168725</v>
          </cell>
        </row>
        <row r="33">
          <cell r="B33">
            <v>2018</v>
          </cell>
          <cell r="C33">
            <v>0</v>
          </cell>
          <cell r="D33">
            <v>16306.205767539996</v>
          </cell>
          <cell r="E33">
            <v>0</v>
          </cell>
          <cell r="F33">
            <v>9714.1888691278946</v>
          </cell>
          <cell r="G33">
            <v>6592.016898412101</v>
          </cell>
        </row>
        <row r="34">
          <cell r="B34">
            <v>2019</v>
          </cell>
          <cell r="C34">
            <v>0</v>
          </cell>
          <cell r="D34">
            <v>0</v>
          </cell>
          <cell r="E34">
            <v>0</v>
          </cell>
          <cell r="F34">
            <v>0</v>
          </cell>
          <cell r="G34">
            <v>0</v>
          </cell>
        </row>
        <row r="35">
          <cell r="B35">
            <v>2020</v>
          </cell>
          <cell r="D35">
            <v>0</v>
          </cell>
          <cell r="F35">
            <v>0</v>
          </cell>
          <cell r="G35">
            <v>0</v>
          </cell>
        </row>
        <row r="36">
          <cell r="B36">
            <v>2021</v>
          </cell>
          <cell r="C36">
            <v>0</v>
          </cell>
          <cell r="D36">
            <v>0</v>
          </cell>
          <cell r="F36">
            <v>0</v>
          </cell>
          <cell r="G36">
            <v>0</v>
          </cell>
        </row>
        <row r="37">
          <cell r="B37">
            <v>2022</v>
          </cell>
          <cell r="C37">
            <v>0</v>
          </cell>
          <cell r="D37">
            <v>0</v>
          </cell>
          <cell r="F37">
            <v>0</v>
          </cell>
          <cell r="G37">
            <v>0</v>
          </cell>
        </row>
        <row r="38">
          <cell r="B38">
            <v>2023</v>
          </cell>
          <cell r="C38">
            <v>0</v>
          </cell>
          <cell r="D38">
            <v>0</v>
          </cell>
          <cell r="F38">
            <v>0</v>
          </cell>
          <cell r="G38">
            <v>0</v>
          </cell>
        </row>
        <row r="39">
          <cell r="B39">
            <v>2024</v>
          </cell>
          <cell r="C39">
            <v>0</v>
          </cell>
          <cell r="D39">
            <v>0</v>
          </cell>
          <cell r="F39">
            <v>0</v>
          </cell>
          <cell r="G39">
            <v>0</v>
          </cell>
        </row>
        <row r="40">
          <cell r="B40">
            <v>2025</v>
          </cell>
          <cell r="C40">
            <v>0</v>
          </cell>
          <cell r="D40">
            <v>0</v>
          </cell>
          <cell r="F40">
            <v>0</v>
          </cell>
          <cell r="G40">
            <v>0</v>
          </cell>
        </row>
        <row r="41">
          <cell r="B41">
            <v>2022</v>
          </cell>
          <cell r="C41">
            <v>0</v>
          </cell>
          <cell r="D41">
            <v>0</v>
          </cell>
          <cell r="F41">
            <v>0</v>
          </cell>
          <cell r="G41">
            <v>0</v>
          </cell>
        </row>
        <row r="42">
          <cell r="B42" t="str">
            <v>TOTAL</v>
          </cell>
          <cell r="C42">
            <v>176943.43075876636</v>
          </cell>
          <cell r="D42">
            <v>6578489.2850166187</v>
          </cell>
          <cell r="E42">
            <v>-649000</v>
          </cell>
          <cell r="F42">
            <v>2467934.6171057671</v>
          </cell>
          <cell r="G42">
            <v>4582611.2371520847</v>
          </cell>
        </row>
        <row r="43">
          <cell r="B43" t="str">
            <v>VAN</v>
          </cell>
          <cell r="C43">
            <v>125298.96742589363</v>
          </cell>
          <cell r="D43">
            <v>3791275.0793586243</v>
          </cell>
          <cell r="E43">
            <v>-187992.18244911029</v>
          </cell>
          <cell r="F43">
            <v>1427753.1601641183</v>
          </cell>
          <cell r="G43">
            <v>2426215.1342177233</v>
          </cell>
        </row>
        <row r="46">
          <cell r="F46" t="str">
            <v>VAN  (kUS$)</v>
          </cell>
          <cell r="G46">
            <v>2426215.1342177233</v>
          </cell>
        </row>
        <row r="47">
          <cell r="F47" t="str">
            <v>TIR  (%)</v>
          </cell>
        </row>
        <row r="48">
          <cell r="F48" t="str">
            <v>IVAN</v>
          </cell>
          <cell r="G48">
            <v>19.363408845748673</v>
          </cell>
        </row>
      </sheetData>
      <sheetData sheetId="15" refreshError="1">
        <row r="8">
          <cell r="B8" t="str">
            <v>Precio del Cobre (US¢/lb)</v>
          </cell>
          <cell r="C8">
            <v>82</v>
          </cell>
          <cell r="E8" t="str">
            <v>Precio del Cobre (US¢/lb)</v>
          </cell>
          <cell r="F8">
            <v>97</v>
          </cell>
          <cell r="H8" t="str">
            <v>Precio del Cobre (US¢/lb)</v>
          </cell>
          <cell r="I8">
            <v>112</v>
          </cell>
        </row>
        <row r="9">
          <cell r="B9" t="str">
            <v>Tipo de Cambio ($/US$)</v>
          </cell>
          <cell r="C9">
            <v>540</v>
          </cell>
          <cell r="E9" t="str">
            <v>Tipo de Cambio ($/US$)</v>
          </cell>
          <cell r="F9">
            <v>540</v>
          </cell>
          <cell r="H9" t="str">
            <v>Tipo de Cambio ($/US$)</v>
          </cell>
          <cell r="I9">
            <v>540</v>
          </cell>
        </row>
        <row r="10">
          <cell r="B10" t="str">
            <v>Moneda</v>
          </cell>
          <cell r="C10" t="str">
            <v>Promedio 2000</v>
          </cell>
          <cell r="E10" t="str">
            <v>Moneda</v>
          </cell>
          <cell r="F10" t="str">
            <v>Promedio 2000</v>
          </cell>
          <cell r="H10" t="str">
            <v>Moneda</v>
          </cell>
          <cell r="I10" t="str">
            <v>Promedio 2000</v>
          </cell>
        </row>
        <row r="13">
          <cell r="C13" t="str">
            <v xml:space="preserve">US¢/lb </v>
          </cell>
          <cell r="F13" t="str">
            <v xml:space="preserve">US¢/lb </v>
          </cell>
          <cell r="I13" t="str">
            <v xml:space="preserve">US¢/lb </v>
          </cell>
        </row>
        <row r="14">
          <cell r="B14" t="str">
            <v>Desc. Cátodo HG SX-EW 2001</v>
          </cell>
          <cell r="C14">
            <v>1.17</v>
          </cell>
          <cell r="E14" t="str">
            <v>Desc. Cátodo HG SX-EW 2001</v>
          </cell>
          <cell r="F14">
            <v>1.2406926426562599</v>
          </cell>
          <cell r="H14" t="str">
            <v>Desc. Cátodo HG SX-EW 2001</v>
          </cell>
          <cell r="I14">
            <v>1.3156926426562601</v>
          </cell>
        </row>
        <row r="15">
          <cell r="B15" t="str">
            <v>Desc. Cátodo HG SX-EW 2002</v>
          </cell>
          <cell r="C15">
            <v>1.17</v>
          </cell>
          <cell r="E15" t="str">
            <v>Desc. Cátodo HG SX-EW 2002</v>
          </cell>
          <cell r="F15">
            <v>1.2406926426562599</v>
          </cell>
          <cell r="H15" t="str">
            <v>Desc. Cátodo HG SX-EW 2002</v>
          </cell>
          <cell r="I15">
            <v>1.3156926426562601</v>
          </cell>
        </row>
        <row r="16">
          <cell r="B16" t="str">
            <v>Desc. Cátodo Prom. 2003-2013</v>
          </cell>
          <cell r="C16">
            <v>0.8</v>
          </cell>
          <cell r="E16" t="str">
            <v>Desc. Cátodo Prom. 2003-2013</v>
          </cell>
          <cell r="F16">
            <v>0.87962941123106198</v>
          </cell>
          <cell r="H16" t="str">
            <v>Desc. Cátodo Prom. 2003-2013</v>
          </cell>
          <cell r="I16">
            <v>0.95462941123106204</v>
          </cell>
        </row>
        <row r="18">
          <cell r="C18" t="str">
            <v>US$/t acido</v>
          </cell>
          <cell r="F18" t="str">
            <v>US$/t acido</v>
          </cell>
          <cell r="I18" t="str">
            <v>US$/t acido</v>
          </cell>
        </row>
        <row r="19">
          <cell r="B19" t="str">
            <v>Pr. Ácido Sulfúrico 2001</v>
          </cell>
          <cell r="C19">
            <v>29.1</v>
          </cell>
          <cell r="E19" t="str">
            <v>Pr. Ácido Sulfúrico 2001</v>
          </cell>
          <cell r="F19">
            <v>29.1</v>
          </cell>
          <cell r="H19" t="str">
            <v>Pr. Ácido Sulfúrico 2001</v>
          </cell>
          <cell r="I19">
            <v>29.1</v>
          </cell>
        </row>
        <row r="20">
          <cell r="B20" t="str">
            <v>Pr. Ácido Sulfúrico 2002</v>
          </cell>
          <cell r="C20">
            <v>29.1</v>
          </cell>
          <cell r="E20" t="str">
            <v>Pr. Ácido Sulfúrico 2002</v>
          </cell>
          <cell r="F20">
            <v>29.1</v>
          </cell>
          <cell r="H20" t="str">
            <v>Pr. Ácido Sulfúrico 2002</v>
          </cell>
          <cell r="I20">
            <v>29.1</v>
          </cell>
        </row>
        <row r="21">
          <cell r="B21" t="str">
            <v>Pr. Ácido Sulfúrico 2003</v>
          </cell>
          <cell r="C21">
            <v>23.96</v>
          </cell>
          <cell r="E21" t="str">
            <v>Pr. Ácido Sulfúrico 2003</v>
          </cell>
          <cell r="F21">
            <v>23.96</v>
          </cell>
          <cell r="H21" t="str">
            <v>Pr. Ácido Sulfúrico 2003</v>
          </cell>
          <cell r="I21">
            <v>23.96</v>
          </cell>
        </row>
        <row r="22">
          <cell r="B22" t="str">
            <v>Pr. Ácido Sulfúrico 2004-2017</v>
          </cell>
          <cell r="C22">
            <v>13.54</v>
          </cell>
          <cell r="E22" t="str">
            <v>Pr. Ácido Sulfúrico 2004-2017</v>
          </cell>
          <cell r="F22">
            <v>13.54</v>
          </cell>
          <cell r="H22" t="str">
            <v>Pr. Ácido Sulfúrico 2004-2017</v>
          </cell>
          <cell r="I22">
            <v>13.54</v>
          </cell>
        </row>
        <row r="25">
          <cell r="B25" t="str">
            <v>INDICADORES ECONÓMICOS  (ANTES DE IMPUESTOS)</v>
          </cell>
          <cell r="E25" t="str">
            <v>INDICADORES ECONÓMICOS  (ANTES DE IMPUESTOS)</v>
          </cell>
          <cell r="H25" t="str">
            <v>INDICADORES ECONÓMICOS  (ANTES DE IMPUESTOS)</v>
          </cell>
        </row>
        <row r="28">
          <cell r="B28" t="str">
            <v>VAN (Mill. US$)  [2]</v>
          </cell>
          <cell r="C28">
            <v>1746</v>
          </cell>
          <cell r="E28" t="str">
            <v>VAN (Mill. US$)  [2]</v>
          </cell>
          <cell r="F28">
            <v>2297</v>
          </cell>
          <cell r="H28" t="str">
            <v>VAN (Mill. US$)  [2]</v>
          </cell>
          <cell r="I28">
            <v>2849</v>
          </cell>
        </row>
      </sheetData>
      <sheetData sheetId="16" refreshError="1"/>
      <sheetData sheetId="17" refreshError="1">
        <row r="63">
          <cell r="C63">
            <v>0</v>
          </cell>
          <cell r="D63">
            <v>0</v>
          </cell>
          <cell r="E63">
            <v>3585.375</v>
          </cell>
          <cell r="F63">
            <v>4300.625</v>
          </cell>
          <cell r="G63">
            <v>4300.625</v>
          </cell>
          <cell r="H63">
            <v>8949.75</v>
          </cell>
          <cell r="I63">
            <v>11478.5</v>
          </cell>
          <cell r="K63">
            <v>12815</v>
          </cell>
          <cell r="L63">
            <v>13131.75</v>
          </cell>
          <cell r="M63">
            <v>15992.75</v>
          </cell>
          <cell r="N63">
            <v>14195.5</v>
          </cell>
          <cell r="O63">
            <v>13480.25</v>
          </cell>
          <cell r="Q63">
            <v>13480.25</v>
          </cell>
          <cell r="R63">
            <v>8831.125</v>
          </cell>
          <cell r="S63">
            <v>6302.375</v>
          </cell>
          <cell r="T63">
            <v>4965.875</v>
          </cell>
          <cell r="U63">
            <v>4649.125</v>
          </cell>
          <cell r="V63">
            <v>1788.125</v>
          </cell>
          <cell r="W63">
            <v>0</v>
          </cell>
          <cell r="X63">
            <v>0</v>
          </cell>
        </row>
        <row r="83">
          <cell r="C83">
            <v>0</v>
          </cell>
          <cell r="D83">
            <v>0</v>
          </cell>
          <cell r="E83">
            <v>4810.6924259259258</v>
          </cell>
          <cell r="F83">
            <v>5611.4018964120369</v>
          </cell>
          <cell r="G83">
            <v>6621.6820335648144</v>
          </cell>
          <cell r="H83">
            <v>7643.561587384258</v>
          </cell>
          <cell r="I83">
            <v>8397.0478912037015</v>
          </cell>
          <cell r="K83">
            <v>9144.2028616898133</v>
          </cell>
          <cell r="L83">
            <v>9853.1444922245355</v>
          </cell>
          <cell r="M83">
            <v>10556.626720238424</v>
          </cell>
          <cell r="N83">
            <v>11030.102030678703</v>
          </cell>
          <cell r="O83">
            <v>11603.124269242591</v>
          </cell>
          <cell r="Q83">
            <v>12075.638261374535</v>
          </cell>
          <cell r="R83">
            <v>12306.685481723147</v>
          </cell>
          <cell r="S83">
            <v>7620.993055797222</v>
          </cell>
          <cell r="T83">
            <v>6945.2835853111119</v>
          </cell>
          <cell r="U83">
            <v>5935.0034481583334</v>
          </cell>
          <cell r="V83">
            <v>4913.1238943388898</v>
          </cell>
          <cell r="W83">
            <v>4159.6375905194454</v>
          </cell>
          <cell r="X83">
            <v>3412.4826200333346</v>
          </cell>
        </row>
      </sheetData>
      <sheetData sheetId="18"/>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preciacion"/>
      <sheetName val="Flujo"/>
      <sheetName val="Ingresos"/>
      <sheetName val="Tabla Comparativa"/>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e Unit Costs &amp; Consumption C"/>
      <sheetName val="Timing &amp; Assumptions"/>
      <sheetName val="Mine Plan"/>
      <sheetName val="D_Mes"/>
      <sheetName val="tarifas gpro"/>
      <sheetName val="Inversiones"/>
      <sheetName val="AP"/>
      <sheetName val="AR"/>
      <sheetName val="FACT"/>
      <sheetName val="DIF"/>
      <sheetName val="CI"/>
      <sheetName val="CR"/>
      <sheetName val="CP"/>
      <sheetName val="DAT"/>
      <sheetName val="EX-DIF"/>
      <sheetName val="SAP"/>
      <sheetName val="HR"/>
      <sheetName val="PARAMETROS"/>
      <sheetName val="CONV.DESEMP."/>
      <sheetName val="TI860 (PRESUP)"/>
      <sheetName val="CAT_5"/>
      <sheetName val="Sheet2"/>
      <sheetName val="matriz"/>
      <sheetName val="Condicion"/>
      <sheetName val="Cám. Curado Ext."/>
      <sheetName val="Tabla velocidades y combustible"/>
      <sheetName val="Itemiz"/>
      <sheetName val="Lista"/>
      <sheetName val="Resumen Bud FY03 &amp; CO"/>
      <sheetName val="Planilla "/>
      <sheetName val="no borrrar"/>
      <sheetName val="CTTOS"/>
      <sheetName val="Depreciacion"/>
      <sheetName val="Flujo"/>
      <sheetName val="Ingresos"/>
      <sheetName val="Tabla Comparativa"/>
      <sheetName val="Full Cost"/>
      <sheetName val="General"/>
      <sheetName val=""/>
      <sheetName val="EQUIPOS"/>
      <sheetName val="EP01-2009.11"/>
      <sheetName val="Hoja1"/>
      <sheetName val="CALC"/>
      <sheetName val="tierras y pavimentos"/>
      <sheetName val="Chequeos en Propuesta"/>
      <sheetName val="Cash Flows"/>
      <sheetName val="Mine_Unit_Costs_&amp;_Consumption_C"/>
      <sheetName val="Timing_&amp;_Assumptions"/>
      <sheetName val="Mine_Plan"/>
      <sheetName val="tarifas_gpro"/>
      <sheetName val="CONV_DESEMP_"/>
      <sheetName val="TI860_(PRESUP)"/>
      <sheetName val="Mine_Unit_Costs_&amp;_Consumption_1"/>
      <sheetName val="Timing_&amp;_Assumptions1"/>
      <sheetName val="Mine_Plan1"/>
      <sheetName val="tarifas_gpro1"/>
      <sheetName val="CONV_DESEMP_1"/>
      <sheetName val="TI860_(PRESUP)1"/>
      <sheetName val="Mine_Unit_Costs_&amp;_Consumption_2"/>
      <sheetName val="Timing_&amp;_Assumptions2"/>
      <sheetName val="Mine_Plan2"/>
      <sheetName val="tarifas_gpro2"/>
      <sheetName val="CONV_DESEMP_2"/>
      <sheetName val="TI860_(PRESUP)2"/>
      <sheetName val="Directo"/>
      <sheetName val="Unypre"/>
      <sheetName val="WhiteSheet"/>
      <sheetName val="Desarroll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costos"/>
      <sheetName val="proyctrol"/>
      <sheetName val="financiero"/>
      <sheetName val="Gantt"/>
      <sheetName val="Gantt (2)"/>
      <sheetName val="E-PROYECTO"/>
      <sheetName val="412"/>
      <sheetName val="HD"/>
      <sheetName val="DIF. FISICO"/>
      <sheetName val="N06MH12 ACUM MARZO 07"/>
      <sheetName val="Gantt_(2)"/>
      <sheetName val="PROG"/>
      <sheetName val="TOTALES"/>
      <sheetName val="Prod_Concent"/>
      <sheetName val="Parametros"/>
      <sheetName val="Parámetros"/>
      <sheetName val="1.1.A. Cátodos ER y SXEW. 2005"/>
      <sheetName val="Gantt_(2)1"/>
      <sheetName val="DIF__FISICO"/>
      <sheetName val="N06MH12_ACUM_MARZO_07"/>
      <sheetName val="1_1_A__Cátodos_ER_y_SXEW__2005"/>
      <sheetName val="Estima_Dot_Inv"/>
      <sheetName val="Const Staff"/>
      <sheetName val="flujo-Objetivo"/>
      <sheetName val="INTINDEX"/>
      <sheetName val="AREAS 2002"/>
      <sheetName val="AREAS CONCENTRADORA 2001"/>
      <sheetName val="product"/>
      <sheetName val="Perfo"/>
      <sheetName val="PALAS"/>
      <sheetName val="mov tierra"/>
      <sheetName val="DistrInv"/>
      <sheetName val="MAT"/>
      <sheetName val="SA"/>
      <sheetName val="Basis"/>
      <sheetName val="Mine Unit Costs &amp; Consumption C"/>
      <sheetName val="_"/>
      <sheetName val="Proyecto Nuevos 2010"/>
      <sheetName val="0-Datos de la Obra"/>
      <sheetName val="Sheet 1 (Notes)"/>
      <sheetName val="Valores"/>
      <sheetName val="Parameters"/>
      <sheetName val="Pivot_Tables"/>
      <sheetName val="CINDIREC"/>
      <sheetName val="Dept.Forecast-2003"/>
      <sheetName val="Dept.Forecast-Jan-Dec2004"/>
      <sheetName val="Gantt_(2)2"/>
      <sheetName val="N06MH12_ACUM_MARZO_071"/>
      <sheetName val="DIF__FISICO1"/>
      <sheetName val="1_1_A__Cátodos_ER_y_SXEW__20051"/>
      <sheetName val="Const_Staff"/>
      <sheetName val="AREAS_2002"/>
      <sheetName val="AREAS_CONCENTRADORA_2001"/>
      <sheetName val="mov_tierra"/>
      <sheetName val="0-Datos_de_la_Obra"/>
      <sheetName val="Proyecto_Nuevos_2010"/>
      <sheetName val="Sheet_1_(Notes)"/>
      <sheetName val="Gantt_(2)3"/>
      <sheetName val="N06MH12_ACUM_MARZO_072"/>
      <sheetName val="DIF__FISICO2"/>
      <sheetName val="1_1_A__Cátodos_ER_y_SXEW__20052"/>
      <sheetName val="Const_Staff1"/>
      <sheetName val="AREAS_20021"/>
      <sheetName val="AREAS_CONCENTRADORA_20011"/>
      <sheetName val="mov_tierra1"/>
      <sheetName val="0-Datos_de_la_Obra1"/>
      <sheetName val="Proyecto_Nuevos_20101"/>
      <sheetName val="Sheet_1_(Notes)1"/>
      <sheetName val="Dept_Forecast-2003"/>
      <sheetName val="Dept_Forecast-Jan-Dec2004"/>
      <sheetName val="PROYECTOS"/>
      <sheetName val="Gantt_(2)4"/>
      <sheetName val="N06MH12_ACUM_MARZO_073"/>
      <sheetName val="DIF__FISICO3"/>
      <sheetName val="1_1_A__Cátodos_ER_y_SXEW__20053"/>
      <sheetName val="Const_Staff2"/>
      <sheetName val="AREAS_20022"/>
      <sheetName val="AREAS_CONCENTRADORA_20012"/>
      <sheetName val="mov_tierra2"/>
      <sheetName val="0-Datos_de_la_Obra2"/>
      <sheetName val="Proyecto_Nuevos_20102"/>
      <sheetName val="Sheet_1_(Notes)2"/>
      <sheetName val="Dept_Forecast-20031"/>
      <sheetName val="Dept_Forecast-Jan-Dec20041"/>
      <sheetName val="datos"/>
      <sheetName val="Gantt_(2)5"/>
      <sheetName val="DIF__FISICO4"/>
      <sheetName val="N06MH12_ACUM_MARZO_074"/>
      <sheetName val="1_1_A__Cátodos_ER_y_SXEW__20054"/>
      <sheetName val="Const_Staff3"/>
      <sheetName val="AREAS_20023"/>
      <sheetName val="AREAS_CONCENTRADORA_20013"/>
      <sheetName val="mov_tierra3"/>
      <sheetName val="TABLAS"/>
      <sheetName val="Resumen"/>
      <sheetName val="Base"/>
      <sheetName val="Gantt_(2)6"/>
      <sheetName val="DIF__FISICO5"/>
      <sheetName val="N06MH12_ACUM_MARZO_075"/>
      <sheetName val="1_1_A__Cátodos_ER_y_SXEW__20055"/>
      <sheetName val="Const_Staff4"/>
      <sheetName val="AREAS_20024"/>
      <sheetName val="AREAS_CONCENTRADORA_20014"/>
      <sheetName val="mov_tierra4"/>
      <sheetName val="0-Datos_de_la_Obra3"/>
      <sheetName val="Proyecto_Nuevos_20103"/>
      <sheetName val="Sheet_1_(Notes)3"/>
      <sheetName val="Dept_Forecast-20032"/>
      <sheetName val="Dept_Forecast-Jan-Dec20042"/>
      <sheetName val="Plan1"/>
      <sheetName val="WBS"/>
      <sheetName val="Staffing Plan"/>
      <sheetName val="Reportabilidad Pérdidas Op"/>
      <sheetName val="7422CW00"/>
    </sheetNames>
    <sheetDataSet>
      <sheetData sheetId="0"/>
      <sheetData sheetId="1">
        <row r="12">
          <cell r="C12">
            <v>0</v>
          </cell>
        </row>
      </sheetData>
      <sheetData sheetId="2"/>
      <sheetData sheetId="3"/>
      <sheetData sheetId="4" refreshError="1">
        <row r="12">
          <cell r="C12" t="str">
            <v xml:space="preserve"> </v>
          </cell>
          <cell r="L12" t="str">
            <v xml:space="preserve">CARTA GANTT/CURVA "S" </v>
          </cell>
          <cell r="V12" t="str">
            <v>Objetivo Convenio</v>
          </cell>
        </row>
        <row r="13">
          <cell r="L13" t="str">
            <v>TOTAL</v>
          </cell>
          <cell r="V13" t="str">
            <v>Avance Real</v>
          </cell>
        </row>
        <row r="14">
          <cell r="C14" t="str">
            <v>API:  97-06-02 Construcción sala de acopio de basuras</v>
          </cell>
          <cell r="V14" t="str">
            <v>Período ejecuc. Reprogramado</v>
          </cell>
        </row>
        <row r="15">
          <cell r="C15" t="str">
            <v>y muelle de embarque de alimentación Hotel Hilton</v>
          </cell>
        </row>
        <row r="16">
          <cell r="C16" t="str">
            <v xml:space="preserve">Jefe Proyecto     </v>
          </cell>
          <cell r="E16" t="str">
            <v>PABLO FERNANDEZ</v>
          </cell>
          <cell r="V16" t="str">
            <v>Fecha de control</v>
          </cell>
        </row>
        <row r="17">
          <cell r="G17" t="str">
            <v xml:space="preserve"> </v>
          </cell>
          <cell r="V17">
            <v>35794</v>
          </cell>
        </row>
        <row r="18">
          <cell r="C18" t="str">
            <v>Fase</v>
          </cell>
          <cell r="F18" t="str">
            <v>Año</v>
          </cell>
          <cell r="G18" t="str">
            <v>1 9 9 7</v>
          </cell>
          <cell r="S18" t="str">
            <v>1 9 9 8</v>
          </cell>
          <cell r="U18" t="str">
            <v>%</v>
          </cell>
          <cell r="V18" t="str">
            <v>Fact.</v>
          </cell>
          <cell r="W18" t="str">
            <v>%  Avance</v>
          </cell>
        </row>
        <row r="19">
          <cell r="C19" t="str">
            <v>Items</v>
          </cell>
          <cell r="F19" t="str">
            <v>Mes</v>
          </cell>
          <cell r="G19" t="str">
            <v>ENE</v>
          </cell>
          <cell r="H19" t="str">
            <v>FEB</v>
          </cell>
          <cell r="I19" t="str">
            <v>MAR</v>
          </cell>
          <cell r="J19" t="str">
            <v>ABR</v>
          </cell>
          <cell r="K19" t="str">
            <v>MAY</v>
          </cell>
          <cell r="L19" t="str">
            <v>JUN</v>
          </cell>
          <cell r="M19" t="str">
            <v>JUL</v>
          </cell>
          <cell r="N19" t="str">
            <v>AGO</v>
          </cell>
          <cell r="O19" t="str">
            <v>SEP</v>
          </cell>
          <cell r="P19" t="str">
            <v>OCT</v>
          </cell>
          <cell r="Q19" t="str">
            <v>NOV</v>
          </cell>
          <cell r="R19" t="str">
            <v>DIC</v>
          </cell>
          <cell r="S19" t="str">
            <v>ENE</v>
          </cell>
          <cell r="T19" t="str">
            <v>FEB</v>
          </cell>
          <cell r="U19" t="str">
            <v>A</v>
          </cell>
          <cell r="V19" t="str">
            <v>Peso</v>
          </cell>
          <cell r="W19" t="str">
            <v>Conv. D.</v>
          </cell>
          <cell r="X19" t="str">
            <v>Real</v>
          </cell>
        </row>
        <row r="24">
          <cell r="C24" t="str">
            <v>ADQUISICIONES</v>
          </cell>
          <cell r="V24">
            <v>0.13600000000000001</v>
          </cell>
          <cell r="W24">
            <v>1</v>
          </cell>
          <cell r="X24">
            <v>1</v>
          </cell>
        </row>
        <row r="26">
          <cell r="M26" t="str">
            <v>Licitacion</v>
          </cell>
        </row>
        <row r="28">
          <cell r="C28" t="str">
            <v>CONSTRUCCIÓN</v>
          </cell>
          <cell r="V28">
            <v>0.86399999999999999</v>
          </cell>
          <cell r="W28">
            <v>1.0000000000000002</v>
          </cell>
          <cell r="X28">
            <v>0.91299999999999992</v>
          </cell>
        </row>
        <row r="29">
          <cell r="U29">
            <v>100</v>
          </cell>
        </row>
        <row r="31">
          <cell r="O31" t="str">
            <v>Programada</v>
          </cell>
          <cell r="U31">
            <v>80</v>
          </cell>
        </row>
        <row r="33">
          <cell r="U33">
            <v>60</v>
          </cell>
        </row>
        <row r="35">
          <cell r="U35">
            <v>40</v>
          </cell>
        </row>
        <row r="37">
          <cell r="Q37" t="str">
            <v>Real/Proy.</v>
          </cell>
          <cell r="U37">
            <v>20</v>
          </cell>
        </row>
        <row r="39">
          <cell r="U39">
            <v>0</v>
          </cell>
        </row>
        <row r="42">
          <cell r="C42" t="str">
            <v>Av. Prog. Mes  (Conv.)</v>
          </cell>
          <cell r="G42">
            <v>0</v>
          </cell>
          <cell r="H42">
            <v>0</v>
          </cell>
          <cell r="I42">
            <v>0</v>
          </cell>
          <cell r="J42">
            <v>0</v>
          </cell>
          <cell r="K42">
            <v>0</v>
          </cell>
          <cell r="L42">
            <v>0</v>
          </cell>
          <cell r="M42">
            <v>6.8000000000000007</v>
          </cell>
          <cell r="N42">
            <v>6.8000000000000007</v>
          </cell>
          <cell r="O42">
            <v>21.956121426520625</v>
          </cell>
          <cell r="P42">
            <v>44.966269514111744</v>
          </cell>
          <cell r="Q42">
            <v>19.477609059367637</v>
          </cell>
          <cell r="R42">
            <v>0</v>
          </cell>
          <cell r="S42">
            <v>0</v>
          </cell>
          <cell r="T42">
            <v>0</v>
          </cell>
          <cell r="V42">
            <v>1</v>
          </cell>
          <cell r="W42">
            <v>1.0000000000000002</v>
          </cell>
          <cell r="X42">
            <v>0.92483199999999999</v>
          </cell>
        </row>
        <row r="43">
          <cell r="C43" t="str">
            <v>Av. Prog. Acum. (Conv)</v>
          </cell>
          <cell r="G43">
            <v>0</v>
          </cell>
          <cell r="H43">
            <v>0</v>
          </cell>
          <cell r="I43">
            <v>0</v>
          </cell>
          <cell r="J43">
            <v>0</v>
          </cell>
          <cell r="K43">
            <v>0</v>
          </cell>
          <cell r="L43">
            <v>0</v>
          </cell>
          <cell r="M43">
            <v>6.8000000000000007</v>
          </cell>
          <cell r="N43">
            <v>13.600000000000001</v>
          </cell>
          <cell r="O43">
            <v>35.556121426520626</v>
          </cell>
          <cell r="P43">
            <v>80.522390940632363</v>
          </cell>
          <cell r="Q43">
            <v>100</v>
          </cell>
          <cell r="R43">
            <v>100</v>
          </cell>
          <cell r="S43">
            <v>100</v>
          </cell>
          <cell r="T43">
            <v>100</v>
          </cell>
          <cell r="W43" t="str">
            <v>Curva API</v>
          </cell>
        </row>
        <row r="44">
          <cell r="C44" t="str">
            <v>Av.  Mes (Real/Proy)</v>
          </cell>
          <cell r="G44">
            <v>0</v>
          </cell>
          <cell r="H44">
            <v>0</v>
          </cell>
          <cell r="I44">
            <v>0</v>
          </cell>
          <cell r="J44">
            <v>0</v>
          </cell>
          <cell r="K44">
            <v>0</v>
          </cell>
          <cell r="L44">
            <v>0</v>
          </cell>
          <cell r="M44">
            <v>0</v>
          </cell>
          <cell r="N44">
            <v>6.8</v>
          </cell>
          <cell r="O44">
            <v>5.44</v>
          </cell>
          <cell r="P44">
            <v>2.2240000000000002</v>
          </cell>
          <cell r="Q44">
            <v>29.376000000000005</v>
          </cell>
          <cell r="R44">
            <v>48.6432</v>
          </cell>
          <cell r="S44">
            <v>7.5167999999999999</v>
          </cell>
          <cell r="T44">
            <v>0</v>
          </cell>
          <cell r="W44" t="str">
            <v>Curva  Proyectada</v>
          </cell>
        </row>
        <row r="45">
          <cell r="C45" t="str">
            <v>Av.  Acum. (Real/Proy)</v>
          </cell>
          <cell r="G45">
            <v>0</v>
          </cell>
          <cell r="H45">
            <v>0</v>
          </cell>
          <cell r="I45">
            <v>0</v>
          </cell>
          <cell r="J45">
            <v>0</v>
          </cell>
          <cell r="K45">
            <v>0</v>
          </cell>
          <cell r="L45">
            <v>0</v>
          </cell>
          <cell r="M45">
            <v>0</v>
          </cell>
          <cell r="N45">
            <v>6.8</v>
          </cell>
          <cell r="O45">
            <v>12.24</v>
          </cell>
          <cell r="P45">
            <v>14.464</v>
          </cell>
          <cell r="Q45">
            <v>43.84</v>
          </cell>
          <cell r="R45">
            <v>92.483200000000011</v>
          </cell>
          <cell r="S45">
            <v>100.00000000000001</v>
          </cell>
          <cell r="T45">
            <v>100.00000000000001</v>
          </cell>
          <cell r="U45" t="str">
            <v xml:space="preserve"> </v>
          </cell>
          <cell r="W45" t="str">
            <v>Curva Real</v>
          </cell>
        </row>
        <row r="46">
          <cell r="C46" t="str">
            <v>Cumplimiento Programa Mes</v>
          </cell>
          <cell r="M46">
            <v>0</v>
          </cell>
          <cell r="N46">
            <v>99.999999999999986</v>
          </cell>
          <cell r="O46">
            <v>24.776689353835817</v>
          </cell>
          <cell r="P46">
            <v>4.9459295245785135</v>
          </cell>
          <cell r="Q46">
            <v>150.8193326524941</v>
          </cell>
          <cell r="T46" t="e">
            <v>#DIV/0!</v>
          </cell>
        </row>
        <row r="47">
          <cell r="C47" t="str">
            <v>Cumplimiento Programa Acum.</v>
          </cell>
          <cell r="M47">
            <v>0</v>
          </cell>
          <cell r="N47">
            <v>49.999999999999993</v>
          </cell>
          <cell r="O47">
            <v>34.424452130682681</v>
          </cell>
          <cell r="P47">
            <v>17.962705566783324</v>
          </cell>
          <cell r="Q47">
            <v>43.84</v>
          </cell>
          <cell r="R47">
            <v>92.483200000000011</v>
          </cell>
          <cell r="S47">
            <v>100.00000000000003</v>
          </cell>
          <cell r="T47">
            <v>100.00000000000003</v>
          </cell>
          <cell r="U47" t="str">
            <v xml:space="preserve"> </v>
          </cell>
        </row>
        <row r="48">
          <cell r="W48" t="str">
            <v>File: SAL_CTOL.XLS(GANTT)</v>
          </cell>
        </row>
        <row r="50">
          <cell r="C50" t="str">
            <v xml:space="preserve"> </v>
          </cell>
          <cell r="L50" t="str">
            <v>CARTA GANTT/CURVA "S"</v>
          </cell>
          <cell r="V50" t="str">
            <v>Objetivo Convenio</v>
          </cell>
        </row>
        <row r="51">
          <cell r="L51" t="str">
            <v>ADQUISICIONES</v>
          </cell>
          <cell r="V51" t="str">
            <v>Avance Real</v>
          </cell>
        </row>
        <row r="52">
          <cell r="C52" t="str">
            <v>API:  97-06-02 Construcción sala de acopio de basuras</v>
          </cell>
          <cell r="V52" t="str">
            <v>Período ejecuc. Reprogramado</v>
          </cell>
        </row>
        <row r="53">
          <cell r="C53" t="str">
            <v>y muelle de embarque de alimentación Hotel Hilton</v>
          </cell>
        </row>
        <row r="54">
          <cell r="C54" t="str">
            <v xml:space="preserve">Jefe Proyecto     </v>
          </cell>
          <cell r="E54" t="str">
            <v>PABLO FERNANDEZ</v>
          </cell>
          <cell r="V54" t="str">
            <v>Fecha de control</v>
          </cell>
        </row>
        <row r="55">
          <cell r="G55" t="str">
            <v xml:space="preserve"> </v>
          </cell>
          <cell r="V55">
            <v>35794</v>
          </cell>
        </row>
        <row r="56">
          <cell r="C56" t="str">
            <v>Fase</v>
          </cell>
          <cell r="F56" t="str">
            <v>Año</v>
          </cell>
          <cell r="G56" t="str">
            <v>1 9 9 7</v>
          </cell>
          <cell r="S56" t="str">
            <v>1 9 9 8</v>
          </cell>
          <cell r="U56" t="str">
            <v>%</v>
          </cell>
          <cell r="V56" t="str">
            <v>Fact.</v>
          </cell>
          <cell r="W56" t="str">
            <v>%  Avance</v>
          </cell>
        </row>
        <row r="57">
          <cell r="C57" t="str">
            <v>Items</v>
          </cell>
          <cell r="F57" t="str">
            <v>Mes</v>
          </cell>
          <cell r="G57" t="str">
            <v>ENE</v>
          </cell>
          <cell r="H57" t="str">
            <v>FEB</v>
          </cell>
          <cell r="I57" t="str">
            <v>MAR</v>
          </cell>
          <cell r="J57" t="str">
            <v>ABR</v>
          </cell>
          <cell r="K57" t="str">
            <v>MAY</v>
          </cell>
          <cell r="L57" t="str">
            <v>JUN</v>
          </cell>
          <cell r="M57" t="str">
            <v>JUL</v>
          </cell>
          <cell r="N57" t="str">
            <v>AGO</v>
          </cell>
          <cell r="O57" t="str">
            <v>SEP</v>
          </cell>
          <cell r="P57" t="str">
            <v>OCT</v>
          </cell>
          <cell r="Q57" t="str">
            <v>NOV</v>
          </cell>
          <cell r="R57" t="str">
            <v>DIC</v>
          </cell>
          <cell r="S57" t="str">
            <v>ENE</v>
          </cell>
          <cell r="T57" t="str">
            <v>FEB</v>
          </cell>
          <cell r="U57" t="str">
            <v>A</v>
          </cell>
          <cell r="V57" t="str">
            <v>Peso</v>
          </cell>
          <cell r="W57" t="str">
            <v>Conv. D.</v>
          </cell>
          <cell r="X57" t="str">
            <v>Real</v>
          </cell>
        </row>
        <row r="59">
          <cell r="U59">
            <v>100</v>
          </cell>
        </row>
        <row r="61">
          <cell r="M61" t="str">
            <v>Progranmada</v>
          </cell>
          <cell r="O61" t="str">
            <v>Real/Proy.</v>
          </cell>
          <cell r="U61">
            <v>50</v>
          </cell>
        </row>
        <row r="63">
          <cell r="U63">
            <v>0</v>
          </cell>
        </row>
        <row r="64">
          <cell r="C64" t="str">
            <v xml:space="preserve">Contenedores de </v>
          </cell>
          <cell r="V64">
            <v>1</v>
          </cell>
          <cell r="W64">
            <v>1</v>
          </cell>
          <cell r="X64">
            <v>1</v>
          </cell>
        </row>
        <row r="65">
          <cell r="C65" t="str">
            <v>basura</v>
          </cell>
        </row>
        <row r="72">
          <cell r="C72" t="str">
            <v>Av. Prog. Mes  (Conv.)</v>
          </cell>
          <cell r="G72">
            <v>0</v>
          </cell>
          <cell r="H72">
            <v>0</v>
          </cell>
          <cell r="I72">
            <v>0</v>
          </cell>
          <cell r="J72">
            <v>0</v>
          </cell>
          <cell r="K72">
            <v>0</v>
          </cell>
          <cell r="L72">
            <v>0</v>
          </cell>
          <cell r="M72">
            <v>50</v>
          </cell>
          <cell r="N72">
            <v>50</v>
          </cell>
          <cell r="O72">
            <v>0</v>
          </cell>
          <cell r="P72">
            <v>0</v>
          </cell>
          <cell r="Q72">
            <v>0</v>
          </cell>
          <cell r="R72">
            <v>0</v>
          </cell>
          <cell r="S72">
            <v>0</v>
          </cell>
          <cell r="T72">
            <v>0</v>
          </cell>
          <cell r="V72">
            <v>1</v>
          </cell>
          <cell r="W72">
            <v>1</v>
          </cell>
          <cell r="X72">
            <v>1</v>
          </cell>
        </row>
        <row r="73">
          <cell r="C73" t="str">
            <v>Av. Prog. Acum. (Conv.)</v>
          </cell>
          <cell r="G73">
            <v>0</v>
          </cell>
          <cell r="H73">
            <v>0</v>
          </cell>
          <cell r="I73">
            <v>0</v>
          </cell>
          <cell r="J73">
            <v>0</v>
          </cell>
          <cell r="K73">
            <v>0</v>
          </cell>
          <cell r="L73">
            <v>0</v>
          </cell>
          <cell r="M73">
            <v>50</v>
          </cell>
          <cell r="N73">
            <v>100</v>
          </cell>
          <cell r="O73">
            <v>100</v>
          </cell>
          <cell r="P73">
            <v>100</v>
          </cell>
          <cell r="Q73">
            <v>100</v>
          </cell>
          <cell r="R73">
            <v>100</v>
          </cell>
          <cell r="S73">
            <v>100</v>
          </cell>
          <cell r="T73">
            <v>100</v>
          </cell>
          <cell r="W73" t="str">
            <v>Curva API</v>
          </cell>
        </row>
        <row r="74">
          <cell r="C74" t="str">
            <v>Av. Mes (Real/Proy)</v>
          </cell>
          <cell r="G74">
            <v>0</v>
          </cell>
          <cell r="H74">
            <v>0</v>
          </cell>
          <cell r="I74">
            <v>0</v>
          </cell>
          <cell r="J74">
            <v>0</v>
          </cell>
          <cell r="K74">
            <v>0</v>
          </cell>
          <cell r="L74">
            <v>0</v>
          </cell>
          <cell r="M74">
            <v>0</v>
          </cell>
          <cell r="N74">
            <v>50</v>
          </cell>
          <cell r="O74">
            <v>40</v>
          </cell>
          <cell r="P74">
            <v>10</v>
          </cell>
          <cell r="Q74">
            <v>0</v>
          </cell>
          <cell r="R74">
            <v>0</v>
          </cell>
          <cell r="S74">
            <v>0</v>
          </cell>
          <cell r="T74">
            <v>0</v>
          </cell>
          <cell r="W74" t="str">
            <v>Curva  Proyectada</v>
          </cell>
        </row>
        <row r="75">
          <cell r="C75" t="str">
            <v>Av.Acum. (Real/Proy)</v>
          </cell>
          <cell r="G75">
            <v>0</v>
          </cell>
          <cell r="H75">
            <v>0</v>
          </cell>
          <cell r="I75">
            <v>0</v>
          </cell>
          <cell r="J75">
            <v>0</v>
          </cell>
          <cell r="K75">
            <v>0</v>
          </cell>
          <cell r="L75">
            <v>0</v>
          </cell>
          <cell r="M75">
            <v>0</v>
          </cell>
          <cell r="N75">
            <v>50</v>
          </cell>
          <cell r="O75">
            <v>90</v>
          </cell>
          <cell r="P75">
            <v>100</v>
          </cell>
          <cell r="Q75">
            <v>100</v>
          </cell>
          <cell r="R75">
            <v>100</v>
          </cell>
          <cell r="S75">
            <v>100</v>
          </cell>
          <cell r="T75">
            <v>100</v>
          </cell>
          <cell r="U75" t="str">
            <v xml:space="preserve"> </v>
          </cell>
          <cell r="W75" t="str">
            <v>Curva Real</v>
          </cell>
        </row>
        <row r="76">
          <cell r="C76" t="str">
            <v>Cumplimiento Programa Mes</v>
          </cell>
          <cell r="K76" t="e">
            <v>#DIV/0!</v>
          </cell>
          <cell r="L76" t="e">
            <v>#DIV/0!</v>
          </cell>
          <cell r="M76">
            <v>0</v>
          </cell>
          <cell r="N76">
            <v>100</v>
          </cell>
          <cell r="Q76" t="e">
            <v>#DIV/0!</v>
          </cell>
          <cell r="R76" t="e">
            <v>#DIV/0!</v>
          </cell>
          <cell r="S76" t="e">
            <v>#DIV/0!</v>
          </cell>
          <cell r="T76" t="e">
            <v>#DIV/0!</v>
          </cell>
        </row>
        <row r="77">
          <cell r="C77" t="str">
            <v>Cumplimiento Programa Acum.</v>
          </cell>
          <cell r="K77" t="e">
            <v>#DIV/0!</v>
          </cell>
          <cell r="L77" t="e">
            <v>#DIV/0!</v>
          </cell>
          <cell r="M77">
            <v>0</v>
          </cell>
          <cell r="N77">
            <v>50</v>
          </cell>
          <cell r="O77">
            <v>90</v>
          </cell>
          <cell r="Q77">
            <v>100</v>
          </cell>
          <cell r="R77">
            <v>100</v>
          </cell>
          <cell r="S77">
            <v>100</v>
          </cell>
          <cell r="T77">
            <v>100</v>
          </cell>
          <cell r="U77" t="str">
            <v xml:space="preserve"> </v>
          </cell>
        </row>
        <row r="78">
          <cell r="W78" t="str">
            <v>File: SAL_CTOL.XLS(GANTT)</v>
          </cell>
        </row>
        <row r="80">
          <cell r="C80" t="str">
            <v xml:space="preserve"> </v>
          </cell>
          <cell r="L80" t="str">
            <v xml:space="preserve">CARTA GANTT/CURVA "S" </v>
          </cell>
          <cell r="V80" t="str">
            <v>Objetivo Convenio</v>
          </cell>
        </row>
        <row r="81">
          <cell r="L81" t="str">
            <v>CONSTRUCCIÓN</v>
          </cell>
          <cell r="V81" t="str">
            <v>Avance Real</v>
          </cell>
        </row>
        <row r="82">
          <cell r="C82" t="str">
            <v>API:  97-06-02 Construcción sala de acopio de basuras</v>
          </cell>
          <cell r="V82" t="str">
            <v>Período ejecuc. Reprogramado</v>
          </cell>
        </row>
        <row r="83">
          <cell r="C83" t="str">
            <v>y muelle de embarque de alimentación Hotel Hilton</v>
          </cell>
        </row>
        <row r="84">
          <cell r="C84" t="str">
            <v xml:space="preserve">Jefe Proyecto     </v>
          </cell>
          <cell r="E84" t="str">
            <v>PABLO FERNANDEZ</v>
          </cell>
          <cell r="V84" t="str">
            <v>Fecha de control</v>
          </cell>
        </row>
        <row r="85">
          <cell r="G85" t="str">
            <v xml:space="preserve"> </v>
          </cell>
          <cell r="V85">
            <v>35794</v>
          </cell>
        </row>
        <row r="86">
          <cell r="C86" t="str">
            <v>Fase</v>
          </cell>
          <cell r="F86" t="str">
            <v>Año</v>
          </cell>
          <cell r="G86" t="str">
            <v>1 9 9 7</v>
          </cell>
          <cell r="S86" t="str">
            <v>1 9 9 8</v>
          </cell>
          <cell r="U86" t="str">
            <v>%</v>
          </cell>
          <cell r="V86" t="str">
            <v>Fact.</v>
          </cell>
          <cell r="W86" t="str">
            <v>%  Avance</v>
          </cell>
        </row>
        <row r="87">
          <cell r="C87" t="str">
            <v>Items</v>
          </cell>
          <cell r="F87" t="str">
            <v>Mes</v>
          </cell>
          <cell r="G87" t="str">
            <v>ENE</v>
          </cell>
          <cell r="H87" t="str">
            <v>FEB</v>
          </cell>
          <cell r="I87" t="str">
            <v>MAR</v>
          </cell>
          <cell r="J87" t="str">
            <v>ABR</v>
          </cell>
          <cell r="K87" t="str">
            <v>MAY</v>
          </cell>
          <cell r="L87" t="str">
            <v>JUN</v>
          </cell>
          <cell r="M87" t="str">
            <v>JUL</v>
          </cell>
          <cell r="N87" t="str">
            <v>AGO</v>
          </cell>
          <cell r="O87" t="str">
            <v>SEP</v>
          </cell>
          <cell r="P87" t="str">
            <v>OCT</v>
          </cell>
          <cell r="Q87" t="str">
            <v>NOV</v>
          </cell>
          <cell r="R87" t="str">
            <v>DIC</v>
          </cell>
          <cell r="S87" t="str">
            <v>ENE</v>
          </cell>
          <cell r="T87" t="str">
            <v>FEB</v>
          </cell>
          <cell r="U87" t="str">
            <v>A</v>
          </cell>
          <cell r="V87" t="str">
            <v>Peso</v>
          </cell>
          <cell r="W87" t="str">
            <v>Conv. D.</v>
          </cell>
          <cell r="X87" t="str">
            <v>Real</v>
          </cell>
        </row>
        <row r="89">
          <cell r="U89">
            <v>100</v>
          </cell>
        </row>
        <row r="91">
          <cell r="C91" t="str">
            <v>Licitación</v>
          </cell>
          <cell r="U91">
            <v>75</v>
          </cell>
          <cell r="V91">
            <v>0</v>
          </cell>
          <cell r="W91">
            <v>0</v>
          </cell>
          <cell r="X91">
            <v>0</v>
          </cell>
        </row>
        <row r="93">
          <cell r="C93" t="str">
            <v>Construcción sala</v>
          </cell>
          <cell r="U93">
            <v>50</v>
          </cell>
          <cell r="V93">
            <v>1</v>
          </cell>
          <cell r="W93">
            <v>1.0000000000000002</v>
          </cell>
          <cell r="X93">
            <v>0.91299999999999992</v>
          </cell>
        </row>
        <row r="94">
          <cell r="C94" t="str">
            <v>basura</v>
          </cell>
        </row>
        <row r="95">
          <cell r="N95" t="str">
            <v>Programado</v>
          </cell>
          <cell r="U95">
            <v>25</v>
          </cell>
        </row>
        <row r="96">
          <cell r="Q96" t="str">
            <v>Real/Proy</v>
          </cell>
        </row>
        <row r="97">
          <cell r="U97">
            <v>0</v>
          </cell>
        </row>
        <row r="101">
          <cell r="C101" t="str">
            <v>Av. Prog. Mes  (Conv.)</v>
          </cell>
          <cell r="G101">
            <v>0</v>
          </cell>
          <cell r="H101">
            <v>0</v>
          </cell>
          <cell r="I101">
            <v>0</v>
          </cell>
          <cell r="J101">
            <v>0</v>
          </cell>
          <cell r="K101">
            <v>0</v>
          </cell>
          <cell r="L101">
            <v>0</v>
          </cell>
          <cell r="M101">
            <v>0</v>
          </cell>
          <cell r="N101">
            <v>0</v>
          </cell>
          <cell r="O101">
            <v>25.412177576991464</v>
          </cell>
          <cell r="P101">
            <v>52.044293419110815</v>
          </cell>
          <cell r="Q101">
            <v>22.543529003897728</v>
          </cell>
          <cell r="R101">
            <v>0</v>
          </cell>
          <cell r="S101">
            <v>0</v>
          </cell>
          <cell r="V101">
            <v>1</v>
          </cell>
          <cell r="W101">
            <v>1.0000000000000002</v>
          </cell>
          <cell r="X101">
            <v>0.91299999999999992</v>
          </cell>
        </row>
        <row r="102">
          <cell r="C102" t="str">
            <v>Av. Prog. Acum. (Conv.)</v>
          </cell>
          <cell r="G102">
            <v>0</v>
          </cell>
          <cell r="H102">
            <v>0</v>
          </cell>
          <cell r="I102">
            <v>0</v>
          </cell>
          <cell r="J102">
            <v>0</v>
          </cell>
          <cell r="K102">
            <v>0</v>
          </cell>
          <cell r="L102">
            <v>0</v>
          </cell>
          <cell r="M102">
            <v>0</v>
          </cell>
          <cell r="N102">
            <v>0</v>
          </cell>
          <cell r="O102">
            <v>25.412177576991464</v>
          </cell>
          <cell r="P102">
            <v>77.456470996102283</v>
          </cell>
          <cell r="Q102">
            <v>100.00000000000001</v>
          </cell>
          <cell r="R102">
            <v>100.00000000000001</v>
          </cell>
          <cell r="S102">
            <v>100</v>
          </cell>
          <cell r="T102">
            <v>100</v>
          </cell>
          <cell r="W102" t="str">
            <v>Curva API</v>
          </cell>
        </row>
        <row r="103">
          <cell r="C103" t="str">
            <v>Av. Mes (Real/Proy)</v>
          </cell>
          <cell r="G103">
            <v>0</v>
          </cell>
          <cell r="H103">
            <v>0</v>
          </cell>
          <cell r="I103">
            <v>0</v>
          </cell>
          <cell r="J103">
            <v>0</v>
          </cell>
          <cell r="K103">
            <v>0</v>
          </cell>
          <cell r="L103">
            <v>0</v>
          </cell>
          <cell r="M103">
            <v>0</v>
          </cell>
          <cell r="N103">
            <v>0</v>
          </cell>
          <cell r="O103">
            <v>0</v>
          </cell>
          <cell r="P103">
            <v>1</v>
          </cell>
          <cell r="Q103">
            <v>34</v>
          </cell>
          <cell r="R103">
            <v>56.3</v>
          </cell>
          <cell r="S103">
            <v>8.6999999999999993</v>
          </cell>
          <cell r="W103" t="str">
            <v>Curva  Proyectada</v>
          </cell>
        </row>
        <row r="104">
          <cell r="C104" t="str">
            <v>Av.Acum. (Real/Proy)</v>
          </cell>
          <cell r="G104">
            <v>0</v>
          </cell>
          <cell r="H104">
            <v>0</v>
          </cell>
          <cell r="I104">
            <v>0</v>
          </cell>
          <cell r="J104">
            <v>0</v>
          </cell>
          <cell r="K104">
            <v>0</v>
          </cell>
          <cell r="L104">
            <v>0</v>
          </cell>
          <cell r="M104">
            <v>0</v>
          </cell>
          <cell r="N104">
            <v>0</v>
          </cell>
          <cell r="O104">
            <v>0</v>
          </cell>
          <cell r="P104">
            <v>1</v>
          </cell>
          <cell r="Q104">
            <v>35</v>
          </cell>
          <cell r="R104">
            <v>91.3</v>
          </cell>
          <cell r="S104">
            <v>100</v>
          </cell>
          <cell r="T104">
            <v>100</v>
          </cell>
          <cell r="U104" t="str">
            <v xml:space="preserve"> </v>
          </cell>
          <cell r="W104" t="str">
            <v>Curva Real</v>
          </cell>
        </row>
        <row r="105">
          <cell r="C105" t="str">
            <v>Cumplimiento Programa Mes</v>
          </cell>
          <cell r="L105" t="e">
            <v>#DIV/0!</v>
          </cell>
          <cell r="O105">
            <v>0</v>
          </cell>
          <cell r="P105">
            <v>1.9214402469585592</v>
          </cell>
          <cell r="Q105">
            <v>150.81933265249407</v>
          </cell>
          <cell r="T105" t="e">
            <v>#DIV/0!</v>
          </cell>
        </row>
        <row r="106">
          <cell r="C106" t="str">
            <v>Cumplimiento Programa Acum.</v>
          </cell>
          <cell r="L106" t="e">
            <v>#DIV/0!</v>
          </cell>
          <cell r="O106">
            <v>0</v>
          </cell>
          <cell r="P106">
            <v>1.2910477164010239</v>
          </cell>
          <cell r="Q106">
            <v>35</v>
          </cell>
          <cell r="R106">
            <v>91.299999999999983</v>
          </cell>
          <cell r="T106" t="e">
            <v>#REF!</v>
          </cell>
          <cell r="U106" t="str">
            <v xml:space="preserve"> </v>
          </cell>
        </row>
        <row r="107">
          <cell r="W107" t="str">
            <v>File: SAL_CTOL.XLS(GANTT)</v>
          </cell>
        </row>
        <row r="111">
          <cell r="C111" t="str">
            <v xml:space="preserve"> </v>
          </cell>
          <cell r="L111" t="str">
            <v>CARTA GANTT/CURVA "S"</v>
          </cell>
          <cell r="V111" t="str">
            <v>Objetivo Convenio</v>
          </cell>
        </row>
        <row r="112">
          <cell r="L112" t="str">
            <v>INGENIERIA</v>
          </cell>
          <cell r="V112" t="str">
            <v>Avance Real</v>
          </cell>
        </row>
        <row r="113">
          <cell r="C113" t="str">
            <v>Av.Acum. (Real/Proy)</v>
          </cell>
          <cell r="V113" t="str">
            <v>Período ejecuc. Reprogramado</v>
          </cell>
        </row>
        <row r="114">
          <cell r="C114" t="str">
            <v>Cumplimiento Programa Mes</v>
          </cell>
          <cell r="V114" t="str">
            <v>Rev</v>
          </cell>
          <cell r="W114">
            <v>0</v>
          </cell>
        </row>
        <row r="115">
          <cell r="C115" t="str">
            <v xml:space="preserve">Jefe Proyecto     </v>
          </cell>
          <cell r="E115" t="str">
            <v>PABLO FERNANDEZ</v>
          </cell>
          <cell r="V115" t="str">
            <v>Fecha de control</v>
          </cell>
        </row>
        <row r="116">
          <cell r="G116" t="str">
            <v xml:space="preserve"> </v>
          </cell>
          <cell r="V116">
            <v>0</v>
          </cell>
        </row>
        <row r="117">
          <cell r="C117" t="str">
            <v>Fase</v>
          </cell>
          <cell r="F117" t="str">
            <v>Año</v>
          </cell>
          <cell r="G117" t="str">
            <v>1 9 9 7</v>
          </cell>
          <cell r="S117" t="str">
            <v>1 9 9 8</v>
          </cell>
          <cell r="U117" t="str">
            <v>%</v>
          </cell>
          <cell r="V117" t="str">
            <v>Fact.</v>
          </cell>
          <cell r="W117" t="str">
            <v>%  Avance</v>
          </cell>
        </row>
        <row r="118">
          <cell r="C118" t="str">
            <v>Items</v>
          </cell>
          <cell r="F118" t="str">
            <v>Mes</v>
          </cell>
          <cell r="G118" t="str">
            <v>ENE</v>
          </cell>
          <cell r="H118" t="str">
            <v>FEB</v>
          </cell>
          <cell r="I118" t="str">
            <v>MAR</v>
          </cell>
          <cell r="J118" t="str">
            <v>ABR</v>
          </cell>
          <cell r="K118" t="str">
            <v>MAY</v>
          </cell>
          <cell r="L118" t="str">
            <v>JUN</v>
          </cell>
          <cell r="M118" t="str">
            <v>JUL</v>
          </cell>
          <cell r="N118" t="str">
            <v>AGO</v>
          </cell>
          <cell r="O118" t="str">
            <v>SEP</v>
          </cell>
          <cell r="P118" t="str">
            <v>OCT</v>
          </cell>
          <cell r="Q118" t="str">
            <v>NOV</v>
          </cell>
          <cell r="R118" t="str">
            <v>DIC</v>
          </cell>
          <cell r="S118" t="str">
            <v>ENE</v>
          </cell>
          <cell r="T118" t="str">
            <v>FEB</v>
          </cell>
          <cell r="U118" t="str">
            <v>A</v>
          </cell>
          <cell r="V118" t="str">
            <v>Peso</v>
          </cell>
          <cell r="W118" t="str">
            <v>Conv. D.</v>
          </cell>
          <cell r="X118" t="str">
            <v>Real</v>
          </cell>
        </row>
        <row r="120">
          <cell r="U120">
            <v>100</v>
          </cell>
        </row>
        <row r="122">
          <cell r="U122">
            <v>50</v>
          </cell>
        </row>
        <row r="124">
          <cell r="U124">
            <v>0</v>
          </cell>
        </row>
        <row r="125">
          <cell r="C125" t="str">
            <v>Administración</v>
          </cell>
          <cell r="V125">
            <v>0</v>
          </cell>
          <cell r="W125">
            <v>0</v>
          </cell>
          <cell r="X125">
            <v>0</v>
          </cell>
        </row>
        <row r="126">
          <cell r="C126" t="str">
            <v>proyecto</v>
          </cell>
        </row>
        <row r="133">
          <cell r="C133" t="str">
            <v>Av. Prog. Mes  (Conv.)</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V133">
            <v>0</v>
          </cell>
          <cell r="W133">
            <v>0</v>
          </cell>
          <cell r="X133">
            <v>0</v>
          </cell>
        </row>
        <row r="134">
          <cell r="C134" t="str">
            <v>Av. Prog. Acum. (Conv.)</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W134" t="str">
            <v>Curva API</v>
          </cell>
        </row>
        <row r="135">
          <cell r="C135" t="str">
            <v>Av. Mes (Real/Proy)</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W135" t="str">
            <v>Curva  Proyectada</v>
          </cell>
        </row>
        <row r="136">
          <cell r="C136" t="str">
            <v>Av.Acum. (Real/Proy)</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t="str">
            <v xml:space="preserve"> </v>
          </cell>
          <cell r="W136" t="str">
            <v>Curva Real</v>
          </cell>
        </row>
        <row r="137">
          <cell r="C137" t="str">
            <v>Cumplimiento Programa Mes</v>
          </cell>
          <cell r="K137" t="e">
            <v>#DIV/0!</v>
          </cell>
          <cell r="L137" t="e">
            <v>#DIV/0!</v>
          </cell>
          <cell r="P137" t="e">
            <v>#DIV/0!</v>
          </cell>
          <cell r="Q137" t="e">
            <v>#DIV/0!</v>
          </cell>
          <cell r="R137" t="e">
            <v>#DIV/0!</v>
          </cell>
          <cell r="S137" t="e">
            <v>#DIV/0!</v>
          </cell>
          <cell r="T137" t="e">
            <v>#DIV/0!</v>
          </cell>
        </row>
        <row r="138">
          <cell r="C138" t="str">
            <v>Cumplimiento Programa Acum.</v>
          </cell>
          <cell r="K138" t="e">
            <v>#DIV/0!</v>
          </cell>
          <cell r="L138" t="e">
            <v>#DIV/0!</v>
          </cell>
          <cell r="P138" t="e">
            <v>#DIV/0!</v>
          </cell>
          <cell r="Q138" t="e">
            <v>#DIV/0!</v>
          </cell>
          <cell r="R138" t="e">
            <v>#DIV/0!</v>
          </cell>
          <cell r="S138" t="e">
            <v>#DIV/0!</v>
          </cell>
          <cell r="T138" t="e">
            <v>#DIV/0!</v>
          </cell>
          <cell r="U138" t="str">
            <v xml:space="preserve"> </v>
          </cell>
        </row>
        <row r="139">
          <cell r="W139" t="str">
            <v>File: SAL_CTOL.XLS(GANTT)</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sheetData sheetId="11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antt"/>
      <sheetName val="flujo"/>
    </sheetNames>
    <sheetDataSet>
      <sheetData sheetId="0" refreshError="1"/>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R-2004"/>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2004"/>
      <sheetName val="FEB-2004"/>
      <sheetName val="MAR-2004"/>
      <sheetName val="ABR-2004"/>
      <sheetName val="MAY-2004"/>
      <sheetName val="JUNIO-2004"/>
      <sheetName val="JUL-2004"/>
      <sheetName val="AGO-2004"/>
      <sheetName val="SEP-2003"/>
      <sheetName val="OCT-2003"/>
      <sheetName val="NOV-2003"/>
      <sheetName val="DIC-2003"/>
      <sheetName val="Gantt"/>
      <sheetName val="flujo"/>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pa"/>
      <sheetName val="Resumen Ejecutivo"/>
      <sheetName val="Cartera Global"/>
      <sheetName val="Tapa (2)"/>
      <sheetName val="Avances Financieros"/>
      <sheetName val="Avances Físicos"/>
      <sheetName val="Tapa (3)"/>
      <sheetName val="Avance DPI"/>
      <sheetName val="Tapa (4)"/>
      <sheetName val="Post Evaluación"/>
      <sheetName val="Cierres"/>
      <sheetName val="Tapa (6)"/>
      <sheetName val="Proyeccción Inversional"/>
      <sheetName val="Informe de Actividades Mes"/>
      <sheetName val="Tapa (7)"/>
      <sheetName val="Resumen API"/>
      <sheetName val="PSI"/>
      <sheetName val="API"/>
      <sheetName val="ABR-2004"/>
      <sheetName val="Chancador"/>
      <sheetName val="GerSust"/>
      <sheetName val="WEIGHT"/>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
          <cell r="D5" t="str">
            <v>ING. BAS. MEJORAMIENTO COND. SUBESTANDARES, SIST. CONTROL Y SEG., HORNO VERTICAL. FUCO</v>
          </cell>
        </row>
        <row r="6">
          <cell r="D6" t="str">
            <v>C01RF42</v>
          </cell>
          <cell r="E6" t="str">
            <v>Tipo</v>
          </cell>
          <cell r="F6" t="str">
            <v>DIVISIONAL</v>
          </cell>
          <cell r="H6" t="str">
            <v>Jefe Proy.</v>
          </cell>
          <cell r="I6" t="str">
            <v>FELIX ROJAS VEGA</v>
          </cell>
        </row>
        <row r="7">
          <cell r="D7" t="e">
            <v>#REF!</v>
          </cell>
          <cell r="E7" t="str">
            <v>Clasificación</v>
          </cell>
          <cell r="F7" t="str">
            <v>ANTIGUO</v>
          </cell>
          <cell r="H7" t="str">
            <v>Coordin.</v>
          </cell>
          <cell r="I7" t="str">
            <v>RAUL MORALES SANGUINETTI</v>
          </cell>
        </row>
        <row r="8">
          <cell r="D8" t="str">
            <v>REEMPLAZO EQUIPOS</v>
          </cell>
          <cell r="H8" t="str">
            <v>Estado</v>
          </cell>
          <cell r="I8" t="str">
            <v>AUTORIZADO</v>
          </cell>
        </row>
        <row r="9">
          <cell r="D9" t="str">
            <v>SEGURIDAD</v>
          </cell>
          <cell r="H9" t="str">
            <v>Sub UGA</v>
          </cell>
          <cell r="I9" t="str">
            <v>FUNDICION DE COBRE</v>
          </cell>
        </row>
        <row r="26">
          <cell r="F26">
            <v>8</v>
          </cell>
          <cell r="G26">
            <v>12.5</v>
          </cell>
          <cell r="H26">
            <v>12.555</v>
          </cell>
          <cell r="I26">
            <v>3.2970000000000002</v>
          </cell>
          <cell r="J26">
            <v>2.9039999999999999</v>
          </cell>
          <cell r="K26">
            <v>0.35</v>
          </cell>
          <cell r="L26">
            <v>6.3940000000000001</v>
          </cell>
          <cell r="M26">
            <v>0</v>
          </cell>
          <cell r="N26">
            <v>0</v>
          </cell>
          <cell r="O26">
            <v>0</v>
          </cell>
          <cell r="P26">
            <v>0</v>
          </cell>
          <cell r="Q26">
            <v>0</v>
          </cell>
          <cell r="R26">
            <v>0</v>
          </cell>
          <cell r="S26">
            <v>0</v>
          </cell>
        </row>
        <row r="27">
          <cell r="F27">
            <v>8</v>
          </cell>
          <cell r="G27">
            <v>20.5</v>
          </cell>
          <cell r="H27">
            <v>33.055</v>
          </cell>
          <cell r="I27">
            <v>36.351999999999997</v>
          </cell>
          <cell r="J27">
            <v>39.256</v>
          </cell>
          <cell r="K27">
            <v>39.606000000000002</v>
          </cell>
          <cell r="L27">
            <v>46</v>
          </cell>
          <cell r="M27">
            <v>46</v>
          </cell>
          <cell r="N27">
            <v>46</v>
          </cell>
          <cell r="O27">
            <v>46</v>
          </cell>
          <cell r="P27">
            <v>46</v>
          </cell>
          <cell r="Q27">
            <v>46</v>
          </cell>
          <cell r="R27">
            <v>46</v>
          </cell>
          <cell r="S27">
            <v>46</v>
          </cell>
        </row>
        <row r="28">
          <cell r="F28">
            <v>8</v>
          </cell>
          <cell r="G28">
            <v>12.585000000000001</v>
          </cell>
          <cell r="H28">
            <v>12.858000000000001</v>
          </cell>
          <cell r="I28">
            <v>3.282</v>
          </cell>
          <cell r="J28">
            <v>22.048999999999999</v>
          </cell>
          <cell r="K28">
            <v>0.127</v>
          </cell>
          <cell r="L28">
            <v>23.68</v>
          </cell>
          <cell r="M28">
            <v>0</v>
          </cell>
          <cell r="N28">
            <v>0</v>
          </cell>
          <cell r="O28">
            <v>0</v>
          </cell>
          <cell r="P28">
            <v>0</v>
          </cell>
          <cell r="Q28">
            <v>0</v>
          </cell>
          <cell r="R28">
            <v>0</v>
          </cell>
          <cell r="S28">
            <v>0</v>
          </cell>
        </row>
        <row r="29">
          <cell r="F29">
            <v>8</v>
          </cell>
          <cell r="G29">
            <v>12.585000000000001</v>
          </cell>
          <cell r="H29">
            <v>12.858000000000001</v>
          </cell>
          <cell r="I29">
            <v>3.282</v>
          </cell>
          <cell r="J29">
            <v>22.048999999999999</v>
          </cell>
          <cell r="K29">
            <v>0.127</v>
          </cell>
          <cell r="L29">
            <v>23.68</v>
          </cell>
          <cell r="M29">
            <v>0</v>
          </cell>
          <cell r="N29">
            <v>0</v>
          </cell>
          <cell r="O29">
            <v>0</v>
          </cell>
          <cell r="P29">
            <v>0</v>
          </cell>
          <cell r="Q29">
            <v>0</v>
          </cell>
          <cell r="R29">
            <v>0</v>
          </cell>
          <cell r="S29">
            <v>0</v>
          </cell>
        </row>
        <row r="30">
          <cell r="F30">
            <v>0.17391304347826086</v>
          </cell>
          <cell r="G30">
            <v>0.44565217391304346</v>
          </cell>
          <cell r="H30">
            <v>0.7185869565217391</v>
          </cell>
          <cell r="I30">
            <v>0.79026086956521735</v>
          </cell>
          <cell r="J30">
            <v>0.85339130434782606</v>
          </cell>
          <cell r="K30">
            <v>0.86099999999999999</v>
          </cell>
          <cell r="L30">
            <v>1</v>
          </cell>
          <cell r="M30">
            <v>1</v>
          </cell>
          <cell r="N30">
            <v>1</v>
          </cell>
          <cell r="O30">
            <v>1</v>
          </cell>
          <cell r="P30">
            <v>1</v>
          </cell>
          <cell r="Q30">
            <v>1</v>
          </cell>
          <cell r="R30">
            <v>1</v>
          </cell>
          <cell r="S30">
            <v>1</v>
          </cell>
        </row>
        <row r="31">
          <cell r="F31">
            <v>0</v>
          </cell>
          <cell r="G31">
            <v>0</v>
          </cell>
          <cell r="H31">
            <v>0</v>
          </cell>
          <cell r="I31">
            <v>0</v>
          </cell>
          <cell r="J31">
            <v>0</v>
          </cell>
          <cell r="K31">
            <v>0</v>
          </cell>
          <cell r="L31">
            <v>0</v>
          </cell>
          <cell r="M31">
            <v>0</v>
          </cell>
          <cell r="N31">
            <v>0</v>
          </cell>
          <cell r="O31">
            <v>0</v>
          </cell>
          <cell r="P31">
            <v>0</v>
          </cell>
          <cell r="Q31">
            <v>0</v>
          </cell>
          <cell r="R31">
            <v>0</v>
          </cell>
          <cell r="S31">
            <v>0</v>
          </cell>
        </row>
        <row r="32">
          <cell r="F32">
            <v>2</v>
          </cell>
          <cell r="G32">
            <v>1</v>
          </cell>
          <cell r="H32">
            <v>0</v>
          </cell>
          <cell r="I32">
            <v>0</v>
          </cell>
          <cell r="J32">
            <v>0</v>
          </cell>
          <cell r="K32">
            <v>0</v>
          </cell>
          <cell r="L32">
            <v>1</v>
          </cell>
          <cell r="M32">
            <v>1</v>
          </cell>
          <cell r="N32">
            <v>0</v>
          </cell>
          <cell r="O32">
            <v>0</v>
          </cell>
          <cell r="P32">
            <v>0</v>
          </cell>
          <cell r="Q32">
            <v>0</v>
          </cell>
          <cell r="R32">
            <v>0</v>
          </cell>
          <cell r="S32">
            <v>0</v>
          </cell>
        </row>
        <row r="33">
          <cell r="F33">
            <v>2</v>
          </cell>
          <cell r="G33">
            <v>3</v>
          </cell>
          <cell r="H33">
            <v>3</v>
          </cell>
          <cell r="I33">
            <v>3</v>
          </cell>
          <cell r="J33">
            <v>3</v>
          </cell>
          <cell r="K33">
            <v>3</v>
          </cell>
          <cell r="L33">
            <v>4</v>
          </cell>
          <cell r="M33">
            <v>5</v>
          </cell>
          <cell r="N33">
            <v>5</v>
          </cell>
          <cell r="O33">
            <v>5</v>
          </cell>
          <cell r="P33">
            <v>5</v>
          </cell>
          <cell r="Q33">
            <v>5</v>
          </cell>
          <cell r="R33">
            <v>5</v>
          </cell>
          <cell r="S33">
            <v>5</v>
          </cell>
        </row>
        <row r="34">
          <cell r="F34">
            <v>8.1219999999999999</v>
          </cell>
          <cell r="G34">
            <v>2</v>
          </cell>
          <cell r="H34">
            <v>1</v>
          </cell>
          <cell r="I34">
            <v>0</v>
          </cell>
          <cell r="J34">
            <v>0</v>
          </cell>
          <cell r="K34">
            <v>0</v>
          </cell>
          <cell r="L34">
            <v>0</v>
          </cell>
          <cell r="M34">
            <v>0</v>
          </cell>
          <cell r="N34">
            <v>0</v>
          </cell>
          <cell r="O34">
            <v>0</v>
          </cell>
          <cell r="P34">
            <v>0</v>
          </cell>
          <cell r="Q34">
            <v>0</v>
          </cell>
          <cell r="R34">
            <v>0</v>
          </cell>
          <cell r="S34">
            <v>0</v>
          </cell>
        </row>
        <row r="35">
          <cell r="F35">
            <v>8.1219999999999999</v>
          </cell>
          <cell r="G35">
            <v>10.122</v>
          </cell>
          <cell r="H35">
            <v>11.122</v>
          </cell>
          <cell r="I35">
            <v>11.122</v>
          </cell>
          <cell r="J35">
            <v>11.122</v>
          </cell>
          <cell r="K35">
            <v>11.122</v>
          </cell>
          <cell r="L35">
            <v>11.122</v>
          </cell>
          <cell r="M35">
            <v>11.122</v>
          </cell>
          <cell r="N35">
            <v>11.122</v>
          </cell>
          <cell r="O35">
            <v>11.122</v>
          </cell>
          <cell r="P35">
            <v>11.122</v>
          </cell>
          <cell r="Q35">
            <v>11.122</v>
          </cell>
          <cell r="R35">
            <v>11.122</v>
          </cell>
          <cell r="S35">
            <v>11.122</v>
          </cell>
        </row>
        <row r="36">
          <cell r="F36">
            <v>4.0609999999999999</v>
          </cell>
          <cell r="G36">
            <v>3.3740000000000001</v>
          </cell>
          <cell r="H36">
            <v>3.7073333333333331</v>
          </cell>
          <cell r="I36">
            <v>3.7073333333333331</v>
          </cell>
          <cell r="J36">
            <v>3.7073333333333331</v>
          </cell>
          <cell r="K36">
            <v>3.7073333333333331</v>
          </cell>
          <cell r="L36">
            <v>2.7805</v>
          </cell>
          <cell r="M36">
            <v>2.2244000000000002</v>
          </cell>
          <cell r="N36">
            <v>2.2244000000000002</v>
          </cell>
          <cell r="O36">
            <v>2.2244000000000002</v>
          </cell>
          <cell r="P36">
            <v>2.2244000000000002</v>
          </cell>
          <cell r="Q36">
            <v>2.2244000000000002</v>
          </cell>
          <cell r="R36">
            <v>2.2244000000000002</v>
          </cell>
          <cell r="S36">
            <v>2.2244000000000002</v>
          </cell>
        </row>
        <row r="50">
          <cell r="C50">
            <v>36974.333333333336</v>
          </cell>
          <cell r="D50">
            <v>37035</v>
          </cell>
        </row>
        <row r="52">
          <cell r="C52">
            <v>37249.75</v>
          </cell>
          <cell r="D52">
            <v>37452</v>
          </cell>
        </row>
        <row r="53">
          <cell r="F53">
            <v>0.98199999999999998</v>
          </cell>
          <cell r="G53">
            <v>0</v>
          </cell>
          <cell r="H53">
            <v>0</v>
          </cell>
          <cell r="I53">
            <v>0</v>
          </cell>
          <cell r="J53">
            <v>0</v>
          </cell>
          <cell r="K53">
            <v>9.000000000000008E-3</v>
          </cell>
          <cell r="L53">
            <v>9.000000000000008E-3</v>
          </cell>
          <cell r="M53">
            <v>0</v>
          </cell>
          <cell r="N53">
            <v>0</v>
          </cell>
          <cell r="O53">
            <v>0</v>
          </cell>
          <cell r="P53">
            <v>0</v>
          </cell>
          <cell r="Q53">
            <v>0</v>
          </cell>
          <cell r="R53">
            <v>0</v>
          </cell>
          <cell r="S53">
            <v>1.8000000000000016E-2</v>
          </cell>
        </row>
        <row r="54">
          <cell r="F54">
            <v>0.98199999999999998</v>
          </cell>
          <cell r="G54">
            <v>0.98199999999999998</v>
          </cell>
          <cell r="H54">
            <v>0.98199999999999998</v>
          </cell>
          <cell r="I54">
            <v>0.98199999999999998</v>
          </cell>
          <cell r="J54">
            <v>0.98199999999999998</v>
          </cell>
          <cell r="K54">
            <v>0.99099999999999999</v>
          </cell>
          <cell r="L54">
            <v>1</v>
          </cell>
          <cell r="M54">
            <v>1</v>
          </cell>
          <cell r="N54">
            <v>1</v>
          </cell>
          <cell r="O54">
            <v>1</v>
          </cell>
          <cell r="P54">
            <v>1</v>
          </cell>
          <cell r="Q54">
            <v>1</v>
          </cell>
          <cell r="R54">
            <v>1</v>
          </cell>
          <cell r="S54">
            <v>1.018</v>
          </cell>
        </row>
        <row r="55">
          <cell r="F55">
            <v>0.151</v>
          </cell>
          <cell r="G55">
            <v>0.29949999999999999</v>
          </cell>
          <cell r="H55">
            <v>0.23900000000000005</v>
          </cell>
          <cell r="I55">
            <v>0.11099999999999999</v>
          </cell>
          <cell r="J55">
            <v>9.3499999999999917E-2</v>
          </cell>
          <cell r="K55">
            <v>3.1600000000000072E-2</v>
          </cell>
          <cell r="L55">
            <v>4.1200000000000014E-2</v>
          </cell>
          <cell r="M55">
            <v>3.3200000000000007E-2</v>
          </cell>
          <cell r="N55">
            <v>0</v>
          </cell>
          <cell r="O55">
            <v>0</v>
          </cell>
          <cell r="P55">
            <v>0</v>
          </cell>
          <cell r="Q55">
            <v>0</v>
          </cell>
          <cell r="R55">
            <v>0</v>
          </cell>
          <cell r="S55">
            <v>0.84899999999999998</v>
          </cell>
        </row>
        <row r="56">
          <cell r="F56">
            <v>0.151</v>
          </cell>
          <cell r="G56">
            <v>0.45050000000000001</v>
          </cell>
          <cell r="H56">
            <v>0.6895</v>
          </cell>
          <cell r="I56">
            <v>0.80049999999999999</v>
          </cell>
          <cell r="J56">
            <v>0.89399999999999991</v>
          </cell>
          <cell r="K56">
            <v>0.92559999999999998</v>
          </cell>
          <cell r="L56">
            <v>0.96679999999999999</v>
          </cell>
          <cell r="M56">
            <v>1</v>
          </cell>
          <cell r="N56">
            <v>1</v>
          </cell>
          <cell r="O56">
            <v>1</v>
          </cell>
          <cell r="P56">
            <v>1</v>
          </cell>
          <cell r="Q56">
            <v>1</v>
          </cell>
          <cell r="R56">
            <v>1</v>
          </cell>
          <cell r="S56">
            <v>1.849</v>
          </cell>
        </row>
      </sheetData>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API"/>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 val="Sistema de gestión"/>
      <sheetName val="Implementación y Operación"/>
      <sheetName val="Verificación y seguimiento"/>
      <sheetName val="EVALUACIÓN"/>
      <sheetName val="HALLAZGOS"/>
      <sheetName val="RESUMEN COMENTARIOS"/>
      <sheetName val="Hoja1"/>
    </sheetNames>
    <sheetDataSet>
      <sheetData sheetId="0">
        <row r="2">
          <cell r="B2" t="str">
            <v>A</v>
          </cell>
        </row>
        <row r="7">
          <cell r="B7" t="str">
            <v>Nivel 1</v>
          </cell>
        </row>
        <row r="8">
          <cell r="B8" t="str">
            <v>Nivel 2</v>
          </cell>
        </row>
        <row r="10">
          <cell r="B10" t="str">
            <v>Nivel 1</v>
          </cell>
        </row>
        <row r="11">
          <cell r="B11" t="str">
            <v>Nivel 2</v>
          </cell>
        </row>
        <row r="13">
          <cell r="B13" t="str">
            <v>Aspecto clave</v>
          </cell>
        </row>
        <row r="14">
          <cell r="B14" t="str">
            <v>Otro</v>
          </cell>
        </row>
        <row r="16">
          <cell r="B16" t="str">
            <v>No acorde al estándar</v>
          </cell>
        </row>
        <row r="17">
          <cell r="B17" t="str">
            <v>Otro</v>
          </cell>
        </row>
        <row r="19">
          <cell r="B19" t="str">
            <v>Reportabilidad inconsistente</v>
          </cell>
        </row>
        <row r="20">
          <cell r="B20" t="str">
            <v>Otro</v>
          </cell>
        </row>
      </sheetData>
      <sheetData sheetId="1"/>
      <sheetData sheetId="2"/>
      <sheetData sheetId="3"/>
      <sheetData sheetId="4"/>
      <sheetData sheetId="5"/>
      <sheetData sheetId="6"/>
      <sheetData sheetId="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Cu"/>
      <sheetName val="TOTAL Mo"/>
      <sheetName val="TOTAL As"/>
      <sheetName val="TOTAL CuNS"/>
      <sheetName val="TOTAL Wi"/>
      <sheetName val="SEWELL Cu"/>
      <sheetName val="SEWELL Mo"/>
      <sheetName val="SEWELL As"/>
      <sheetName val="SEWELL CuNS"/>
      <sheetName val="SEWELL Wi"/>
      <sheetName val="COLON Cu"/>
      <sheetName val="COLON Mo"/>
      <sheetName val="COLON As"/>
      <sheetName val="COLON CuNS"/>
      <sheetName val="COLON Wi"/>
      <sheetName val="4_SUR - Graficos 2002-2003"/>
      <sheetName val="4 SUR 2003"/>
      <sheetName val="Caract Met"/>
      <sheetName val="Buzon"/>
      <sheetName val="Gráfico2"/>
      <sheetName val="Gráfico1"/>
      <sheetName val="Alim-Ch"/>
      <sheetName val="Alim-Mol"/>
      <sheetName val="Mant-Mol"/>
      <sheetName val="Cap-Mol"/>
      <sheetName val="Flot-SEWELL"/>
      <sheetName val="Flot-COLON"/>
      <sheetName val="Flot-Retrat"/>
      <sheetName val="HIDRO"/>
      <sheetName val="Estadísticas"/>
      <sheetName val="Condicion"/>
      <sheetName val="Producción"/>
      <sheetName val="Recibido"/>
      <sheetName val="Prog_Rep"/>
      <sheetName val="para_IP"/>
      <sheetName val="GMIN"/>
      <sheetName val="GPTA"/>
      <sheetName val="GFUN"/>
      <sheetName val="Div. TTE"/>
      <sheetName val="Resumen TTE"/>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3">
          <cell r="B13">
            <v>6</v>
          </cell>
          <cell r="C13" t="str">
            <v>-</v>
          </cell>
          <cell r="D13">
            <v>18</v>
          </cell>
          <cell r="E13">
            <v>3</v>
          </cell>
          <cell r="F13" t="str">
            <v>1CT + 1/2 PSFS (RG CT)</v>
          </cell>
          <cell r="G13">
            <v>13</v>
          </cell>
          <cell r="H13">
            <v>1950</v>
          </cell>
          <cell r="I13">
            <v>25350</v>
          </cell>
          <cell r="J13">
            <v>1948.1538461538462</v>
          </cell>
          <cell r="K13">
            <v>25326</v>
          </cell>
          <cell r="L13">
            <v>0</v>
          </cell>
          <cell r="M13">
            <v>24</v>
          </cell>
          <cell r="N13">
            <v>25</v>
          </cell>
        </row>
        <row r="14">
          <cell r="B14">
            <v>19</v>
          </cell>
          <cell r="C14" t="str">
            <v>-</v>
          </cell>
          <cell r="D14">
            <v>19</v>
          </cell>
          <cell r="E14">
            <v>2</v>
          </cell>
          <cell r="F14" t="str">
            <v>1CT (3T) + 1CT(1T) U OPERACIÓN 2 TURNOS</v>
          </cell>
          <cell r="G14">
            <v>1</v>
          </cell>
          <cell r="H14">
            <v>2500</v>
          </cell>
          <cell r="I14">
            <v>2500</v>
          </cell>
          <cell r="J14">
            <v>2497</v>
          </cell>
          <cell r="K14">
            <v>2497</v>
          </cell>
          <cell r="L14">
            <v>0</v>
          </cell>
          <cell r="M14">
            <v>3</v>
          </cell>
          <cell r="N14">
            <v>3</v>
          </cell>
        </row>
        <row r="15">
          <cell r="B15">
            <v>20</v>
          </cell>
          <cell r="C15" t="str">
            <v>-</v>
          </cell>
          <cell r="D15">
            <v>31</v>
          </cell>
          <cell r="E15">
            <v>1</v>
          </cell>
          <cell r="F15" t="str">
            <v>2 CT + 2 PSFS</v>
          </cell>
          <cell r="G15">
            <v>12</v>
          </cell>
          <cell r="H15">
            <v>3700</v>
          </cell>
          <cell r="I15">
            <v>44400</v>
          </cell>
          <cell r="J15">
            <v>3696.5</v>
          </cell>
          <cell r="K15">
            <v>44358</v>
          </cell>
          <cell r="L15">
            <v>0</v>
          </cell>
          <cell r="M15">
            <v>42</v>
          </cell>
          <cell r="N15">
            <v>44</v>
          </cell>
        </row>
        <row r="16">
          <cell r="B16">
            <v>0</v>
          </cell>
          <cell r="C16" t="str">
            <v>-</v>
          </cell>
          <cell r="D16">
            <v>0</v>
          </cell>
          <cell r="E16">
            <v>0</v>
          </cell>
          <cell r="F16" t="str">
            <v>No hay operación</v>
          </cell>
          <cell r="G16">
            <v>0</v>
          </cell>
          <cell r="H16">
            <v>0</v>
          </cell>
          <cell r="I16">
            <v>0</v>
          </cell>
          <cell r="J16">
            <v>0</v>
          </cell>
          <cell r="K16">
            <v>0</v>
          </cell>
          <cell r="L16">
            <v>0</v>
          </cell>
          <cell r="M16">
            <v>0</v>
          </cell>
          <cell r="N16">
            <v>0</v>
          </cell>
        </row>
        <row r="17">
          <cell r="B17">
            <v>0</v>
          </cell>
          <cell r="C17" t="str">
            <v>-</v>
          </cell>
          <cell r="D17">
            <v>0</v>
          </cell>
          <cell r="E17">
            <v>0</v>
          </cell>
          <cell r="F17" t="str">
            <v>No hay operación</v>
          </cell>
          <cell r="G17">
            <v>0</v>
          </cell>
          <cell r="H17">
            <v>0</v>
          </cell>
          <cell r="I17">
            <v>0</v>
          </cell>
          <cell r="J17">
            <v>0</v>
          </cell>
          <cell r="K17">
            <v>0</v>
          </cell>
          <cell r="L17">
            <v>0</v>
          </cell>
          <cell r="M17">
            <v>0</v>
          </cell>
          <cell r="N17">
            <v>0</v>
          </cell>
        </row>
        <row r="18">
          <cell r="E18" t="str">
            <v>Tpd</v>
          </cell>
          <cell r="F18">
            <v>3411.7692307692309</v>
          </cell>
        </row>
        <row r="19">
          <cell r="A19" t="str">
            <v>-</v>
          </cell>
          <cell r="B19" t="str">
            <v>-</v>
          </cell>
          <cell r="C19" t="str">
            <v>-</v>
          </cell>
          <cell r="D19" t="str">
            <v>-</v>
          </cell>
          <cell r="E19" t="str">
            <v>-</v>
          </cell>
          <cell r="F19" t="str">
            <v>-</v>
          </cell>
          <cell r="G19" t="str">
            <v>-</v>
          </cell>
          <cell r="H19" t="str">
            <v>-</v>
          </cell>
          <cell r="I19" t="str">
            <v>-</v>
          </cell>
          <cell r="L19" t="str">
            <v>-</v>
          </cell>
          <cell r="M19" t="str">
            <v>-</v>
          </cell>
          <cell r="N19" t="str">
            <v>-</v>
          </cell>
          <cell r="O19" t="str">
            <v>-</v>
          </cell>
          <cell r="P19" t="str">
            <v>-</v>
          </cell>
        </row>
        <row r="20">
          <cell r="A20" t="str">
            <v>TOT</v>
          </cell>
          <cell r="F20">
            <v>88706</v>
          </cell>
          <cell r="G20">
            <v>26</v>
          </cell>
          <cell r="H20">
            <v>2778.8461538461538</v>
          </cell>
          <cell r="I20">
            <v>72250</v>
          </cell>
          <cell r="J20">
            <v>2776.1923076923076</v>
          </cell>
          <cell r="K20">
            <v>72181</v>
          </cell>
          <cell r="L20">
            <v>0</v>
          </cell>
          <cell r="M20">
            <v>69</v>
          </cell>
          <cell r="N20">
            <v>72</v>
          </cell>
          <cell r="O20">
            <v>28</v>
          </cell>
          <cell r="P20">
            <v>435</v>
          </cell>
        </row>
        <row r="21">
          <cell r="A21" t="str">
            <v>-</v>
          </cell>
          <cell r="B21" t="str">
            <v>-</v>
          </cell>
          <cell r="C21" t="str">
            <v>-</v>
          </cell>
          <cell r="D21" t="str">
            <v>-</v>
          </cell>
          <cell r="E21" t="str">
            <v>-</v>
          </cell>
          <cell r="F21" t="str">
            <v>-</v>
          </cell>
          <cell r="G21" t="str">
            <v>-</v>
          </cell>
          <cell r="H21" t="str">
            <v>-</v>
          </cell>
          <cell r="I21" t="str">
            <v>-</v>
          </cell>
          <cell r="L21" t="str">
            <v>-</v>
          </cell>
          <cell r="M21" t="str">
            <v>-</v>
          </cell>
          <cell r="N21" t="str">
            <v>-</v>
          </cell>
          <cell r="O21" t="str">
            <v>-</v>
          </cell>
          <cell r="P21" t="str">
            <v>-</v>
          </cell>
        </row>
        <row r="23">
          <cell r="A23" t="str">
            <v>FEB</v>
          </cell>
          <cell r="B23">
            <v>1</v>
          </cell>
          <cell r="C23" t="str">
            <v>-</v>
          </cell>
          <cell r="D23">
            <v>24</v>
          </cell>
          <cell r="E23">
            <v>1</v>
          </cell>
          <cell r="F23" t="str">
            <v>2 CT + 2 PSFS</v>
          </cell>
          <cell r="G23">
            <v>24</v>
          </cell>
          <cell r="H23">
            <v>3700</v>
          </cell>
          <cell r="I23">
            <v>88800</v>
          </cell>
          <cell r="J23">
            <v>3696.5</v>
          </cell>
          <cell r="K23">
            <v>88716</v>
          </cell>
          <cell r="L23">
            <v>0</v>
          </cell>
          <cell r="M23">
            <v>84</v>
          </cell>
          <cell r="N23">
            <v>89</v>
          </cell>
        </row>
        <row r="24">
          <cell r="B24">
            <v>25</v>
          </cell>
          <cell r="C24" t="str">
            <v>-</v>
          </cell>
          <cell r="D24">
            <v>25</v>
          </cell>
          <cell r="E24">
            <v>4</v>
          </cell>
          <cell r="F24" t="str">
            <v>1 CT + 1 PLG + 1PSFS</v>
          </cell>
          <cell r="G24">
            <v>1</v>
          </cell>
          <cell r="H24">
            <v>1950</v>
          </cell>
          <cell r="I24">
            <v>1950</v>
          </cell>
          <cell r="J24">
            <v>1948</v>
          </cell>
          <cell r="K24">
            <v>1948</v>
          </cell>
          <cell r="L24">
            <v>0</v>
          </cell>
          <cell r="M24">
            <v>2</v>
          </cell>
          <cell r="N24">
            <v>2</v>
          </cell>
        </row>
        <row r="25">
          <cell r="B25">
            <v>26</v>
          </cell>
          <cell r="C25" t="str">
            <v>-</v>
          </cell>
          <cell r="D25">
            <v>28</v>
          </cell>
          <cell r="E25">
            <v>1</v>
          </cell>
          <cell r="F25" t="str">
            <v>2 CT + 2 PSFS</v>
          </cell>
          <cell r="G25">
            <v>3</v>
          </cell>
          <cell r="H25">
            <v>3700</v>
          </cell>
          <cell r="I25">
            <v>11100</v>
          </cell>
          <cell r="J25">
            <v>3696.6666666666665</v>
          </cell>
          <cell r="K25">
            <v>11090</v>
          </cell>
          <cell r="L25">
            <v>0</v>
          </cell>
          <cell r="M25">
            <v>10</v>
          </cell>
          <cell r="N25">
            <v>11</v>
          </cell>
        </row>
        <row r="26">
          <cell r="B26">
            <v>0</v>
          </cell>
          <cell r="C26" t="str">
            <v>-</v>
          </cell>
          <cell r="D26">
            <v>0</v>
          </cell>
          <cell r="E26">
            <v>0</v>
          </cell>
          <cell r="F26" t="str">
            <v>No hay operación</v>
          </cell>
          <cell r="G26">
            <v>0</v>
          </cell>
          <cell r="H26">
            <v>0</v>
          </cell>
          <cell r="I26">
            <v>0</v>
          </cell>
          <cell r="J26">
            <v>0</v>
          </cell>
          <cell r="K26">
            <v>0</v>
          </cell>
          <cell r="L26">
            <v>0</v>
          </cell>
          <cell r="M26">
            <v>0</v>
          </cell>
          <cell r="N26">
            <v>0</v>
          </cell>
        </row>
        <row r="27">
          <cell r="B27">
            <v>0</v>
          </cell>
          <cell r="C27" t="str">
            <v>-</v>
          </cell>
          <cell r="D27">
            <v>0</v>
          </cell>
          <cell r="E27">
            <v>0</v>
          </cell>
          <cell r="F27" t="str">
            <v>No hay operación</v>
          </cell>
          <cell r="G27">
            <v>0</v>
          </cell>
          <cell r="H27">
            <v>0</v>
          </cell>
          <cell r="I27">
            <v>0</v>
          </cell>
          <cell r="J27">
            <v>0</v>
          </cell>
          <cell r="K27">
            <v>0</v>
          </cell>
          <cell r="L27">
            <v>0</v>
          </cell>
          <cell r="M27">
            <v>0</v>
          </cell>
          <cell r="N27">
            <v>0</v>
          </cell>
        </row>
        <row r="28">
          <cell r="B28">
            <v>0</v>
          </cell>
          <cell r="C28" t="str">
            <v>-</v>
          </cell>
          <cell r="D28">
            <v>0</v>
          </cell>
          <cell r="E28">
            <v>0</v>
          </cell>
          <cell r="F28" t="str">
            <v>No hay operación</v>
          </cell>
          <cell r="G28">
            <v>0</v>
          </cell>
          <cell r="H28">
            <v>0</v>
          </cell>
          <cell r="I28">
            <v>0</v>
          </cell>
          <cell r="J28">
            <v>0</v>
          </cell>
          <cell r="K28">
            <v>0</v>
          </cell>
          <cell r="L28">
            <v>0</v>
          </cell>
          <cell r="M28">
            <v>0</v>
          </cell>
          <cell r="N28">
            <v>0</v>
          </cell>
        </row>
        <row r="29">
          <cell r="E29" t="str">
            <v>Tpd</v>
          </cell>
          <cell r="F29">
            <v>3017.25</v>
          </cell>
        </row>
        <row r="30">
          <cell r="A30" t="str">
            <v>-</v>
          </cell>
          <cell r="B30" t="str">
            <v>-</v>
          </cell>
          <cell r="C30" t="str">
            <v>-</v>
          </cell>
          <cell r="D30" t="str">
            <v>-</v>
          </cell>
          <cell r="E30" t="str">
            <v>-</v>
          </cell>
          <cell r="F30" t="str">
            <v>-</v>
          </cell>
          <cell r="G30" t="str">
            <v>-</v>
          </cell>
          <cell r="H30" t="str">
            <v>-</v>
          </cell>
          <cell r="I30" t="str">
            <v>-</v>
          </cell>
          <cell r="K30" t="str">
            <v>-</v>
          </cell>
          <cell r="L30" t="str">
            <v>-</v>
          </cell>
          <cell r="M30" t="str">
            <v>-</v>
          </cell>
          <cell r="N30" t="str">
            <v>-</v>
          </cell>
          <cell r="O30" t="str">
            <v>-</v>
          </cell>
          <cell r="P30" t="str">
            <v>-</v>
          </cell>
        </row>
        <row r="31">
          <cell r="A31" t="str">
            <v>TOT</v>
          </cell>
          <cell r="F31">
            <v>84483</v>
          </cell>
          <cell r="G31">
            <v>28</v>
          </cell>
          <cell r="H31">
            <v>3637.5</v>
          </cell>
          <cell r="I31">
            <v>101850</v>
          </cell>
          <cell r="J31">
            <v>3634.0714285714284</v>
          </cell>
          <cell r="K31">
            <v>101754</v>
          </cell>
          <cell r="L31">
            <v>0</v>
          </cell>
          <cell r="M31">
            <v>96</v>
          </cell>
          <cell r="N31">
            <v>102</v>
          </cell>
          <cell r="O31">
            <v>39</v>
          </cell>
          <cell r="P31">
            <v>329</v>
          </cell>
        </row>
        <row r="32">
          <cell r="A32" t="str">
            <v>-</v>
          </cell>
          <cell r="B32" t="str">
            <v>-</v>
          </cell>
          <cell r="C32" t="str">
            <v>-</v>
          </cell>
          <cell r="D32" t="str">
            <v>-</v>
          </cell>
          <cell r="E32" t="str">
            <v>-</v>
          </cell>
          <cell r="F32" t="str">
            <v>-</v>
          </cell>
          <cell r="G32" t="str">
            <v>-</v>
          </cell>
          <cell r="H32" t="str">
            <v>-</v>
          </cell>
          <cell r="I32" t="str">
            <v>-</v>
          </cell>
          <cell r="K32" t="str">
            <v>-</v>
          </cell>
          <cell r="L32" t="str">
            <v>-</v>
          </cell>
          <cell r="M32" t="str">
            <v>-</v>
          </cell>
          <cell r="N32" t="str">
            <v>-</v>
          </cell>
          <cell r="O32" t="str">
            <v>-</v>
          </cell>
          <cell r="P32" t="str">
            <v>-</v>
          </cell>
        </row>
        <row r="34">
          <cell r="A34" t="str">
            <v>MAR</v>
          </cell>
          <cell r="B34">
            <v>1</v>
          </cell>
          <cell r="C34" t="str">
            <v>-</v>
          </cell>
          <cell r="D34">
            <v>2</v>
          </cell>
          <cell r="E34">
            <v>1</v>
          </cell>
          <cell r="F34" t="str">
            <v>2 CT + 2 PSFS</v>
          </cell>
          <cell r="G34">
            <v>2</v>
          </cell>
          <cell r="H34">
            <v>3700</v>
          </cell>
          <cell r="I34">
            <v>7400</v>
          </cell>
          <cell r="J34">
            <v>3696.5</v>
          </cell>
          <cell r="K34">
            <v>7393</v>
          </cell>
          <cell r="L34">
            <v>0</v>
          </cell>
          <cell r="M34">
            <v>7</v>
          </cell>
          <cell r="N34">
            <v>7</v>
          </cell>
        </row>
        <row r="35">
          <cell r="B35">
            <v>3</v>
          </cell>
          <cell r="C35" t="str">
            <v>-</v>
          </cell>
          <cell r="D35">
            <v>3</v>
          </cell>
          <cell r="E35">
            <v>4</v>
          </cell>
          <cell r="F35" t="str">
            <v>1 CT + 1 PLG + 1PSFS</v>
          </cell>
          <cell r="G35">
            <v>1</v>
          </cell>
          <cell r="H35">
            <v>1950</v>
          </cell>
          <cell r="I35">
            <v>1950</v>
          </cell>
          <cell r="J35">
            <v>1948</v>
          </cell>
          <cell r="K35">
            <v>1948</v>
          </cell>
          <cell r="L35">
            <v>0</v>
          </cell>
          <cell r="M35">
            <v>2</v>
          </cell>
          <cell r="N35">
            <v>2</v>
          </cell>
        </row>
        <row r="36">
          <cell r="B36">
            <v>4</v>
          </cell>
          <cell r="C36" t="str">
            <v>-</v>
          </cell>
          <cell r="D36">
            <v>31</v>
          </cell>
          <cell r="E36">
            <v>1</v>
          </cell>
          <cell r="F36" t="str">
            <v>2 CT + 2 PSFS</v>
          </cell>
          <cell r="G36">
            <v>28</v>
          </cell>
          <cell r="H36">
            <v>3700</v>
          </cell>
          <cell r="I36">
            <v>103600</v>
          </cell>
          <cell r="J36">
            <v>3342.6071428571445</v>
          </cell>
          <cell r="K36">
            <v>93593.000000000044</v>
          </cell>
          <cell r="L36">
            <v>9908.9999999999563</v>
          </cell>
          <cell r="M36">
            <v>98</v>
          </cell>
          <cell r="N36">
            <v>104</v>
          </cell>
        </row>
        <row r="37">
          <cell r="B37">
            <v>0</v>
          </cell>
          <cell r="C37" t="str">
            <v>-</v>
          </cell>
          <cell r="D37">
            <v>0</v>
          </cell>
          <cell r="E37">
            <v>0</v>
          </cell>
          <cell r="F37" t="str">
            <v>No hay operación</v>
          </cell>
          <cell r="G37">
            <v>0</v>
          </cell>
          <cell r="H37">
            <v>0</v>
          </cell>
          <cell r="I37">
            <v>0</v>
          </cell>
          <cell r="J37">
            <v>0</v>
          </cell>
          <cell r="K37">
            <v>0</v>
          </cell>
          <cell r="L37">
            <v>0</v>
          </cell>
          <cell r="M37">
            <v>0</v>
          </cell>
          <cell r="N37">
            <v>0</v>
          </cell>
        </row>
        <row r="38">
          <cell r="B38">
            <v>0</v>
          </cell>
          <cell r="C38" t="str">
            <v>-</v>
          </cell>
          <cell r="D38">
            <v>0</v>
          </cell>
          <cell r="E38">
            <v>0</v>
          </cell>
          <cell r="F38" t="str">
            <v>No hay operación</v>
          </cell>
          <cell r="G38">
            <v>0</v>
          </cell>
          <cell r="H38">
            <v>0</v>
          </cell>
          <cell r="I38">
            <v>0</v>
          </cell>
          <cell r="J38">
            <v>0</v>
          </cell>
          <cell r="K38">
            <v>0</v>
          </cell>
          <cell r="L38">
            <v>0</v>
          </cell>
          <cell r="M38">
            <v>0</v>
          </cell>
          <cell r="N38">
            <v>0</v>
          </cell>
        </row>
        <row r="39">
          <cell r="B39">
            <v>0</v>
          </cell>
          <cell r="C39" t="str">
            <v>-</v>
          </cell>
          <cell r="D39">
            <v>0</v>
          </cell>
          <cell r="E39">
            <v>0</v>
          </cell>
          <cell r="F39" t="str">
            <v>No hay operación</v>
          </cell>
          <cell r="G39">
            <v>0</v>
          </cell>
          <cell r="H39">
            <v>0</v>
          </cell>
          <cell r="I39">
            <v>0</v>
          </cell>
          <cell r="J39">
            <v>0</v>
          </cell>
          <cell r="K39">
            <v>0</v>
          </cell>
          <cell r="L39">
            <v>0</v>
          </cell>
          <cell r="M39">
            <v>0</v>
          </cell>
          <cell r="N39">
            <v>0</v>
          </cell>
        </row>
        <row r="40">
          <cell r="E40" t="str">
            <v>Tpd</v>
          </cell>
          <cell r="F40">
            <v>3039.2258064516127</v>
          </cell>
        </row>
        <row r="41">
          <cell r="A41" t="str">
            <v>-</v>
          </cell>
          <cell r="B41" t="str">
            <v>-</v>
          </cell>
          <cell r="C41" t="str">
            <v>-</v>
          </cell>
          <cell r="D41" t="str">
            <v>-</v>
          </cell>
          <cell r="E41" t="str">
            <v>-</v>
          </cell>
          <cell r="F41" t="str">
            <v>-</v>
          </cell>
          <cell r="G41" t="str">
            <v>-</v>
          </cell>
          <cell r="H41" t="str">
            <v>-</v>
          </cell>
          <cell r="I41" t="str">
            <v>-</v>
          </cell>
          <cell r="L41" t="str">
            <v>-</v>
          </cell>
          <cell r="M41" t="str">
            <v>-</v>
          </cell>
          <cell r="N41" t="str">
            <v>-</v>
          </cell>
          <cell r="O41" t="str">
            <v>-</v>
          </cell>
          <cell r="P41" t="str">
            <v>-</v>
          </cell>
        </row>
        <row r="42">
          <cell r="A42" t="str">
            <v>TOT</v>
          </cell>
          <cell r="F42">
            <v>94216</v>
          </cell>
          <cell r="G42">
            <v>31</v>
          </cell>
          <cell r="H42">
            <v>3643.5483870967741</v>
          </cell>
          <cell r="I42">
            <v>112950</v>
          </cell>
          <cell r="J42">
            <v>3320.4516129032272</v>
          </cell>
          <cell r="K42">
            <v>102934.00000000004</v>
          </cell>
          <cell r="L42">
            <v>9908.9999999999563</v>
          </cell>
          <cell r="M42">
            <v>107</v>
          </cell>
          <cell r="N42">
            <v>113</v>
          </cell>
          <cell r="O42">
            <v>43</v>
          </cell>
          <cell r="P42">
            <v>316</v>
          </cell>
        </row>
        <row r="43">
          <cell r="A43" t="str">
            <v>-</v>
          </cell>
          <cell r="B43" t="str">
            <v>-</v>
          </cell>
          <cell r="C43" t="str">
            <v>-</v>
          </cell>
          <cell r="D43" t="str">
            <v>-</v>
          </cell>
          <cell r="E43" t="str">
            <v>-</v>
          </cell>
          <cell r="F43" t="str">
            <v>-</v>
          </cell>
          <cell r="G43" t="str">
            <v>-</v>
          </cell>
          <cell r="H43" t="str">
            <v>-</v>
          </cell>
          <cell r="I43" t="str">
            <v>-</v>
          </cell>
          <cell r="L43" t="str">
            <v>-</v>
          </cell>
          <cell r="M43" t="str">
            <v>-</v>
          </cell>
          <cell r="N43" t="str">
            <v>-</v>
          </cell>
          <cell r="O43" t="str">
            <v>-</v>
          </cell>
          <cell r="P43" t="str">
            <v>-</v>
          </cell>
        </row>
        <row r="45">
          <cell r="A45" t="str">
            <v>ABR</v>
          </cell>
          <cell r="B45">
            <v>1</v>
          </cell>
          <cell r="C45" t="str">
            <v>-</v>
          </cell>
          <cell r="D45">
            <v>11</v>
          </cell>
          <cell r="E45">
            <v>1</v>
          </cell>
          <cell r="F45" t="str">
            <v>2 CT + 2 PSFS</v>
          </cell>
          <cell r="G45">
            <v>11</v>
          </cell>
          <cell r="H45">
            <v>3700</v>
          </cell>
          <cell r="I45">
            <v>40700</v>
          </cell>
          <cell r="J45">
            <v>3179.7</v>
          </cell>
          <cell r="K45">
            <v>34976.699999999997</v>
          </cell>
          <cell r="L45">
            <v>5684.3000000000029</v>
          </cell>
          <cell r="M45">
            <v>39</v>
          </cell>
          <cell r="N45">
            <v>41</v>
          </cell>
        </row>
        <row r="46">
          <cell r="B46">
            <v>12</v>
          </cell>
          <cell r="C46" t="str">
            <v>-</v>
          </cell>
          <cell r="D46">
            <v>12</v>
          </cell>
          <cell r="E46">
            <v>4</v>
          </cell>
          <cell r="F46" t="str">
            <v>1 CT + 1 PLG + 1PSFS</v>
          </cell>
          <cell r="G46">
            <v>1</v>
          </cell>
          <cell r="H46">
            <v>1950</v>
          </cell>
          <cell r="I46">
            <v>1950</v>
          </cell>
          <cell r="J46">
            <v>1948</v>
          </cell>
          <cell r="K46">
            <v>1948</v>
          </cell>
          <cell r="L46">
            <v>0</v>
          </cell>
          <cell r="M46">
            <v>2</v>
          </cell>
          <cell r="N46">
            <v>2</v>
          </cell>
        </row>
        <row r="47">
          <cell r="B47">
            <v>13</v>
          </cell>
          <cell r="C47" t="str">
            <v>-</v>
          </cell>
          <cell r="D47">
            <v>17</v>
          </cell>
          <cell r="E47">
            <v>1</v>
          </cell>
          <cell r="F47" t="str">
            <v>2 CT + 2 PSFS</v>
          </cell>
          <cell r="G47">
            <v>5</v>
          </cell>
          <cell r="H47">
            <v>3700</v>
          </cell>
          <cell r="I47">
            <v>18500</v>
          </cell>
          <cell r="J47">
            <v>3324.6058823529415</v>
          </cell>
          <cell r="K47">
            <v>16623.029411764706</v>
          </cell>
          <cell r="L47">
            <v>1858.9705882352937</v>
          </cell>
          <cell r="M47">
            <v>18</v>
          </cell>
          <cell r="N47">
            <v>19</v>
          </cell>
        </row>
        <row r="48">
          <cell r="B48">
            <v>18</v>
          </cell>
          <cell r="C48" t="str">
            <v>-</v>
          </cell>
          <cell r="D48">
            <v>18</v>
          </cell>
          <cell r="E48">
            <v>4</v>
          </cell>
          <cell r="F48" t="str">
            <v>1 CT + 1 PLG + 1PSFS</v>
          </cell>
          <cell r="G48">
            <v>1</v>
          </cell>
          <cell r="H48">
            <v>1950</v>
          </cell>
          <cell r="I48">
            <v>1950</v>
          </cell>
          <cell r="J48">
            <v>1948</v>
          </cell>
          <cell r="K48">
            <v>1948</v>
          </cell>
          <cell r="L48">
            <v>0</v>
          </cell>
          <cell r="M48">
            <v>2</v>
          </cell>
          <cell r="N48">
            <v>2</v>
          </cell>
        </row>
        <row r="49">
          <cell r="B49">
            <v>19</v>
          </cell>
          <cell r="C49" t="str">
            <v>-</v>
          </cell>
          <cell r="D49">
            <v>30</v>
          </cell>
          <cell r="E49">
            <v>1</v>
          </cell>
          <cell r="F49" t="str">
            <v>2 CT + 2 PSFS</v>
          </cell>
          <cell r="G49">
            <v>12</v>
          </cell>
          <cell r="H49">
            <v>3700</v>
          </cell>
          <cell r="I49">
            <v>44400</v>
          </cell>
          <cell r="J49">
            <v>3324.6058823529415</v>
          </cell>
          <cell r="K49">
            <v>39895.270588235297</v>
          </cell>
          <cell r="L49">
            <v>4462.7294117647034</v>
          </cell>
          <cell r="M49">
            <v>42</v>
          </cell>
          <cell r="N49">
            <v>44</v>
          </cell>
        </row>
        <row r="50">
          <cell r="B50">
            <v>0</v>
          </cell>
          <cell r="C50" t="str">
            <v>-</v>
          </cell>
          <cell r="D50">
            <v>0</v>
          </cell>
          <cell r="E50">
            <v>0</v>
          </cell>
          <cell r="F50" t="str">
            <v>No hay operación</v>
          </cell>
          <cell r="G50">
            <v>0</v>
          </cell>
          <cell r="H50">
            <v>0</v>
          </cell>
          <cell r="I50">
            <v>0</v>
          </cell>
          <cell r="J50">
            <v>0</v>
          </cell>
          <cell r="K50">
            <v>0</v>
          </cell>
          <cell r="L50">
            <v>0</v>
          </cell>
          <cell r="M50">
            <v>0</v>
          </cell>
          <cell r="N50">
            <v>0</v>
          </cell>
        </row>
        <row r="51">
          <cell r="E51" t="str">
            <v>Tpd</v>
          </cell>
          <cell r="F51">
            <v>3179.7</v>
          </cell>
        </row>
        <row r="52">
          <cell r="A52" t="str">
            <v>-</v>
          </cell>
          <cell r="B52" t="str">
            <v>-</v>
          </cell>
          <cell r="C52" t="str">
            <v>-</v>
          </cell>
          <cell r="D52" t="str">
            <v>-</v>
          </cell>
          <cell r="E52" t="str">
            <v>-</v>
          </cell>
          <cell r="F52" t="str">
            <v>-</v>
          </cell>
          <cell r="G52" t="str">
            <v>-</v>
          </cell>
          <cell r="H52" t="str">
            <v>-</v>
          </cell>
          <cell r="I52" t="str">
            <v>-</v>
          </cell>
          <cell r="L52" t="str">
            <v>-</v>
          </cell>
          <cell r="M52" t="str">
            <v>-</v>
          </cell>
          <cell r="N52" t="str">
            <v>-</v>
          </cell>
          <cell r="O52" t="str">
            <v>-</v>
          </cell>
          <cell r="P52" t="str">
            <v>-</v>
          </cell>
        </row>
        <row r="53">
          <cell r="A53" t="str">
            <v>TOT</v>
          </cell>
          <cell r="F53">
            <v>95391</v>
          </cell>
          <cell r="G53">
            <v>30</v>
          </cell>
          <cell r="H53">
            <v>3583.3333333333335</v>
          </cell>
          <cell r="I53">
            <v>107500</v>
          </cell>
          <cell r="J53">
            <v>3179.7</v>
          </cell>
          <cell r="K53">
            <v>95391</v>
          </cell>
          <cell r="L53">
            <v>12006</v>
          </cell>
          <cell r="M53">
            <v>103</v>
          </cell>
          <cell r="N53">
            <v>108</v>
          </cell>
          <cell r="O53">
            <v>41</v>
          </cell>
          <cell r="P53">
            <v>260</v>
          </cell>
        </row>
        <row r="54">
          <cell r="A54" t="str">
            <v>-</v>
          </cell>
          <cell r="B54" t="str">
            <v>-</v>
          </cell>
          <cell r="C54" t="str">
            <v>-</v>
          </cell>
          <cell r="D54" t="str">
            <v>-</v>
          </cell>
          <cell r="E54" t="str">
            <v>-</v>
          </cell>
          <cell r="F54" t="str">
            <v>-</v>
          </cell>
          <cell r="G54" t="str">
            <v>-</v>
          </cell>
          <cell r="H54" t="str">
            <v>-</v>
          </cell>
          <cell r="I54" t="str">
            <v>-</v>
          </cell>
          <cell r="L54" t="str">
            <v>-</v>
          </cell>
          <cell r="M54" t="str">
            <v>-</v>
          </cell>
          <cell r="N54" t="str">
            <v>-</v>
          </cell>
          <cell r="O54" t="str">
            <v>-</v>
          </cell>
          <cell r="P54" t="str">
            <v>-</v>
          </cell>
        </row>
        <row r="55">
          <cell r="A55" t="str">
            <v>|::</v>
          </cell>
        </row>
        <row r="57">
          <cell r="A57" t="str">
            <v>MAY</v>
          </cell>
          <cell r="B57">
            <v>1</v>
          </cell>
          <cell r="C57" t="str">
            <v>-</v>
          </cell>
          <cell r="D57">
            <v>1</v>
          </cell>
          <cell r="E57">
            <v>0</v>
          </cell>
          <cell r="F57" t="str">
            <v>No hay operación</v>
          </cell>
          <cell r="G57">
            <v>0</v>
          </cell>
          <cell r="H57">
            <v>0</v>
          </cell>
          <cell r="I57">
            <v>0</v>
          </cell>
          <cell r="J57">
            <v>0</v>
          </cell>
          <cell r="K57">
            <v>0</v>
          </cell>
          <cell r="L57">
            <v>0</v>
          </cell>
          <cell r="M57">
            <v>0</v>
          </cell>
          <cell r="N57">
            <v>0</v>
          </cell>
        </row>
        <row r="58">
          <cell r="B58">
            <v>2</v>
          </cell>
          <cell r="C58" t="str">
            <v>-</v>
          </cell>
          <cell r="D58">
            <v>2</v>
          </cell>
          <cell r="E58">
            <v>2</v>
          </cell>
          <cell r="F58" t="str">
            <v>1CT (3T) + 1CT(1T) U OPERACIÓN 2 TURNOS</v>
          </cell>
          <cell r="G58">
            <v>1</v>
          </cell>
          <cell r="H58">
            <v>2500</v>
          </cell>
          <cell r="I58">
            <v>2500</v>
          </cell>
          <cell r="J58">
            <v>2497</v>
          </cell>
          <cell r="K58">
            <v>2497</v>
          </cell>
          <cell r="L58">
            <v>0</v>
          </cell>
          <cell r="M58">
            <v>3</v>
          </cell>
          <cell r="N58">
            <v>3</v>
          </cell>
        </row>
        <row r="59">
          <cell r="B59">
            <v>3</v>
          </cell>
          <cell r="C59" t="str">
            <v>-</v>
          </cell>
          <cell r="D59">
            <v>27</v>
          </cell>
          <cell r="E59">
            <v>1</v>
          </cell>
          <cell r="F59" t="str">
            <v>2 CT + 2 PSFS</v>
          </cell>
          <cell r="G59">
            <v>25</v>
          </cell>
          <cell r="H59">
            <v>3700</v>
          </cell>
          <cell r="I59">
            <v>92500</v>
          </cell>
          <cell r="J59">
            <v>3545.8214285714284</v>
          </cell>
          <cell r="K59">
            <v>88645.53571428571</v>
          </cell>
          <cell r="L59">
            <v>3766.4642857142899</v>
          </cell>
          <cell r="M59">
            <v>88</v>
          </cell>
          <cell r="N59">
            <v>93</v>
          </cell>
        </row>
        <row r="60">
          <cell r="B60">
            <v>28</v>
          </cell>
          <cell r="C60" t="str">
            <v>-</v>
          </cell>
          <cell r="D60">
            <v>28</v>
          </cell>
          <cell r="E60">
            <v>4</v>
          </cell>
          <cell r="F60" t="str">
            <v>1 CT + 1 PLG + 1PSFS</v>
          </cell>
          <cell r="G60">
            <v>1</v>
          </cell>
          <cell r="H60">
            <v>1950</v>
          </cell>
          <cell r="I60">
            <v>1950</v>
          </cell>
          <cell r="J60">
            <v>1948</v>
          </cell>
          <cell r="K60">
            <v>1948</v>
          </cell>
          <cell r="L60">
            <v>0</v>
          </cell>
          <cell r="M60">
            <v>2</v>
          </cell>
          <cell r="N60">
            <v>2</v>
          </cell>
        </row>
        <row r="61">
          <cell r="B61">
            <v>29</v>
          </cell>
          <cell r="C61" t="str">
            <v>-</v>
          </cell>
          <cell r="D61">
            <v>31</v>
          </cell>
          <cell r="E61">
            <v>1</v>
          </cell>
          <cell r="F61" t="str">
            <v>2 CT + 2 PSFS</v>
          </cell>
          <cell r="G61">
            <v>3</v>
          </cell>
          <cell r="H61">
            <v>3700</v>
          </cell>
          <cell r="I61">
            <v>11100</v>
          </cell>
          <cell r="J61">
            <v>3545.8214285714284</v>
          </cell>
          <cell r="K61">
            <v>10637.464285714286</v>
          </cell>
          <cell r="L61">
            <v>452.53571428571377</v>
          </cell>
          <cell r="M61">
            <v>10</v>
          </cell>
          <cell r="N61">
            <v>11</v>
          </cell>
        </row>
        <row r="62">
          <cell r="B62">
            <v>0</v>
          </cell>
          <cell r="C62" t="str">
            <v>-</v>
          </cell>
          <cell r="D62">
            <v>0</v>
          </cell>
          <cell r="E62">
            <v>0</v>
          </cell>
          <cell r="F62" t="str">
            <v>No hay operación</v>
          </cell>
          <cell r="G62">
            <v>0</v>
          </cell>
          <cell r="H62">
            <v>0</v>
          </cell>
          <cell r="I62">
            <v>0</v>
          </cell>
          <cell r="J62">
            <v>0</v>
          </cell>
          <cell r="K62">
            <v>0</v>
          </cell>
          <cell r="L62">
            <v>0</v>
          </cell>
          <cell r="M62">
            <v>0</v>
          </cell>
          <cell r="N62">
            <v>0</v>
          </cell>
        </row>
        <row r="63">
          <cell r="E63" t="str">
            <v>Tpd</v>
          </cell>
          <cell r="F63">
            <v>3457.6</v>
          </cell>
        </row>
        <row r="64">
          <cell r="A64" t="str">
            <v>-</v>
          </cell>
          <cell r="B64" t="str">
            <v>-</v>
          </cell>
          <cell r="C64" t="str">
            <v>-</v>
          </cell>
          <cell r="D64" t="str">
            <v>-</v>
          </cell>
          <cell r="E64" t="str">
            <v>-</v>
          </cell>
          <cell r="F64" t="str">
            <v>-</v>
          </cell>
          <cell r="G64" t="str">
            <v>-</v>
          </cell>
          <cell r="H64" t="str">
            <v>-</v>
          </cell>
          <cell r="I64" t="str">
            <v>-</v>
          </cell>
          <cell r="K64" t="str">
            <v>-</v>
          </cell>
          <cell r="L64" t="str">
            <v>-</v>
          </cell>
          <cell r="M64" t="str">
            <v>-</v>
          </cell>
          <cell r="N64" t="str">
            <v>-</v>
          </cell>
        </row>
        <row r="65">
          <cell r="A65" t="str">
            <v>TOT</v>
          </cell>
          <cell r="F65">
            <v>103728</v>
          </cell>
          <cell r="G65">
            <v>30</v>
          </cell>
          <cell r="H65">
            <v>3601.6666666666665</v>
          </cell>
          <cell r="I65">
            <v>108050</v>
          </cell>
          <cell r="J65">
            <v>3457.6</v>
          </cell>
          <cell r="K65">
            <v>103728</v>
          </cell>
          <cell r="L65">
            <v>4219.0000000000036</v>
          </cell>
          <cell r="M65">
            <v>103</v>
          </cell>
          <cell r="N65">
            <v>109</v>
          </cell>
        </row>
        <row r="66">
          <cell r="A66" t="str">
            <v>-</v>
          </cell>
          <cell r="B66" t="str">
            <v>-</v>
          </cell>
          <cell r="C66" t="str">
            <v>-</v>
          </cell>
          <cell r="D66" t="str">
            <v>-</v>
          </cell>
          <cell r="E66" t="str">
            <v>-</v>
          </cell>
          <cell r="F66" t="str">
            <v>-</v>
          </cell>
          <cell r="G66" t="str">
            <v>-</v>
          </cell>
          <cell r="H66" t="str">
            <v>-</v>
          </cell>
          <cell r="I66" t="str">
            <v>-</v>
          </cell>
          <cell r="K66" t="str">
            <v>-</v>
          </cell>
          <cell r="L66" t="str">
            <v>-</v>
          </cell>
          <cell r="M66" t="str">
            <v>-</v>
          </cell>
          <cell r="N66" t="str">
            <v>-</v>
          </cell>
        </row>
        <row r="68">
          <cell r="A68" t="str">
            <v>JUN</v>
          </cell>
          <cell r="B68">
            <v>1</v>
          </cell>
          <cell r="C68" t="str">
            <v>-</v>
          </cell>
          <cell r="D68">
            <v>2</v>
          </cell>
          <cell r="E68">
            <v>1</v>
          </cell>
          <cell r="F68" t="str">
            <v>2 CT + 2 PSFS</v>
          </cell>
          <cell r="G68">
            <v>2</v>
          </cell>
          <cell r="H68">
            <v>3700</v>
          </cell>
          <cell r="I68">
            <v>7400</v>
          </cell>
          <cell r="J68">
            <v>3696.5</v>
          </cell>
          <cell r="K68">
            <v>7393</v>
          </cell>
          <cell r="L68">
            <v>0</v>
          </cell>
          <cell r="M68">
            <v>7</v>
          </cell>
          <cell r="N68">
            <v>7</v>
          </cell>
        </row>
        <row r="69">
          <cell r="B69">
            <v>3</v>
          </cell>
          <cell r="C69" t="str">
            <v>-</v>
          </cell>
          <cell r="D69">
            <v>3</v>
          </cell>
          <cell r="E69">
            <v>4</v>
          </cell>
          <cell r="F69" t="str">
            <v>1 CT + 1 PLG + 1PSFS</v>
          </cell>
          <cell r="G69">
            <v>1</v>
          </cell>
          <cell r="H69">
            <v>1950</v>
          </cell>
          <cell r="I69">
            <v>1950</v>
          </cell>
          <cell r="J69">
            <v>1948</v>
          </cell>
          <cell r="K69">
            <v>1948</v>
          </cell>
          <cell r="L69">
            <v>0</v>
          </cell>
          <cell r="M69">
            <v>2</v>
          </cell>
          <cell r="N69">
            <v>2</v>
          </cell>
        </row>
        <row r="70">
          <cell r="B70">
            <v>4</v>
          </cell>
          <cell r="C70" t="str">
            <v>-</v>
          </cell>
          <cell r="D70">
            <v>30</v>
          </cell>
          <cell r="E70">
            <v>1</v>
          </cell>
          <cell r="F70" t="str">
            <v>2 CT + 2 PSFS</v>
          </cell>
          <cell r="G70">
            <v>27</v>
          </cell>
          <cell r="H70">
            <v>3700</v>
          </cell>
          <cell r="I70">
            <v>99900</v>
          </cell>
          <cell r="J70">
            <v>3696.5185185185187</v>
          </cell>
          <cell r="K70">
            <v>99806</v>
          </cell>
          <cell r="L70">
            <v>0</v>
          </cell>
          <cell r="M70">
            <v>94</v>
          </cell>
          <cell r="N70">
            <v>100</v>
          </cell>
        </row>
        <row r="71">
          <cell r="B71">
            <v>0</v>
          </cell>
          <cell r="C71" t="str">
            <v>-</v>
          </cell>
          <cell r="D71">
            <v>0</v>
          </cell>
          <cell r="E71">
            <v>0</v>
          </cell>
          <cell r="F71" t="str">
            <v>No hay operación</v>
          </cell>
          <cell r="G71">
            <v>0</v>
          </cell>
          <cell r="H71">
            <v>0</v>
          </cell>
          <cell r="I71">
            <v>0</v>
          </cell>
          <cell r="J71">
            <v>0</v>
          </cell>
          <cell r="K71">
            <v>0</v>
          </cell>
          <cell r="L71">
            <v>0</v>
          </cell>
          <cell r="M71">
            <v>0</v>
          </cell>
          <cell r="N71">
            <v>0</v>
          </cell>
        </row>
        <row r="72">
          <cell r="B72">
            <v>0</v>
          </cell>
          <cell r="C72" t="str">
            <v>-</v>
          </cell>
          <cell r="D72">
            <v>0</v>
          </cell>
          <cell r="E72">
            <v>0</v>
          </cell>
          <cell r="F72" t="str">
            <v>No hay operación</v>
          </cell>
          <cell r="G72">
            <v>0</v>
          </cell>
          <cell r="H72">
            <v>0</v>
          </cell>
          <cell r="I72">
            <v>0</v>
          </cell>
          <cell r="J72">
            <v>0</v>
          </cell>
          <cell r="K72">
            <v>0</v>
          </cell>
          <cell r="L72">
            <v>0</v>
          </cell>
          <cell r="M72">
            <v>0</v>
          </cell>
          <cell r="N72">
            <v>0</v>
          </cell>
        </row>
        <row r="73">
          <cell r="B73">
            <v>0</v>
          </cell>
          <cell r="C73" t="str">
            <v>-</v>
          </cell>
          <cell r="D73">
            <v>0</v>
          </cell>
          <cell r="E73">
            <v>0</v>
          </cell>
          <cell r="F73" t="str">
            <v>No hay operación</v>
          </cell>
          <cell r="G73">
            <v>0</v>
          </cell>
          <cell r="H73">
            <v>0</v>
          </cell>
          <cell r="I73">
            <v>0</v>
          </cell>
          <cell r="J73">
            <v>0</v>
          </cell>
          <cell r="K73">
            <v>0</v>
          </cell>
          <cell r="L73">
            <v>0</v>
          </cell>
          <cell r="M73">
            <v>0</v>
          </cell>
          <cell r="N73">
            <v>0</v>
          </cell>
        </row>
        <row r="74">
          <cell r="E74" t="str">
            <v>Tpd</v>
          </cell>
          <cell r="F74">
            <v>3748.9</v>
          </cell>
        </row>
        <row r="75">
          <cell r="A75" t="str">
            <v>-</v>
          </cell>
          <cell r="B75" t="str">
            <v>-</v>
          </cell>
          <cell r="C75" t="str">
            <v>-</v>
          </cell>
          <cell r="D75" t="str">
            <v>-</v>
          </cell>
          <cell r="E75" t="str">
            <v>-</v>
          </cell>
          <cell r="F75" t="str">
            <v>-</v>
          </cell>
          <cell r="G75" t="str">
            <v>-</v>
          </cell>
          <cell r="H75" t="str">
            <v>-</v>
          </cell>
          <cell r="I75" t="str">
            <v>-</v>
          </cell>
          <cell r="K75" t="str">
            <v>-</v>
          </cell>
          <cell r="L75" t="str">
            <v>-</v>
          </cell>
          <cell r="M75" t="str">
            <v>-</v>
          </cell>
          <cell r="N75" t="str">
            <v>-</v>
          </cell>
        </row>
        <row r="76">
          <cell r="A76" t="str">
            <v>TOT</v>
          </cell>
          <cell r="F76">
            <v>112467</v>
          </cell>
          <cell r="G76">
            <v>30</v>
          </cell>
          <cell r="H76">
            <v>3641.6666666666665</v>
          </cell>
          <cell r="I76">
            <v>109250</v>
          </cell>
          <cell r="J76">
            <v>3638.2333333333331</v>
          </cell>
          <cell r="K76">
            <v>109147</v>
          </cell>
          <cell r="L76">
            <v>0</v>
          </cell>
          <cell r="M76">
            <v>103</v>
          </cell>
          <cell r="N76">
            <v>109</v>
          </cell>
        </row>
        <row r="77">
          <cell r="A77" t="str">
            <v>-</v>
          </cell>
          <cell r="B77" t="str">
            <v>-</v>
          </cell>
          <cell r="C77" t="str">
            <v>-</v>
          </cell>
          <cell r="D77" t="str">
            <v>-</v>
          </cell>
          <cell r="E77" t="str">
            <v>-</v>
          </cell>
          <cell r="F77" t="str">
            <v>-</v>
          </cell>
          <cell r="G77" t="str">
            <v>-</v>
          </cell>
          <cell r="H77" t="str">
            <v>-</v>
          </cell>
          <cell r="I77" t="str">
            <v>-</v>
          </cell>
          <cell r="K77" t="str">
            <v>-</v>
          </cell>
          <cell r="L77" t="str">
            <v>-</v>
          </cell>
          <cell r="M77" t="str">
            <v>-</v>
          </cell>
          <cell r="N77" t="str">
            <v>-</v>
          </cell>
        </row>
        <row r="79">
          <cell r="A79" t="str">
            <v>JUL</v>
          </cell>
          <cell r="B79">
            <v>1</v>
          </cell>
          <cell r="C79" t="str">
            <v>-</v>
          </cell>
          <cell r="D79">
            <v>12</v>
          </cell>
          <cell r="E79">
            <v>1</v>
          </cell>
          <cell r="F79" t="str">
            <v>2 CT + 2 PSFS</v>
          </cell>
          <cell r="G79">
            <v>12</v>
          </cell>
          <cell r="H79">
            <v>3700</v>
          </cell>
          <cell r="I79">
            <v>44400</v>
          </cell>
          <cell r="J79">
            <v>3696.5</v>
          </cell>
          <cell r="K79">
            <v>44358</v>
          </cell>
          <cell r="L79">
            <v>0</v>
          </cell>
          <cell r="M79">
            <v>42</v>
          </cell>
          <cell r="N79">
            <v>44</v>
          </cell>
        </row>
        <row r="80">
          <cell r="B80">
            <v>13</v>
          </cell>
          <cell r="C80" t="str">
            <v>-</v>
          </cell>
          <cell r="D80">
            <v>15</v>
          </cell>
          <cell r="E80">
            <v>3</v>
          </cell>
          <cell r="F80" t="str">
            <v>1CT + 1/2 PSFS (RG CT)</v>
          </cell>
          <cell r="G80">
            <v>3</v>
          </cell>
          <cell r="H80">
            <v>1950</v>
          </cell>
          <cell r="I80">
            <v>5850</v>
          </cell>
          <cell r="J80">
            <v>1948</v>
          </cell>
          <cell r="K80">
            <v>5844</v>
          </cell>
          <cell r="L80">
            <v>0</v>
          </cell>
          <cell r="M80">
            <v>6</v>
          </cell>
          <cell r="N80">
            <v>6</v>
          </cell>
        </row>
        <row r="81">
          <cell r="B81">
            <v>16</v>
          </cell>
          <cell r="C81" t="str">
            <v>-</v>
          </cell>
          <cell r="D81">
            <v>31</v>
          </cell>
          <cell r="E81">
            <v>1</v>
          </cell>
          <cell r="F81" t="str">
            <v>2 CT + 2 PSFS</v>
          </cell>
          <cell r="G81">
            <v>16</v>
          </cell>
          <cell r="H81">
            <v>3700</v>
          </cell>
          <cell r="I81">
            <v>59200</v>
          </cell>
          <cell r="J81">
            <v>3696.5</v>
          </cell>
          <cell r="K81">
            <v>59144</v>
          </cell>
          <cell r="L81">
            <v>0</v>
          </cell>
          <cell r="M81">
            <v>56</v>
          </cell>
          <cell r="N81">
            <v>59</v>
          </cell>
        </row>
        <row r="82">
          <cell r="B82">
            <v>0</v>
          </cell>
          <cell r="C82" t="str">
            <v>-</v>
          </cell>
          <cell r="D82">
            <v>0</v>
          </cell>
          <cell r="E82">
            <v>0</v>
          </cell>
          <cell r="F82" t="str">
            <v>No hay operación</v>
          </cell>
          <cell r="G82">
            <v>0</v>
          </cell>
          <cell r="H82">
            <v>0</v>
          </cell>
          <cell r="I82">
            <v>0</v>
          </cell>
          <cell r="J82">
            <v>0</v>
          </cell>
          <cell r="K82">
            <v>0</v>
          </cell>
          <cell r="L82">
            <v>0</v>
          </cell>
          <cell r="M82">
            <v>0</v>
          </cell>
          <cell r="N82">
            <v>0</v>
          </cell>
        </row>
        <row r="83">
          <cell r="B83">
            <v>0</v>
          </cell>
          <cell r="C83" t="str">
            <v>-</v>
          </cell>
          <cell r="D83">
            <v>0</v>
          </cell>
          <cell r="E83">
            <v>0</v>
          </cell>
          <cell r="F83" t="str">
            <v>No hay operación</v>
          </cell>
          <cell r="G83">
            <v>0</v>
          </cell>
          <cell r="H83">
            <v>0</v>
          </cell>
          <cell r="I83">
            <v>0</v>
          </cell>
          <cell r="J83">
            <v>0</v>
          </cell>
          <cell r="K83">
            <v>0</v>
          </cell>
          <cell r="L83">
            <v>0</v>
          </cell>
          <cell r="M83">
            <v>0</v>
          </cell>
          <cell r="N83">
            <v>0</v>
          </cell>
        </row>
        <row r="84">
          <cell r="B84">
            <v>0</v>
          </cell>
          <cell r="C84" t="str">
            <v>-</v>
          </cell>
          <cell r="D84">
            <v>0</v>
          </cell>
          <cell r="E84">
            <v>0</v>
          </cell>
          <cell r="F84" t="str">
            <v>No hay operación</v>
          </cell>
          <cell r="G84">
            <v>0</v>
          </cell>
          <cell r="H84">
            <v>0</v>
          </cell>
          <cell r="I84">
            <v>0</v>
          </cell>
          <cell r="J84">
            <v>0</v>
          </cell>
          <cell r="K84">
            <v>0</v>
          </cell>
          <cell r="L84">
            <v>0</v>
          </cell>
          <cell r="M84">
            <v>0</v>
          </cell>
          <cell r="N84">
            <v>0</v>
          </cell>
        </row>
        <row r="85">
          <cell r="E85" t="str">
            <v>Tpd</v>
          </cell>
          <cell r="F85">
            <v>4094.1612903225805</v>
          </cell>
        </row>
        <row r="86">
          <cell r="A86" t="str">
            <v>-</v>
          </cell>
          <cell r="B86" t="str">
            <v>-</v>
          </cell>
          <cell r="C86" t="str">
            <v>-</v>
          </cell>
          <cell r="D86" t="str">
            <v>-</v>
          </cell>
          <cell r="E86" t="str">
            <v>-</v>
          </cell>
          <cell r="F86" t="str">
            <v>-</v>
          </cell>
          <cell r="G86" t="str">
            <v>-</v>
          </cell>
          <cell r="H86" t="str">
            <v>-</v>
          </cell>
          <cell r="I86" t="str">
            <v>-</v>
          </cell>
          <cell r="K86" t="str">
            <v>-</v>
          </cell>
          <cell r="L86" t="str">
            <v>-</v>
          </cell>
          <cell r="M86" t="str">
            <v>-</v>
          </cell>
          <cell r="N86" t="str">
            <v>-</v>
          </cell>
        </row>
        <row r="87">
          <cell r="A87" t="str">
            <v>TOT</v>
          </cell>
          <cell r="F87">
            <v>126919</v>
          </cell>
          <cell r="G87">
            <v>31</v>
          </cell>
          <cell r="H87">
            <v>3530.6451612903224</v>
          </cell>
          <cell r="I87">
            <v>109450</v>
          </cell>
          <cell r="J87">
            <v>3527.2903225806454</v>
          </cell>
          <cell r="K87">
            <v>109346</v>
          </cell>
          <cell r="L87">
            <v>0</v>
          </cell>
          <cell r="M87">
            <v>104</v>
          </cell>
          <cell r="N87">
            <v>109</v>
          </cell>
        </row>
        <row r="88">
          <cell r="A88" t="str">
            <v>-</v>
          </cell>
          <cell r="B88" t="str">
            <v>-</v>
          </cell>
          <cell r="C88" t="str">
            <v>-</v>
          </cell>
          <cell r="D88" t="str">
            <v>-</v>
          </cell>
          <cell r="E88" t="str">
            <v>-</v>
          </cell>
          <cell r="F88" t="str">
            <v>-</v>
          </cell>
          <cell r="G88" t="str">
            <v>-</v>
          </cell>
          <cell r="H88" t="str">
            <v>-</v>
          </cell>
          <cell r="I88" t="str">
            <v>-</v>
          </cell>
          <cell r="K88" t="str">
            <v>-</v>
          </cell>
          <cell r="L88" t="str">
            <v>-</v>
          </cell>
          <cell r="M88" t="str">
            <v>-</v>
          </cell>
          <cell r="N88" t="str">
            <v>-</v>
          </cell>
        </row>
        <row r="90">
          <cell r="A90" t="str">
            <v>AGO</v>
          </cell>
          <cell r="B90">
            <v>1</v>
          </cell>
          <cell r="C90" t="str">
            <v>-</v>
          </cell>
          <cell r="D90">
            <v>3</v>
          </cell>
          <cell r="E90">
            <v>1</v>
          </cell>
          <cell r="F90" t="str">
            <v>2 CT + 2 PSFS</v>
          </cell>
          <cell r="G90">
            <v>3</v>
          </cell>
          <cell r="H90">
            <v>3700</v>
          </cell>
          <cell r="I90">
            <v>11100</v>
          </cell>
          <cell r="J90">
            <v>3696.6666666666665</v>
          </cell>
          <cell r="K90">
            <v>11090</v>
          </cell>
          <cell r="L90">
            <v>0</v>
          </cell>
          <cell r="M90">
            <v>10</v>
          </cell>
          <cell r="N90">
            <v>11</v>
          </cell>
        </row>
        <row r="91">
          <cell r="B91">
            <v>4</v>
          </cell>
          <cell r="C91" t="str">
            <v>-</v>
          </cell>
          <cell r="D91">
            <v>18</v>
          </cell>
          <cell r="E91">
            <v>1</v>
          </cell>
          <cell r="F91" t="str">
            <v>2 CT + 2 PSFS</v>
          </cell>
          <cell r="G91">
            <v>15</v>
          </cell>
          <cell r="H91">
            <v>3700</v>
          </cell>
          <cell r="I91">
            <v>55500</v>
          </cell>
          <cell r="J91">
            <v>3696.4666666666667</v>
          </cell>
          <cell r="K91">
            <v>55447</v>
          </cell>
          <cell r="L91">
            <v>0</v>
          </cell>
          <cell r="M91">
            <v>53</v>
          </cell>
          <cell r="N91">
            <v>56</v>
          </cell>
        </row>
        <row r="92">
          <cell r="B92">
            <v>19</v>
          </cell>
          <cell r="C92" t="str">
            <v>-</v>
          </cell>
          <cell r="D92">
            <v>21</v>
          </cell>
          <cell r="E92">
            <v>1</v>
          </cell>
          <cell r="F92" t="str">
            <v>2 CT + 2 PSFS</v>
          </cell>
          <cell r="G92">
            <v>3</v>
          </cell>
          <cell r="H92">
            <v>3700</v>
          </cell>
          <cell r="I92">
            <v>11100</v>
          </cell>
          <cell r="J92">
            <v>3696.6666666666665</v>
          </cell>
          <cell r="K92">
            <v>11090</v>
          </cell>
          <cell r="L92">
            <v>0</v>
          </cell>
          <cell r="M92">
            <v>10</v>
          </cell>
          <cell r="N92">
            <v>11</v>
          </cell>
        </row>
        <row r="93">
          <cell r="B93">
            <v>22</v>
          </cell>
          <cell r="C93" t="str">
            <v>-</v>
          </cell>
          <cell r="D93">
            <v>27</v>
          </cell>
          <cell r="E93">
            <v>1</v>
          </cell>
          <cell r="F93" t="str">
            <v>2 CT + 2 PSFS</v>
          </cell>
          <cell r="G93">
            <v>6</v>
          </cell>
          <cell r="H93">
            <v>3700</v>
          </cell>
          <cell r="I93">
            <v>22200</v>
          </cell>
          <cell r="J93">
            <v>3696.5</v>
          </cell>
          <cell r="K93">
            <v>22179</v>
          </cell>
          <cell r="L93">
            <v>0</v>
          </cell>
          <cell r="M93">
            <v>21</v>
          </cell>
          <cell r="N93">
            <v>22</v>
          </cell>
        </row>
        <row r="94">
          <cell r="B94">
            <v>28</v>
          </cell>
          <cell r="C94" t="str">
            <v>-</v>
          </cell>
          <cell r="D94">
            <v>30</v>
          </cell>
          <cell r="E94">
            <v>3</v>
          </cell>
          <cell r="F94" t="str">
            <v>1CT + 1/2 PSFS (RG CT)</v>
          </cell>
          <cell r="G94">
            <v>3</v>
          </cell>
          <cell r="H94">
            <v>1950</v>
          </cell>
          <cell r="I94">
            <v>5850</v>
          </cell>
          <cell r="J94">
            <v>1948</v>
          </cell>
          <cell r="K94">
            <v>5844</v>
          </cell>
          <cell r="L94">
            <v>0</v>
          </cell>
          <cell r="M94">
            <v>6</v>
          </cell>
          <cell r="N94">
            <v>6</v>
          </cell>
        </row>
        <row r="95">
          <cell r="B95">
            <v>31</v>
          </cell>
          <cell r="C95" t="str">
            <v>-</v>
          </cell>
          <cell r="D95">
            <v>31</v>
          </cell>
          <cell r="E95">
            <v>1</v>
          </cell>
          <cell r="F95" t="str">
            <v>2 CT + 2 PSFS</v>
          </cell>
          <cell r="G95">
            <v>1</v>
          </cell>
          <cell r="H95">
            <v>3700</v>
          </cell>
          <cell r="I95">
            <v>3700</v>
          </cell>
          <cell r="J95">
            <v>3696</v>
          </cell>
          <cell r="K95">
            <v>3696</v>
          </cell>
          <cell r="L95">
            <v>0</v>
          </cell>
          <cell r="M95">
            <v>4</v>
          </cell>
          <cell r="N95">
            <v>4</v>
          </cell>
        </row>
        <row r="96">
          <cell r="E96" t="str">
            <v>Tpd</v>
          </cell>
          <cell r="F96">
            <v>4140.3548387096771</v>
          </cell>
        </row>
        <row r="97">
          <cell r="A97" t="str">
            <v>-</v>
          </cell>
          <cell r="B97" t="str">
            <v>-</v>
          </cell>
          <cell r="C97" t="str">
            <v>-</v>
          </cell>
          <cell r="D97" t="str">
            <v>-</v>
          </cell>
          <cell r="E97" t="str">
            <v>-</v>
          </cell>
          <cell r="F97" t="str">
            <v>-</v>
          </cell>
          <cell r="G97" t="str">
            <v>-</v>
          </cell>
          <cell r="H97" t="str">
            <v>-</v>
          </cell>
          <cell r="I97" t="str">
            <v>-</v>
          </cell>
          <cell r="K97" t="str">
            <v>-</v>
          </cell>
          <cell r="L97" t="str">
            <v>-</v>
          </cell>
          <cell r="M97" t="str">
            <v>-</v>
          </cell>
          <cell r="N97" t="str">
            <v>-</v>
          </cell>
        </row>
        <row r="98">
          <cell r="A98" t="str">
            <v>TOT</v>
          </cell>
          <cell r="F98">
            <v>128351</v>
          </cell>
          <cell r="G98">
            <v>31</v>
          </cell>
          <cell r="H98">
            <v>3530.6451612903224</v>
          </cell>
          <cell r="I98">
            <v>109450</v>
          </cell>
          <cell r="J98">
            <v>3527.2903225806454</v>
          </cell>
          <cell r="K98">
            <v>109346</v>
          </cell>
          <cell r="L98">
            <v>0</v>
          </cell>
          <cell r="M98">
            <v>104</v>
          </cell>
          <cell r="N98">
            <v>110</v>
          </cell>
        </row>
        <row r="99">
          <cell r="A99" t="str">
            <v>-</v>
          </cell>
          <cell r="B99" t="str">
            <v>-</v>
          </cell>
          <cell r="C99" t="str">
            <v>-</v>
          </cell>
          <cell r="D99" t="str">
            <v>-</v>
          </cell>
          <cell r="E99" t="str">
            <v>-</v>
          </cell>
          <cell r="F99" t="str">
            <v>-</v>
          </cell>
          <cell r="G99" t="str">
            <v>-</v>
          </cell>
          <cell r="H99" t="str">
            <v>-</v>
          </cell>
          <cell r="I99" t="str">
            <v>-</v>
          </cell>
          <cell r="K99" t="str">
            <v>-</v>
          </cell>
          <cell r="L99" t="str">
            <v>-</v>
          </cell>
          <cell r="M99" t="str">
            <v>-</v>
          </cell>
          <cell r="N99" t="str">
            <v>-</v>
          </cell>
        </row>
        <row r="101">
          <cell r="A101" t="str">
            <v>SEP</v>
          </cell>
          <cell r="B101">
            <v>1</v>
          </cell>
          <cell r="C101" t="str">
            <v>-</v>
          </cell>
          <cell r="D101">
            <v>2</v>
          </cell>
          <cell r="E101">
            <v>1</v>
          </cell>
          <cell r="F101" t="str">
            <v>2 CT + 2 PSFS</v>
          </cell>
          <cell r="G101">
            <v>2</v>
          </cell>
          <cell r="H101">
            <v>3700</v>
          </cell>
          <cell r="I101">
            <v>7400</v>
          </cell>
          <cell r="J101">
            <v>3696.5</v>
          </cell>
          <cell r="K101">
            <v>7393</v>
          </cell>
          <cell r="L101">
            <v>0</v>
          </cell>
          <cell r="M101">
            <v>7</v>
          </cell>
          <cell r="N101">
            <v>7</v>
          </cell>
        </row>
        <row r="102">
          <cell r="B102">
            <v>3</v>
          </cell>
          <cell r="C102" t="str">
            <v>-</v>
          </cell>
          <cell r="D102">
            <v>3</v>
          </cell>
          <cell r="E102">
            <v>1</v>
          </cell>
          <cell r="F102" t="str">
            <v>2 CT + 2 PSFS</v>
          </cell>
          <cell r="G102">
            <v>1</v>
          </cell>
          <cell r="H102">
            <v>3700</v>
          </cell>
          <cell r="I102">
            <v>3700</v>
          </cell>
          <cell r="J102">
            <v>3696</v>
          </cell>
          <cell r="K102">
            <v>3696</v>
          </cell>
          <cell r="L102">
            <v>0</v>
          </cell>
          <cell r="M102">
            <v>4</v>
          </cell>
          <cell r="N102">
            <v>4</v>
          </cell>
        </row>
        <row r="103">
          <cell r="B103">
            <v>4</v>
          </cell>
          <cell r="C103" t="str">
            <v>-</v>
          </cell>
          <cell r="D103">
            <v>17</v>
          </cell>
          <cell r="E103">
            <v>1</v>
          </cell>
          <cell r="F103" t="str">
            <v>2 CT + 2 PSFS</v>
          </cell>
          <cell r="G103">
            <v>14</v>
          </cell>
          <cell r="H103">
            <v>3700</v>
          </cell>
          <cell r="I103">
            <v>51800</v>
          </cell>
          <cell r="J103">
            <v>3696.5</v>
          </cell>
          <cell r="K103">
            <v>51751</v>
          </cell>
          <cell r="L103">
            <v>0</v>
          </cell>
          <cell r="M103">
            <v>49</v>
          </cell>
          <cell r="N103">
            <v>52</v>
          </cell>
        </row>
        <row r="104">
          <cell r="B104">
            <v>18</v>
          </cell>
          <cell r="C104" t="str">
            <v>-</v>
          </cell>
          <cell r="D104">
            <v>19</v>
          </cell>
          <cell r="E104">
            <v>0</v>
          </cell>
          <cell r="F104" t="str">
            <v>No hay operación</v>
          </cell>
          <cell r="G104">
            <v>0</v>
          </cell>
          <cell r="H104">
            <v>0</v>
          </cell>
          <cell r="I104">
            <v>0</v>
          </cell>
          <cell r="J104">
            <v>0</v>
          </cell>
          <cell r="K104">
            <v>0</v>
          </cell>
          <cell r="L104">
            <v>0</v>
          </cell>
          <cell r="M104">
            <v>0</v>
          </cell>
          <cell r="N104">
            <v>0</v>
          </cell>
        </row>
        <row r="105">
          <cell r="B105">
            <v>20</v>
          </cell>
          <cell r="C105" t="str">
            <v>-</v>
          </cell>
          <cell r="D105">
            <v>20</v>
          </cell>
          <cell r="E105">
            <v>2</v>
          </cell>
          <cell r="F105" t="str">
            <v>1CT (3T) + 1CT(1T) U OPERACIÓN 2 TURNOS</v>
          </cell>
          <cell r="G105">
            <v>1</v>
          </cell>
          <cell r="H105">
            <v>2500</v>
          </cell>
          <cell r="I105">
            <v>2500</v>
          </cell>
          <cell r="J105">
            <v>2497</v>
          </cell>
          <cell r="K105">
            <v>2497</v>
          </cell>
          <cell r="L105">
            <v>0</v>
          </cell>
          <cell r="M105">
            <v>3</v>
          </cell>
          <cell r="N105">
            <v>3</v>
          </cell>
        </row>
        <row r="106">
          <cell r="B106">
            <v>21</v>
          </cell>
          <cell r="C106" t="str">
            <v>-</v>
          </cell>
          <cell r="D106">
            <v>30</v>
          </cell>
          <cell r="E106">
            <v>1</v>
          </cell>
          <cell r="F106" t="str">
            <v>2 CT + 2 PSFS</v>
          </cell>
          <cell r="G106">
            <v>10</v>
          </cell>
          <cell r="H106">
            <v>3700</v>
          </cell>
          <cell r="I106">
            <v>37000</v>
          </cell>
          <cell r="J106">
            <v>3696.5</v>
          </cell>
          <cell r="K106">
            <v>36965</v>
          </cell>
          <cell r="L106">
            <v>0</v>
          </cell>
          <cell r="M106">
            <v>35</v>
          </cell>
          <cell r="N106">
            <v>37</v>
          </cell>
        </row>
        <row r="107">
          <cell r="E107" t="str">
            <v>Tpd</v>
          </cell>
          <cell r="F107">
            <v>5186.7857142857119</v>
          </cell>
        </row>
        <row r="108">
          <cell r="A108" t="str">
            <v>-</v>
          </cell>
          <cell r="B108" t="str">
            <v>-</v>
          </cell>
          <cell r="C108" t="str">
            <v>-</v>
          </cell>
          <cell r="D108" t="str">
            <v>-</v>
          </cell>
          <cell r="E108" t="str">
            <v>-</v>
          </cell>
          <cell r="F108" t="str">
            <v>-</v>
          </cell>
          <cell r="G108" t="str">
            <v>-</v>
          </cell>
          <cell r="H108" t="str">
            <v>-</v>
          </cell>
          <cell r="I108" t="str">
            <v>-</v>
          </cell>
          <cell r="K108" t="str">
            <v>-</v>
          </cell>
          <cell r="L108" t="str">
            <v>-</v>
          </cell>
          <cell r="M108" t="str">
            <v>-</v>
          </cell>
          <cell r="N108" t="str">
            <v>-</v>
          </cell>
        </row>
        <row r="109">
          <cell r="A109" t="str">
            <v>TOT</v>
          </cell>
          <cell r="F109">
            <v>114796</v>
          </cell>
          <cell r="G109">
            <v>28</v>
          </cell>
          <cell r="H109">
            <v>3657.1428571428573</v>
          </cell>
          <cell r="I109">
            <v>102400</v>
          </cell>
          <cell r="J109">
            <v>3653.6428571428573</v>
          </cell>
          <cell r="K109">
            <v>102302</v>
          </cell>
          <cell r="L109">
            <v>0</v>
          </cell>
          <cell r="M109">
            <v>98</v>
          </cell>
          <cell r="N109">
            <v>103</v>
          </cell>
        </row>
        <row r="110">
          <cell r="A110" t="str">
            <v>-</v>
          </cell>
          <cell r="B110" t="str">
            <v>-</v>
          </cell>
          <cell r="C110" t="str">
            <v>-</v>
          </cell>
          <cell r="D110" t="str">
            <v>-</v>
          </cell>
          <cell r="E110" t="str">
            <v>-</v>
          </cell>
          <cell r="F110" t="str">
            <v>-</v>
          </cell>
          <cell r="G110" t="str">
            <v>-</v>
          </cell>
          <cell r="H110" t="str">
            <v>-</v>
          </cell>
          <cell r="I110" t="str">
            <v>-</v>
          </cell>
          <cell r="K110" t="str">
            <v>-</v>
          </cell>
          <cell r="L110" t="str">
            <v>-</v>
          </cell>
          <cell r="M110" t="str">
            <v>-</v>
          </cell>
          <cell r="N110" t="str">
            <v>-</v>
          </cell>
        </row>
        <row r="113">
          <cell r="A113" t="str">
            <v>OCT</v>
          </cell>
          <cell r="B113">
            <v>1</v>
          </cell>
          <cell r="C113" t="str">
            <v>-</v>
          </cell>
          <cell r="D113">
            <v>12</v>
          </cell>
          <cell r="E113">
            <v>1</v>
          </cell>
          <cell r="F113" t="str">
            <v>2 CT + 2 PSFS</v>
          </cell>
          <cell r="G113">
            <v>12</v>
          </cell>
          <cell r="H113">
            <v>3700</v>
          </cell>
          <cell r="I113">
            <v>44400</v>
          </cell>
          <cell r="J113">
            <v>3696.5</v>
          </cell>
          <cell r="K113">
            <v>44358</v>
          </cell>
          <cell r="L113">
            <v>0</v>
          </cell>
          <cell r="M113">
            <v>42</v>
          </cell>
          <cell r="N113">
            <v>44</v>
          </cell>
        </row>
        <row r="114">
          <cell r="B114">
            <v>13</v>
          </cell>
          <cell r="C114" t="str">
            <v>-</v>
          </cell>
          <cell r="D114">
            <v>13</v>
          </cell>
          <cell r="E114">
            <v>4</v>
          </cell>
          <cell r="F114" t="str">
            <v>1 CT + 1 PLG + 1PSFS</v>
          </cell>
          <cell r="G114">
            <v>1</v>
          </cell>
          <cell r="H114">
            <v>1950</v>
          </cell>
          <cell r="I114">
            <v>1950</v>
          </cell>
          <cell r="J114">
            <v>1948</v>
          </cell>
          <cell r="K114">
            <v>1948</v>
          </cell>
          <cell r="L114">
            <v>0</v>
          </cell>
          <cell r="M114">
            <v>2</v>
          </cell>
          <cell r="N114">
            <v>2</v>
          </cell>
        </row>
        <row r="115">
          <cell r="B115">
            <v>14</v>
          </cell>
          <cell r="C115" t="str">
            <v>-</v>
          </cell>
          <cell r="D115">
            <v>18</v>
          </cell>
          <cell r="E115">
            <v>1</v>
          </cell>
          <cell r="F115" t="str">
            <v>2 CT + 2 PSFS</v>
          </cell>
          <cell r="G115">
            <v>5</v>
          </cell>
          <cell r="H115">
            <v>3700</v>
          </cell>
          <cell r="I115">
            <v>18500</v>
          </cell>
          <cell r="J115">
            <v>3696.4</v>
          </cell>
          <cell r="K115">
            <v>18482</v>
          </cell>
          <cell r="L115">
            <v>0</v>
          </cell>
          <cell r="M115">
            <v>18</v>
          </cell>
          <cell r="N115">
            <v>19</v>
          </cell>
        </row>
        <row r="116">
          <cell r="B116">
            <v>19</v>
          </cell>
          <cell r="C116" t="str">
            <v>-</v>
          </cell>
          <cell r="D116">
            <v>19</v>
          </cell>
          <cell r="E116">
            <v>4</v>
          </cell>
          <cell r="F116" t="str">
            <v>1 CT + 1 PLG + 1PSFS</v>
          </cell>
          <cell r="G116">
            <v>1</v>
          </cell>
          <cell r="H116">
            <v>1950</v>
          </cell>
          <cell r="I116">
            <v>1950</v>
          </cell>
          <cell r="J116">
            <v>1948</v>
          </cell>
          <cell r="K116">
            <v>1948</v>
          </cell>
          <cell r="L116">
            <v>0</v>
          </cell>
          <cell r="M116">
            <v>2</v>
          </cell>
          <cell r="N116">
            <v>2</v>
          </cell>
        </row>
        <row r="117">
          <cell r="B117">
            <v>20</v>
          </cell>
          <cell r="C117" t="str">
            <v>-</v>
          </cell>
          <cell r="D117">
            <v>31</v>
          </cell>
          <cell r="E117">
            <v>1</v>
          </cell>
          <cell r="F117" t="str">
            <v>2 CT + 2 PSFS</v>
          </cell>
          <cell r="G117">
            <v>12</v>
          </cell>
          <cell r="H117">
            <v>3700</v>
          </cell>
          <cell r="I117">
            <v>44400</v>
          </cell>
          <cell r="J117">
            <v>3696.5</v>
          </cell>
          <cell r="K117">
            <v>44358</v>
          </cell>
          <cell r="L117">
            <v>0</v>
          </cell>
          <cell r="M117">
            <v>42</v>
          </cell>
          <cell r="N117">
            <v>44</v>
          </cell>
        </row>
        <row r="118">
          <cell r="B118">
            <v>0</v>
          </cell>
          <cell r="C118" t="str">
            <v>-</v>
          </cell>
          <cell r="D118">
            <v>0</v>
          </cell>
          <cell r="E118">
            <v>0</v>
          </cell>
          <cell r="F118" t="str">
            <v>No hay operación</v>
          </cell>
          <cell r="G118">
            <v>0</v>
          </cell>
          <cell r="H118">
            <v>0</v>
          </cell>
          <cell r="I118">
            <v>0</v>
          </cell>
          <cell r="J118">
            <v>0</v>
          </cell>
          <cell r="K118">
            <v>0</v>
          </cell>
          <cell r="L118">
            <v>0</v>
          </cell>
          <cell r="M118">
            <v>0</v>
          </cell>
          <cell r="N118">
            <v>0</v>
          </cell>
        </row>
        <row r="119">
          <cell r="E119" t="str">
            <v>Tpd</v>
          </cell>
          <cell r="F119">
            <v>4241.1290322580644</v>
          </cell>
        </row>
        <row r="120">
          <cell r="A120" t="str">
            <v>-</v>
          </cell>
          <cell r="B120" t="str">
            <v>-</v>
          </cell>
          <cell r="C120" t="str">
            <v>-</v>
          </cell>
          <cell r="D120" t="str">
            <v>-</v>
          </cell>
          <cell r="E120" t="str">
            <v>-</v>
          </cell>
          <cell r="F120" t="str">
            <v>-</v>
          </cell>
          <cell r="G120" t="str">
            <v>-</v>
          </cell>
          <cell r="H120" t="str">
            <v>-</v>
          </cell>
          <cell r="I120" t="str">
            <v>-</v>
          </cell>
          <cell r="L120" t="str">
            <v>-</v>
          </cell>
          <cell r="M120" t="str">
            <v>-</v>
          </cell>
          <cell r="N120" t="str">
            <v>-</v>
          </cell>
          <cell r="O120" t="str">
            <v>-</v>
          </cell>
          <cell r="P120" t="str">
            <v>-</v>
          </cell>
        </row>
        <row r="121">
          <cell r="A121" t="str">
            <v>TOT</v>
          </cell>
          <cell r="F121">
            <v>131475</v>
          </cell>
          <cell r="G121">
            <v>31</v>
          </cell>
          <cell r="H121">
            <v>3587.0967741935483</v>
          </cell>
          <cell r="I121">
            <v>111200</v>
          </cell>
          <cell r="J121">
            <v>3583.6774193548385</v>
          </cell>
          <cell r="K121">
            <v>111094</v>
          </cell>
          <cell r="L121">
            <v>0</v>
          </cell>
          <cell r="M121">
            <v>106</v>
          </cell>
          <cell r="N121">
            <v>111</v>
          </cell>
          <cell r="O121">
            <v>42</v>
          </cell>
          <cell r="P121">
            <v>349</v>
          </cell>
        </row>
        <row r="122">
          <cell r="A122" t="str">
            <v>-</v>
          </cell>
          <cell r="B122" t="str">
            <v>-</v>
          </cell>
          <cell r="C122" t="str">
            <v>-</v>
          </cell>
          <cell r="D122" t="str">
            <v>-</v>
          </cell>
          <cell r="E122" t="str">
            <v>-</v>
          </cell>
          <cell r="F122" t="str">
            <v>-</v>
          </cell>
          <cell r="G122" t="str">
            <v>-</v>
          </cell>
          <cell r="H122" t="str">
            <v>-</v>
          </cell>
          <cell r="I122" t="str">
            <v>-</v>
          </cell>
          <cell r="L122" t="str">
            <v>-</v>
          </cell>
          <cell r="M122" t="str">
            <v>-</v>
          </cell>
          <cell r="N122" t="str">
            <v>-</v>
          </cell>
          <cell r="O122" t="str">
            <v>-</v>
          </cell>
          <cell r="P122" t="str">
            <v>-</v>
          </cell>
        </row>
        <row r="124">
          <cell r="A124" t="str">
            <v>NOV</v>
          </cell>
          <cell r="B124">
            <v>1</v>
          </cell>
          <cell r="C124" t="str">
            <v>-</v>
          </cell>
          <cell r="D124">
            <v>27</v>
          </cell>
          <cell r="E124">
            <v>1</v>
          </cell>
          <cell r="F124" t="str">
            <v>2 CT + 2 PSFS</v>
          </cell>
          <cell r="G124">
            <v>27</v>
          </cell>
          <cell r="H124">
            <v>3700</v>
          </cell>
          <cell r="I124">
            <v>99900</v>
          </cell>
          <cell r="J124">
            <v>3696.5185185185187</v>
          </cell>
          <cell r="K124">
            <v>99806</v>
          </cell>
          <cell r="L124">
            <v>0</v>
          </cell>
          <cell r="M124">
            <v>94</v>
          </cell>
          <cell r="N124">
            <v>100</v>
          </cell>
        </row>
        <row r="125">
          <cell r="B125">
            <v>28</v>
          </cell>
          <cell r="C125" t="str">
            <v>-</v>
          </cell>
          <cell r="D125">
            <v>28</v>
          </cell>
          <cell r="E125">
            <v>4</v>
          </cell>
          <cell r="F125" t="str">
            <v>1 CT + 1 PLG + 1PSFS</v>
          </cell>
          <cell r="G125">
            <v>1</v>
          </cell>
          <cell r="H125">
            <v>1950</v>
          </cell>
          <cell r="I125">
            <v>1950</v>
          </cell>
          <cell r="J125">
            <v>1948</v>
          </cell>
          <cell r="K125">
            <v>1948</v>
          </cell>
          <cell r="L125">
            <v>0</v>
          </cell>
          <cell r="M125">
            <v>2</v>
          </cell>
          <cell r="N125">
            <v>2</v>
          </cell>
        </row>
        <row r="126">
          <cell r="B126">
            <v>29</v>
          </cell>
          <cell r="C126" t="str">
            <v>-</v>
          </cell>
          <cell r="D126">
            <v>30</v>
          </cell>
          <cell r="E126">
            <v>1</v>
          </cell>
          <cell r="F126" t="str">
            <v>2 CT + 2 PSFS</v>
          </cell>
          <cell r="G126">
            <v>2</v>
          </cell>
          <cell r="H126">
            <v>3700</v>
          </cell>
          <cell r="I126">
            <v>7400</v>
          </cell>
          <cell r="J126">
            <v>3696.5</v>
          </cell>
          <cell r="K126">
            <v>7393</v>
          </cell>
          <cell r="L126">
            <v>0</v>
          </cell>
          <cell r="M126">
            <v>7</v>
          </cell>
          <cell r="N126">
            <v>7</v>
          </cell>
        </row>
        <row r="127">
          <cell r="B127">
            <v>0</v>
          </cell>
          <cell r="C127" t="str">
            <v>-</v>
          </cell>
          <cell r="D127">
            <v>0</v>
          </cell>
          <cell r="E127">
            <v>0</v>
          </cell>
          <cell r="F127" t="str">
            <v>No hay operación</v>
          </cell>
          <cell r="G127">
            <v>0</v>
          </cell>
          <cell r="H127">
            <v>0</v>
          </cell>
          <cell r="I127">
            <v>0</v>
          </cell>
          <cell r="J127">
            <v>0</v>
          </cell>
          <cell r="K127">
            <v>0</v>
          </cell>
          <cell r="L127">
            <v>0</v>
          </cell>
          <cell r="M127">
            <v>0</v>
          </cell>
          <cell r="N127">
            <v>0</v>
          </cell>
        </row>
        <row r="128">
          <cell r="B128">
            <v>0</v>
          </cell>
          <cell r="C128" t="str">
            <v>-</v>
          </cell>
          <cell r="D128">
            <v>0</v>
          </cell>
          <cell r="E128">
            <v>0</v>
          </cell>
          <cell r="F128" t="str">
            <v>No hay operación</v>
          </cell>
          <cell r="G128">
            <v>0</v>
          </cell>
          <cell r="H128">
            <v>0</v>
          </cell>
          <cell r="I128">
            <v>0</v>
          </cell>
          <cell r="J128">
            <v>0</v>
          </cell>
          <cell r="K128">
            <v>0</v>
          </cell>
          <cell r="L128">
            <v>0</v>
          </cell>
          <cell r="M128">
            <v>0</v>
          </cell>
          <cell r="N128">
            <v>0</v>
          </cell>
        </row>
        <row r="129">
          <cell r="B129">
            <v>0</v>
          </cell>
          <cell r="C129" t="str">
            <v>-</v>
          </cell>
          <cell r="D129">
            <v>0</v>
          </cell>
          <cell r="E129">
            <v>0</v>
          </cell>
          <cell r="F129" t="str">
            <v>No hay operación</v>
          </cell>
          <cell r="G129">
            <v>0</v>
          </cell>
          <cell r="H129">
            <v>0</v>
          </cell>
          <cell r="I129">
            <v>0</v>
          </cell>
          <cell r="J129">
            <v>0</v>
          </cell>
          <cell r="K129">
            <v>0</v>
          </cell>
          <cell r="L129">
            <v>0</v>
          </cell>
          <cell r="M129">
            <v>0</v>
          </cell>
          <cell r="N129">
            <v>0</v>
          </cell>
        </row>
        <row r="130">
          <cell r="E130" t="str">
            <v>Tpd</v>
          </cell>
          <cell r="F130">
            <v>4268.5333333333338</v>
          </cell>
        </row>
        <row r="131">
          <cell r="A131" t="str">
            <v>-</v>
          </cell>
          <cell r="B131" t="str">
            <v>-</v>
          </cell>
          <cell r="C131" t="str">
            <v>-</v>
          </cell>
          <cell r="D131" t="str">
            <v>-</v>
          </cell>
          <cell r="E131" t="str">
            <v>-</v>
          </cell>
          <cell r="F131" t="str">
            <v>-</v>
          </cell>
          <cell r="G131" t="str">
            <v>-</v>
          </cell>
          <cell r="H131" t="str">
            <v>-</v>
          </cell>
          <cell r="I131" t="str">
            <v>-</v>
          </cell>
          <cell r="L131" t="str">
            <v>-</v>
          </cell>
          <cell r="M131" t="str">
            <v>-</v>
          </cell>
          <cell r="N131" t="str">
            <v>-</v>
          </cell>
          <cell r="O131" t="str">
            <v>-</v>
          </cell>
          <cell r="P131" t="str">
            <v>-</v>
          </cell>
        </row>
        <row r="132">
          <cell r="A132" t="str">
            <v>TOT</v>
          </cell>
          <cell r="F132">
            <v>128056</v>
          </cell>
          <cell r="G132">
            <v>30</v>
          </cell>
          <cell r="H132">
            <v>3641.6666666666665</v>
          </cell>
          <cell r="I132">
            <v>109250</v>
          </cell>
          <cell r="J132">
            <v>3638.2333333333331</v>
          </cell>
          <cell r="K132">
            <v>109147</v>
          </cell>
          <cell r="L132">
            <v>0</v>
          </cell>
          <cell r="M132">
            <v>103</v>
          </cell>
          <cell r="N132">
            <v>109</v>
          </cell>
          <cell r="O132">
            <v>42</v>
          </cell>
          <cell r="P132">
            <v>428</v>
          </cell>
        </row>
        <row r="133">
          <cell r="A133" t="str">
            <v>-</v>
          </cell>
          <cell r="B133" t="str">
            <v>-</v>
          </cell>
          <cell r="C133" t="str">
            <v>-</v>
          </cell>
          <cell r="D133" t="str">
            <v>-</v>
          </cell>
          <cell r="E133" t="str">
            <v>-</v>
          </cell>
          <cell r="F133" t="str">
            <v>-</v>
          </cell>
          <cell r="G133" t="str">
            <v>-</v>
          </cell>
          <cell r="H133" t="str">
            <v>-</v>
          </cell>
          <cell r="I133" t="str">
            <v>-</v>
          </cell>
          <cell r="L133" t="str">
            <v>-</v>
          </cell>
          <cell r="M133" t="str">
            <v>-</v>
          </cell>
          <cell r="N133" t="str">
            <v>-</v>
          </cell>
          <cell r="O133" t="str">
            <v>-</v>
          </cell>
          <cell r="P133" t="str">
            <v>-</v>
          </cell>
        </row>
        <row r="135">
          <cell r="A135" t="str">
            <v>DIC</v>
          </cell>
          <cell r="B135">
            <v>1</v>
          </cell>
          <cell r="C135" t="str">
            <v>-</v>
          </cell>
          <cell r="D135">
            <v>3</v>
          </cell>
          <cell r="E135">
            <v>1</v>
          </cell>
          <cell r="F135" t="str">
            <v>2 CT + 2 PSFS</v>
          </cell>
          <cell r="G135">
            <v>3</v>
          </cell>
          <cell r="H135">
            <v>3700</v>
          </cell>
          <cell r="I135">
            <v>11100</v>
          </cell>
          <cell r="J135">
            <v>3696.6666666666665</v>
          </cell>
          <cell r="K135">
            <v>11090</v>
          </cell>
          <cell r="L135">
            <v>0</v>
          </cell>
          <cell r="M135">
            <v>10</v>
          </cell>
          <cell r="N135">
            <v>11</v>
          </cell>
        </row>
        <row r="136">
          <cell r="B136">
            <v>4</v>
          </cell>
          <cell r="C136" t="str">
            <v>-</v>
          </cell>
          <cell r="D136">
            <v>4</v>
          </cell>
          <cell r="E136">
            <v>4</v>
          </cell>
          <cell r="F136" t="str">
            <v>1 CT + 1 PLG + 1PSFS</v>
          </cell>
          <cell r="G136">
            <v>1</v>
          </cell>
          <cell r="H136">
            <v>1950</v>
          </cell>
          <cell r="I136">
            <v>1950</v>
          </cell>
          <cell r="J136">
            <v>1948</v>
          </cell>
          <cell r="K136">
            <v>1948</v>
          </cell>
          <cell r="L136">
            <v>0</v>
          </cell>
          <cell r="M136">
            <v>2</v>
          </cell>
          <cell r="N136">
            <v>2</v>
          </cell>
        </row>
        <row r="137">
          <cell r="B137">
            <v>5</v>
          </cell>
          <cell r="C137" t="str">
            <v>-</v>
          </cell>
          <cell r="D137">
            <v>30</v>
          </cell>
          <cell r="E137">
            <v>1</v>
          </cell>
          <cell r="F137" t="str">
            <v>2 CT + 2 PSFS</v>
          </cell>
          <cell r="G137">
            <v>26</v>
          </cell>
          <cell r="H137">
            <v>3700</v>
          </cell>
          <cell r="I137">
            <v>96200</v>
          </cell>
          <cell r="J137">
            <v>3696.5</v>
          </cell>
          <cell r="K137">
            <v>96109</v>
          </cell>
          <cell r="L137">
            <v>0</v>
          </cell>
          <cell r="M137">
            <v>91</v>
          </cell>
          <cell r="N137">
            <v>96</v>
          </cell>
        </row>
        <row r="138">
          <cell r="B138">
            <v>0</v>
          </cell>
          <cell r="C138" t="str">
            <v>-</v>
          </cell>
          <cell r="D138">
            <v>0</v>
          </cell>
          <cell r="E138">
            <v>0</v>
          </cell>
          <cell r="F138" t="str">
            <v>No hay operación</v>
          </cell>
          <cell r="G138">
            <v>0</v>
          </cell>
          <cell r="H138">
            <v>0</v>
          </cell>
          <cell r="I138">
            <v>0</v>
          </cell>
          <cell r="J138">
            <v>0</v>
          </cell>
          <cell r="K138">
            <v>0</v>
          </cell>
          <cell r="L138">
            <v>0</v>
          </cell>
          <cell r="M138">
            <v>0</v>
          </cell>
          <cell r="N138">
            <v>0</v>
          </cell>
        </row>
        <row r="139">
          <cell r="B139">
            <v>0</v>
          </cell>
          <cell r="C139" t="str">
            <v>-</v>
          </cell>
          <cell r="D139">
            <v>0</v>
          </cell>
          <cell r="E139">
            <v>0</v>
          </cell>
          <cell r="F139" t="str">
            <v>No hay operación</v>
          </cell>
          <cell r="G139">
            <v>0</v>
          </cell>
          <cell r="H139">
            <v>0</v>
          </cell>
          <cell r="I139">
            <v>0</v>
          </cell>
          <cell r="J139">
            <v>0</v>
          </cell>
          <cell r="K139">
            <v>0</v>
          </cell>
          <cell r="L139">
            <v>0</v>
          </cell>
          <cell r="M139">
            <v>0</v>
          </cell>
          <cell r="N139">
            <v>0</v>
          </cell>
        </row>
        <row r="140">
          <cell r="B140">
            <v>31</v>
          </cell>
          <cell r="C140" t="str">
            <v>-</v>
          </cell>
          <cell r="D140">
            <v>31</v>
          </cell>
          <cell r="E140">
            <v>1</v>
          </cell>
          <cell r="F140" t="str">
            <v>2 CT + 2 PSFS</v>
          </cell>
          <cell r="G140">
            <v>0.7</v>
          </cell>
          <cell r="H140">
            <v>3700</v>
          </cell>
          <cell r="I140">
            <v>2590</v>
          </cell>
          <cell r="J140">
            <v>2587</v>
          </cell>
          <cell r="K140">
            <v>2587</v>
          </cell>
          <cell r="L140">
            <v>0</v>
          </cell>
          <cell r="M140">
            <v>3</v>
          </cell>
          <cell r="N140">
            <v>3</v>
          </cell>
        </row>
        <row r="141">
          <cell r="F141">
            <v>4297.8175895765471</v>
          </cell>
        </row>
        <row r="142">
          <cell r="A142" t="str">
            <v>-</v>
          </cell>
          <cell r="B142" t="str">
            <v>-</v>
          </cell>
          <cell r="C142" t="str">
            <v>-</v>
          </cell>
          <cell r="D142" t="str">
            <v>-</v>
          </cell>
          <cell r="E142" t="str">
            <v>-</v>
          </cell>
          <cell r="F142" t="str">
            <v>-</v>
          </cell>
          <cell r="G142" t="str">
            <v>-</v>
          </cell>
          <cell r="H142" t="str">
            <v>-</v>
          </cell>
          <cell r="I142" t="str">
            <v>-</v>
          </cell>
          <cell r="L142" t="str">
            <v>-</v>
          </cell>
          <cell r="M142" t="str">
            <v>-</v>
          </cell>
          <cell r="N142" t="str">
            <v>-</v>
          </cell>
          <cell r="O142" t="str">
            <v>-</v>
          </cell>
          <cell r="P142" t="str">
            <v>-</v>
          </cell>
        </row>
        <row r="143">
          <cell r="A143" t="str">
            <v>TOT</v>
          </cell>
          <cell r="F143">
            <v>131943</v>
          </cell>
          <cell r="G143">
            <v>30.7</v>
          </cell>
          <cell r="H143">
            <v>3642.99674267101</v>
          </cell>
          <cell r="I143">
            <v>111840</v>
          </cell>
          <cell r="J143">
            <v>3639.5439739413682</v>
          </cell>
          <cell r="K143">
            <v>111734</v>
          </cell>
          <cell r="L143">
            <v>0</v>
          </cell>
          <cell r="M143">
            <v>106</v>
          </cell>
          <cell r="N143">
            <v>112</v>
          </cell>
          <cell r="O143">
            <v>43</v>
          </cell>
          <cell r="P143">
            <v>434</v>
          </cell>
        </row>
        <row r="144">
          <cell r="A144" t="str">
            <v>-</v>
          </cell>
          <cell r="B144" t="str">
            <v>-</v>
          </cell>
          <cell r="C144" t="str">
            <v>-</v>
          </cell>
          <cell r="D144" t="str">
            <v>-</v>
          </cell>
          <cell r="E144" t="str">
            <v>-</v>
          </cell>
          <cell r="F144" t="str">
            <v>-</v>
          </cell>
          <cell r="G144" t="str">
            <v>-</v>
          </cell>
          <cell r="H144" t="str">
            <v>-</v>
          </cell>
          <cell r="I144" t="str">
            <v>-</v>
          </cell>
          <cell r="L144" t="str">
            <v>-</v>
          </cell>
          <cell r="M144" t="str">
            <v>-</v>
          </cell>
          <cell r="N144" t="str">
            <v>-</v>
          </cell>
          <cell r="O144" t="str">
            <v>-</v>
          </cell>
          <cell r="P144" t="str">
            <v>-</v>
          </cell>
        </row>
        <row r="146">
          <cell r="A146" t="str">
            <v>-</v>
          </cell>
          <cell r="B146" t="str">
            <v>-</v>
          </cell>
          <cell r="C146" t="str">
            <v>-</v>
          </cell>
          <cell r="D146" t="str">
            <v>-</v>
          </cell>
          <cell r="E146" t="str">
            <v>-</v>
          </cell>
          <cell r="F146" t="str">
            <v>-</v>
          </cell>
          <cell r="G146" t="str">
            <v>-</v>
          </cell>
          <cell r="H146" t="str">
            <v>-</v>
          </cell>
          <cell r="I146" t="str">
            <v>-</v>
          </cell>
          <cell r="K146" t="str">
            <v>-</v>
          </cell>
          <cell r="L146" t="str">
            <v>-</v>
          </cell>
          <cell r="M146" t="str">
            <v>-</v>
          </cell>
          <cell r="N146" t="str">
            <v>-</v>
          </cell>
          <cell r="O146" t="str">
            <v>-</v>
          </cell>
          <cell r="P146" t="str">
            <v>-</v>
          </cell>
        </row>
        <row r="147">
          <cell r="A147" t="str">
            <v>TOT. AÑO</v>
          </cell>
          <cell r="F147">
            <v>1340531</v>
          </cell>
          <cell r="G147">
            <v>356.7</v>
          </cell>
          <cell r="H147">
            <v>3547.631062517522</v>
          </cell>
          <cell r="I147">
            <v>1265440</v>
          </cell>
          <cell r="K147">
            <v>1238104</v>
          </cell>
          <cell r="L147">
            <v>26133.99999999996</v>
          </cell>
          <cell r="M147">
            <v>1202</v>
          </cell>
          <cell r="N147">
            <v>1267</v>
          </cell>
          <cell r="O147">
            <v>485</v>
          </cell>
          <cell r="P147">
            <v>3689</v>
          </cell>
        </row>
        <row r="148">
          <cell r="A148" t="str">
            <v>-</v>
          </cell>
          <cell r="B148" t="str">
            <v>-</v>
          </cell>
          <cell r="C148" t="str">
            <v>-</v>
          </cell>
          <cell r="D148" t="str">
            <v>-</v>
          </cell>
          <cell r="E148" t="str">
            <v>-</v>
          </cell>
          <cell r="F148" t="str">
            <v>-</v>
          </cell>
          <cell r="G148" t="str">
            <v>-</v>
          </cell>
          <cell r="H148" t="str">
            <v>-</v>
          </cell>
          <cell r="I148" t="str">
            <v>-</v>
          </cell>
          <cell r="K148" t="str">
            <v>-</v>
          </cell>
          <cell r="L148" t="str">
            <v>-</v>
          </cell>
          <cell r="M148" t="str">
            <v>-</v>
          </cell>
          <cell r="N148" t="str">
            <v>-</v>
          </cell>
          <cell r="O148" t="str">
            <v>-</v>
          </cell>
          <cell r="P148" t="str">
            <v>-</v>
          </cell>
        </row>
        <row r="149">
          <cell r="A149" t="str">
            <v xml:space="preserve"> </v>
          </cell>
        </row>
      </sheetData>
      <sheetData sheetId="32"/>
      <sheetData sheetId="33"/>
      <sheetData sheetId="34"/>
      <sheetData sheetId="35"/>
      <sheetData sheetId="36"/>
      <sheetData sheetId="37"/>
      <sheetData sheetId="38"/>
      <sheetData sheetId="39"/>
      <sheetData sheetId="4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ducción"/>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01"/>
      <sheetName val="INC.CTE"/>
      <sheetName val="Gantt-POCB01"/>
      <sheetName val="Gantt-POCB"/>
      <sheetName val="costos"/>
      <sheetName val="#¡REF"/>
      <sheetName val="#REF"/>
      <sheetName val="Tabla"/>
      <sheetName val="INFORME"/>
      <sheetName val="GER"/>
      <sheetName val="Criterios"/>
      <sheetName val="Producción"/>
      <sheetName val="Parámetros anuales"/>
      <sheetName val="Inversión_4"/>
      <sheetName val="Avances Físicos PDT"/>
      <sheetName val="INC_01"/>
      <sheetName val="INC_CTE"/>
      <sheetName val="Parámetros_anuales"/>
      <sheetName val="Avances_Físicos_PDT"/>
      <sheetName val="Materiales_2004_Consulta"/>
      <sheetName val="Criteria"/>
      <sheetName val="INC_011"/>
      <sheetName val="INC_CTE1"/>
      <sheetName val="Parámetros_anuales1"/>
      <sheetName val="Avances_Físicos_PDT1"/>
      <sheetName val="CARTERA DE CONTRATOS"/>
    </sheetNames>
    <sheetDataSet>
      <sheetData sheetId="0" refreshError="1"/>
      <sheetData sheetId="1" refreshError="1">
        <row r="11">
          <cell r="C11" t="str">
            <v>PROGRAMA Y CONTROL DE INCURRIDOS 2001</v>
          </cell>
        </row>
        <row r="12">
          <cell r="Z12" t="str">
            <v>TASA DE CAMBIO REFERENCIAL [ $/US$ ] : 551</v>
          </cell>
        </row>
        <row r="14">
          <cell r="B14" t="str">
            <v>API:  A01M401 PROYECTO OPTIMIZACION CASO BASE</v>
          </cell>
          <cell r="N14" t="str">
            <v>FECHA BASE : Junio 98</v>
          </cell>
          <cell r="Z14" t="str">
            <v>FECHA BASE : Prom. 2001</v>
          </cell>
        </row>
        <row r="15">
          <cell r="S15" t="str">
            <v>INCURRIDO MONEDA CTE./PROGRAMA Y PROYECCION PROM. 2001</v>
          </cell>
        </row>
        <row r="16">
          <cell r="B16" t="str">
            <v>JEFE DE PROYECTO:  SERGIO HADAD HERESY</v>
          </cell>
          <cell r="AB16" t="str">
            <v xml:space="preserve">Fecha Control: </v>
          </cell>
          <cell r="AD16">
            <v>37073</v>
          </cell>
        </row>
        <row r="17">
          <cell r="B17" t="str">
            <v>F A S E</v>
          </cell>
          <cell r="F17">
            <v>1998</v>
          </cell>
          <cell r="Q17">
            <v>2000</v>
          </cell>
          <cell r="AC17" t="str">
            <v>ACUM.</v>
          </cell>
          <cell r="AD17" t="str">
            <v xml:space="preserve">TOTAL </v>
          </cell>
          <cell r="AF17" t="str">
            <v xml:space="preserve">TOTAL </v>
          </cell>
        </row>
        <row r="18">
          <cell r="D18" t="str">
            <v>Moneda</v>
          </cell>
          <cell r="F18" t="str">
            <v>FEB</v>
          </cell>
          <cell r="G18" t="str">
            <v>MAR</v>
          </cell>
          <cell r="H18" t="str">
            <v>ABR</v>
          </cell>
          <cell r="I18" t="str">
            <v>MAY</v>
          </cell>
          <cell r="J18" t="str">
            <v>JUN</v>
          </cell>
          <cell r="K18" t="str">
            <v>JUL</v>
          </cell>
          <cell r="L18" t="str">
            <v>AGO</v>
          </cell>
          <cell r="M18" t="str">
            <v>SEP</v>
          </cell>
          <cell r="N18" t="str">
            <v>OCT</v>
          </cell>
          <cell r="O18" t="str">
            <v>NOV</v>
          </cell>
          <cell r="P18" t="str">
            <v>DIC</v>
          </cell>
          <cell r="Q18" t="str">
            <v>ENE</v>
          </cell>
          <cell r="R18" t="str">
            <v>FEB</v>
          </cell>
          <cell r="S18" t="str">
            <v>MAR</v>
          </cell>
          <cell r="T18" t="str">
            <v>ABR</v>
          </cell>
          <cell r="U18" t="str">
            <v>MAY</v>
          </cell>
          <cell r="V18" t="str">
            <v>JUN</v>
          </cell>
          <cell r="W18" t="str">
            <v>JUL</v>
          </cell>
          <cell r="X18" t="str">
            <v>AGO</v>
          </cell>
          <cell r="Y18" t="str">
            <v>SEP</v>
          </cell>
          <cell r="Z18" t="str">
            <v>OCT</v>
          </cell>
          <cell r="AA18" t="str">
            <v>NOV</v>
          </cell>
          <cell r="AB18" t="str">
            <v>DIC</v>
          </cell>
          <cell r="AC18" t="str">
            <v>MES</v>
          </cell>
          <cell r="AD18" t="str">
            <v>AÑO</v>
          </cell>
          <cell r="AF18" t="str">
            <v>AÑO</v>
          </cell>
        </row>
        <row r="19">
          <cell r="B19" t="str">
            <v>% Ponderación</v>
          </cell>
          <cell r="AC19" t="str">
            <v>CONTROL</v>
          </cell>
          <cell r="AD19">
            <v>2001</v>
          </cell>
          <cell r="AF19">
            <v>2002</v>
          </cell>
        </row>
        <row r="20">
          <cell r="B20" t="str">
            <v>INGENIERIA</v>
          </cell>
          <cell r="AD20" t="str">
            <v xml:space="preserve"> </v>
          </cell>
        </row>
        <row r="21">
          <cell r="D21" t="str">
            <v>PROGRAMA</v>
          </cell>
          <cell r="F21">
            <v>0</v>
          </cell>
          <cell r="G21" t="e">
            <v>#REF!</v>
          </cell>
          <cell r="H21" t="e">
            <v>#REF!</v>
          </cell>
          <cell r="I21" t="e">
            <v>#REF!</v>
          </cell>
          <cell r="J21" t="e">
            <v>#REF!</v>
          </cell>
          <cell r="K21" t="e">
            <v>#REF!</v>
          </cell>
          <cell r="L21" t="e">
            <v>#REF!</v>
          </cell>
          <cell r="M21" t="e">
            <v>#REF!</v>
          </cell>
          <cell r="N21" t="e">
            <v>#REF!</v>
          </cell>
          <cell r="O21" t="e">
            <v>#REF!</v>
          </cell>
          <cell r="P21" t="e">
            <v>#REF!</v>
          </cell>
          <cell r="Q21">
            <v>0</v>
          </cell>
          <cell r="R21">
            <v>0</v>
          </cell>
          <cell r="S21">
            <v>0</v>
          </cell>
          <cell r="T21">
            <v>0</v>
          </cell>
          <cell r="U21">
            <v>0</v>
          </cell>
          <cell r="V21">
            <v>308.85522351941427</v>
          </cell>
          <cell r="W21">
            <v>204.61915698701608</v>
          </cell>
          <cell r="X21">
            <v>258.91936311355278</v>
          </cell>
          <cell r="Y21">
            <v>289.62935336256783</v>
          </cell>
          <cell r="Z21">
            <v>310.69585589586285</v>
          </cell>
          <cell r="AA21">
            <v>335.17102864734005</v>
          </cell>
          <cell r="AB21">
            <v>313.82189322077579</v>
          </cell>
          <cell r="AC21">
            <v>513.47438050643041</v>
          </cell>
          <cell r="AD21">
            <v>2021.7118747465299</v>
          </cell>
          <cell r="AF21">
            <v>1890</v>
          </cell>
        </row>
        <row r="22">
          <cell r="C22" t="str">
            <v>Incurrido/</v>
          </cell>
          <cell r="D22" t="str">
            <v>KUS$ Nac</v>
          </cell>
          <cell r="F22">
            <v>0</v>
          </cell>
          <cell r="G22" t="e">
            <v>#REF!</v>
          </cell>
          <cell r="H22" t="e">
            <v>#REF!</v>
          </cell>
          <cell r="I22" t="e">
            <v>#REF!</v>
          </cell>
          <cell r="J22" t="e">
            <v>#REF!</v>
          </cell>
          <cell r="K22" t="e">
            <v>#REF!</v>
          </cell>
          <cell r="L22" t="e">
            <v>#REF!</v>
          </cell>
          <cell r="M22" t="e">
            <v>#REF!</v>
          </cell>
          <cell r="N22" t="e">
            <v>#REF!</v>
          </cell>
          <cell r="O22" t="e">
            <v>#REF!</v>
          </cell>
          <cell r="P22" t="e">
            <v>#REF!</v>
          </cell>
          <cell r="Q22">
            <v>0</v>
          </cell>
          <cell r="R22">
            <v>0</v>
          </cell>
          <cell r="S22">
            <v>0</v>
          </cell>
          <cell r="T22">
            <v>0</v>
          </cell>
          <cell r="U22">
            <v>0</v>
          </cell>
          <cell r="V22">
            <v>254.98086799604911</v>
          </cell>
          <cell r="W22">
            <v>156.16140203150226</v>
          </cell>
          <cell r="X22">
            <v>264.98299637309481</v>
          </cell>
          <cell r="Y22">
            <v>289.72115156895131</v>
          </cell>
          <cell r="Z22">
            <v>310.69585589586285</v>
          </cell>
          <cell r="AA22">
            <v>335.17102864734005</v>
          </cell>
          <cell r="AB22">
            <v>350.32189322077539</v>
          </cell>
          <cell r="AC22">
            <v>411.14227002755138</v>
          </cell>
          <cell r="AD22">
            <v>1962.0351957335758</v>
          </cell>
          <cell r="AF22">
            <v>1890</v>
          </cell>
        </row>
        <row r="23">
          <cell r="C23" t="str">
            <v>Estimado</v>
          </cell>
          <cell r="D23" t="str">
            <v>KUS$ Ext</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row>
        <row r="24">
          <cell r="D24" t="str">
            <v>TOTAL</v>
          </cell>
          <cell r="E24" t="str">
            <v>KUS$</v>
          </cell>
          <cell r="F24">
            <v>0</v>
          </cell>
          <cell r="G24" t="e">
            <v>#REF!</v>
          </cell>
          <cell r="H24" t="e">
            <v>#REF!</v>
          </cell>
          <cell r="I24" t="e">
            <v>#REF!</v>
          </cell>
          <cell r="J24" t="e">
            <v>#REF!</v>
          </cell>
          <cell r="K24" t="e">
            <v>#REF!</v>
          </cell>
          <cell r="L24" t="e">
            <v>#REF!</v>
          </cell>
          <cell r="M24" t="e">
            <v>#REF!</v>
          </cell>
          <cell r="N24" t="e">
            <v>#REF!</v>
          </cell>
          <cell r="O24" t="e">
            <v>#REF!</v>
          </cell>
          <cell r="P24" t="e">
            <v>#REF!</v>
          </cell>
          <cell r="Q24">
            <v>0</v>
          </cell>
          <cell r="R24">
            <v>0</v>
          </cell>
          <cell r="S24">
            <v>0</v>
          </cell>
          <cell r="T24">
            <v>0</v>
          </cell>
          <cell r="U24">
            <v>0</v>
          </cell>
          <cell r="V24">
            <v>254.98086799604911</v>
          </cell>
          <cell r="W24">
            <v>156.16140203150226</v>
          </cell>
          <cell r="X24">
            <v>264.98299637309481</v>
          </cell>
          <cell r="Y24">
            <v>289.72115156895131</v>
          </cell>
          <cell r="Z24">
            <v>310.69585589586285</v>
          </cell>
          <cell r="AA24">
            <v>335.17102864734005</v>
          </cell>
          <cell r="AB24">
            <v>350.32189322077539</v>
          </cell>
          <cell r="AC24">
            <v>411.14227002755138</v>
          </cell>
          <cell r="AD24">
            <v>1962.0351957335758</v>
          </cell>
          <cell r="AF24">
            <v>1890</v>
          </cell>
        </row>
        <row r="26">
          <cell r="B26" t="str">
            <v>Peso</v>
          </cell>
          <cell r="D26" t="str">
            <v xml:space="preserve">      % Físico</v>
          </cell>
        </row>
        <row r="27">
          <cell r="B27" t="str">
            <v>ADQUISICIONES</v>
          </cell>
        </row>
        <row r="28">
          <cell r="D28" t="str">
            <v>PROGRAMA</v>
          </cell>
          <cell r="F28">
            <v>0</v>
          </cell>
          <cell r="G28" t="e">
            <v>#REF!</v>
          </cell>
          <cell r="H28" t="e">
            <v>#REF!</v>
          </cell>
          <cell r="I28" t="e">
            <v>#REF!</v>
          </cell>
          <cell r="J28" t="e">
            <v>#REF!</v>
          </cell>
          <cell r="K28" t="e">
            <v>#REF!</v>
          </cell>
          <cell r="L28" t="e">
            <v>#REF!</v>
          </cell>
          <cell r="M28" t="e">
            <v>#REF!</v>
          </cell>
          <cell r="N28" t="e">
            <v>#REF!</v>
          </cell>
          <cell r="O28" t="e">
            <v>#REF!</v>
          </cell>
          <cell r="P28" t="e">
            <v>#REF!</v>
          </cell>
          <cell r="Q28">
            <v>0</v>
          </cell>
          <cell r="R28">
            <v>0</v>
          </cell>
          <cell r="S28">
            <v>0</v>
          </cell>
          <cell r="T28">
            <v>0</v>
          </cell>
          <cell r="U28">
            <v>0</v>
          </cell>
          <cell r="V28">
            <v>0</v>
          </cell>
          <cell r="W28">
            <v>386.70681419999994</v>
          </cell>
          <cell r="X28">
            <v>104.62100000000001</v>
          </cell>
          <cell r="Y28">
            <v>0</v>
          </cell>
          <cell r="Z28">
            <v>356.36426199999994</v>
          </cell>
          <cell r="AA28">
            <v>191</v>
          </cell>
          <cell r="AB28">
            <v>505.28722160000001</v>
          </cell>
          <cell r="AC28">
            <v>386.70681419999994</v>
          </cell>
          <cell r="AD28">
            <v>1543.9792978</v>
          </cell>
          <cell r="AF28">
            <v>5449</v>
          </cell>
        </row>
        <row r="29">
          <cell r="C29" t="str">
            <v>Incurrido/</v>
          </cell>
          <cell r="D29" t="str">
            <v>KUS$ Nac</v>
          </cell>
          <cell r="F29">
            <v>0</v>
          </cell>
          <cell r="G29" t="e">
            <v>#REF!</v>
          </cell>
          <cell r="H29" t="e">
            <v>#REF!</v>
          </cell>
          <cell r="I29" t="e">
            <v>#REF!</v>
          </cell>
          <cell r="J29" t="e">
            <v>#REF!</v>
          </cell>
          <cell r="K29" t="e">
            <v>#REF!</v>
          </cell>
          <cell r="L29" t="e">
            <v>#REF!</v>
          </cell>
          <cell r="M29" t="e">
            <v>#REF!</v>
          </cell>
          <cell r="N29" t="e">
            <v>#REF!</v>
          </cell>
          <cell r="O29" t="e">
            <v>#REF!</v>
          </cell>
          <cell r="P29" t="e">
            <v>#REF!</v>
          </cell>
          <cell r="Q29">
            <v>0</v>
          </cell>
          <cell r="R29">
            <v>0</v>
          </cell>
          <cell r="S29">
            <v>0</v>
          </cell>
          <cell r="T29">
            <v>0</v>
          </cell>
          <cell r="U29">
            <v>0</v>
          </cell>
          <cell r="V29">
            <v>0</v>
          </cell>
          <cell r="W29">
            <v>114.8822309021113</v>
          </cell>
          <cell r="X29">
            <v>45.621000000000002</v>
          </cell>
          <cell r="Y29">
            <v>46</v>
          </cell>
          <cell r="Z29">
            <v>356.36426199999994</v>
          </cell>
          <cell r="AA29">
            <v>0</v>
          </cell>
          <cell r="AB29">
            <v>115</v>
          </cell>
          <cell r="AC29">
            <v>114.8822309021113</v>
          </cell>
          <cell r="AD29">
            <v>677.86749290211128</v>
          </cell>
          <cell r="AF29">
            <v>375</v>
          </cell>
        </row>
        <row r="30">
          <cell r="C30" t="str">
            <v>Estimado</v>
          </cell>
          <cell r="D30" t="str">
            <v>KUS$ Ext</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204.03617505061439</v>
          </cell>
          <cell r="X30">
            <v>59.11956</v>
          </cell>
          <cell r="Y30">
            <v>0</v>
          </cell>
          <cell r="Z30">
            <v>0</v>
          </cell>
          <cell r="AA30">
            <v>190.94564</v>
          </cell>
          <cell r="AB30">
            <v>390.28722160000001</v>
          </cell>
          <cell r="AC30">
            <v>204.03617505061439</v>
          </cell>
          <cell r="AD30">
            <v>844.38859665061432</v>
          </cell>
          <cell r="AF30">
            <v>5074</v>
          </cell>
        </row>
        <row r="31">
          <cell r="D31" t="str">
            <v>TOTAL</v>
          </cell>
          <cell r="E31" t="str">
            <v>KUS$</v>
          </cell>
          <cell r="F31">
            <v>0</v>
          </cell>
          <cell r="G31" t="e">
            <v>#REF!</v>
          </cell>
          <cell r="H31" t="e">
            <v>#REF!</v>
          </cell>
          <cell r="I31" t="e">
            <v>#REF!</v>
          </cell>
          <cell r="J31" t="e">
            <v>#REF!</v>
          </cell>
          <cell r="K31" t="e">
            <v>#REF!</v>
          </cell>
          <cell r="L31" t="e">
            <v>#REF!</v>
          </cell>
          <cell r="M31" t="e">
            <v>#REF!</v>
          </cell>
          <cell r="N31" t="e">
            <v>#REF!</v>
          </cell>
          <cell r="O31" t="e">
            <v>#REF!</v>
          </cell>
          <cell r="P31" t="e">
            <v>#REF!</v>
          </cell>
          <cell r="Q31">
            <v>0</v>
          </cell>
          <cell r="R31">
            <v>0</v>
          </cell>
          <cell r="S31">
            <v>0</v>
          </cell>
          <cell r="T31">
            <v>0</v>
          </cell>
          <cell r="U31">
            <v>0</v>
          </cell>
          <cell r="V31">
            <v>0</v>
          </cell>
          <cell r="W31">
            <v>318.91840595272572</v>
          </cell>
          <cell r="X31">
            <v>104.74056</v>
          </cell>
          <cell r="Y31">
            <v>46</v>
          </cell>
          <cell r="Z31">
            <v>356.36426199999994</v>
          </cell>
          <cell r="AA31">
            <v>190.94564</v>
          </cell>
          <cell r="AB31">
            <v>505.28722160000001</v>
          </cell>
          <cell r="AC31">
            <v>318.91840595272572</v>
          </cell>
          <cell r="AD31">
            <v>1522.2560895527256</v>
          </cell>
          <cell r="AF31">
            <v>5449</v>
          </cell>
        </row>
        <row r="33">
          <cell r="B33" t="str">
            <v>Peso</v>
          </cell>
          <cell r="D33" t="str">
            <v xml:space="preserve">      % Físico</v>
          </cell>
        </row>
        <row r="34">
          <cell r="B34" t="str">
            <v>CONSTRUCCION</v>
          </cell>
        </row>
        <row r="35">
          <cell r="D35" t="str">
            <v>PROGRAMA</v>
          </cell>
          <cell r="F35">
            <v>0</v>
          </cell>
          <cell r="G35" t="e">
            <v>#REF!</v>
          </cell>
          <cell r="H35" t="e">
            <v>#REF!</v>
          </cell>
          <cell r="I35" t="e">
            <v>#REF!</v>
          </cell>
          <cell r="J35" t="e">
            <v>#REF!</v>
          </cell>
          <cell r="K35" t="e">
            <v>#REF!</v>
          </cell>
          <cell r="L35" t="e">
            <v>#REF!</v>
          </cell>
          <cell r="M35" t="e">
            <v>#REF!</v>
          </cell>
          <cell r="N35" t="e">
            <v>#REF!</v>
          </cell>
          <cell r="O35" t="e">
            <v>#REF!</v>
          </cell>
          <cell r="P35" t="e">
            <v>#REF!</v>
          </cell>
          <cell r="Q35">
            <v>0</v>
          </cell>
          <cell r="R35">
            <v>0</v>
          </cell>
          <cell r="S35">
            <v>0</v>
          </cell>
          <cell r="T35">
            <v>0</v>
          </cell>
          <cell r="U35">
            <v>0</v>
          </cell>
          <cell r="V35">
            <v>821.37005926599534</v>
          </cell>
          <cell r="W35">
            <v>510.59896719618598</v>
          </cell>
          <cell r="X35">
            <v>710.77972526630833</v>
          </cell>
          <cell r="Y35">
            <v>812.08899074003489</v>
          </cell>
          <cell r="Z35">
            <v>1281.3784960286855</v>
          </cell>
          <cell r="AA35">
            <v>1526.9477302471687</v>
          </cell>
          <cell r="AB35">
            <v>2045.0943393417951</v>
          </cell>
          <cell r="AC35">
            <v>1331.9690264621813</v>
          </cell>
          <cell r="AD35">
            <v>7708.2583080861732</v>
          </cell>
          <cell r="AF35">
            <v>15296</v>
          </cell>
        </row>
        <row r="36">
          <cell r="C36" t="str">
            <v>Incurrido/</v>
          </cell>
          <cell r="D36" t="str">
            <v>KUS$ Nac</v>
          </cell>
          <cell r="F36">
            <v>0</v>
          </cell>
          <cell r="G36" t="e">
            <v>#REF!</v>
          </cell>
          <cell r="H36" t="e">
            <v>#REF!</v>
          </cell>
          <cell r="I36" t="e">
            <v>#REF!</v>
          </cell>
          <cell r="J36" t="e">
            <v>#REF!</v>
          </cell>
          <cell r="K36" t="e">
            <v>#REF!</v>
          </cell>
          <cell r="L36" t="e">
            <v>#REF!</v>
          </cell>
          <cell r="M36" t="e">
            <v>#REF!</v>
          </cell>
          <cell r="N36" t="e">
            <v>#REF!</v>
          </cell>
          <cell r="O36" t="e">
            <v>#REF!</v>
          </cell>
          <cell r="P36" t="e">
            <v>#REF!</v>
          </cell>
          <cell r="Q36">
            <v>0</v>
          </cell>
          <cell r="R36">
            <v>0</v>
          </cell>
          <cell r="S36">
            <v>0</v>
          </cell>
          <cell r="T36">
            <v>0</v>
          </cell>
          <cell r="U36">
            <v>0</v>
          </cell>
          <cell r="V36">
            <v>582.85860251618783</v>
          </cell>
          <cell r="W36">
            <v>98.204003290375638</v>
          </cell>
          <cell r="X36">
            <v>916</v>
          </cell>
          <cell r="Y36">
            <v>1032</v>
          </cell>
          <cell r="Z36">
            <v>1466.5630826714475</v>
          </cell>
          <cell r="AA36">
            <v>1526.9477302471687</v>
          </cell>
          <cell r="AB36">
            <v>1999.3490565569659</v>
          </cell>
          <cell r="AC36">
            <v>681.06260580656351</v>
          </cell>
          <cell r="AD36">
            <v>7621.9224752821465</v>
          </cell>
          <cell r="AF36">
            <v>15296</v>
          </cell>
        </row>
        <row r="37">
          <cell r="C37" t="str">
            <v>Estimado</v>
          </cell>
          <cell r="D37" t="str">
            <v>KUS$ Ext</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row>
        <row r="38">
          <cell r="D38" t="str">
            <v>TOTAL</v>
          </cell>
          <cell r="E38" t="str">
            <v>KUS$</v>
          </cell>
          <cell r="F38">
            <v>0</v>
          </cell>
          <cell r="G38" t="e">
            <v>#REF!</v>
          </cell>
          <cell r="H38" t="e">
            <v>#REF!</v>
          </cell>
          <cell r="I38" t="e">
            <v>#REF!</v>
          </cell>
          <cell r="J38" t="e">
            <v>#REF!</v>
          </cell>
          <cell r="K38" t="e">
            <v>#REF!</v>
          </cell>
          <cell r="L38" t="e">
            <v>#REF!</v>
          </cell>
          <cell r="M38" t="e">
            <v>#REF!</v>
          </cell>
          <cell r="N38" t="e">
            <v>#REF!</v>
          </cell>
          <cell r="O38" t="e">
            <v>#REF!</v>
          </cell>
          <cell r="P38" t="e">
            <v>#REF!</v>
          </cell>
          <cell r="Q38">
            <v>0</v>
          </cell>
          <cell r="R38">
            <v>0</v>
          </cell>
          <cell r="S38">
            <v>0</v>
          </cell>
          <cell r="T38">
            <v>0</v>
          </cell>
          <cell r="U38">
            <v>0</v>
          </cell>
          <cell r="V38">
            <v>582.85860251618783</v>
          </cell>
          <cell r="W38">
            <v>98.204003290375638</v>
          </cell>
          <cell r="X38">
            <v>916</v>
          </cell>
          <cell r="Y38">
            <v>1032</v>
          </cell>
          <cell r="Z38">
            <v>1466.5630826714475</v>
          </cell>
          <cell r="AA38">
            <v>1526.9477302471687</v>
          </cell>
          <cell r="AB38">
            <v>1999.3490565569659</v>
          </cell>
          <cell r="AC38">
            <v>681.06260580656351</v>
          </cell>
          <cell r="AD38">
            <v>7621.9224752821465</v>
          </cell>
          <cell r="AF38">
            <v>15296</v>
          </cell>
        </row>
        <row r="40">
          <cell r="B40" t="str">
            <v>Peso</v>
          </cell>
          <cell r="D40" t="str">
            <v xml:space="preserve">      % Físico</v>
          </cell>
        </row>
        <row r="41">
          <cell r="B41" t="str">
            <v>TOTAL COSTOS KUS$</v>
          </cell>
        </row>
        <row r="42">
          <cell r="D42" t="str">
            <v>KUS$ Nac</v>
          </cell>
          <cell r="F42">
            <v>0</v>
          </cell>
          <cell r="G42" t="e">
            <v>#REF!</v>
          </cell>
          <cell r="H42" t="e">
            <v>#REF!</v>
          </cell>
          <cell r="I42" t="e">
            <v>#REF!</v>
          </cell>
          <cell r="J42" t="e">
            <v>#REF!</v>
          </cell>
          <cell r="K42" t="e">
            <v>#REF!</v>
          </cell>
          <cell r="L42" t="e">
            <v>#REF!</v>
          </cell>
          <cell r="M42" t="e">
            <v>#REF!</v>
          </cell>
          <cell r="N42" t="e">
            <v>#REF!</v>
          </cell>
          <cell r="O42" t="e">
            <v>#REF!</v>
          </cell>
          <cell r="P42" t="e">
            <v>#REF!</v>
          </cell>
          <cell r="Q42">
            <v>0</v>
          </cell>
          <cell r="R42">
            <v>0</v>
          </cell>
          <cell r="S42">
            <v>0</v>
          </cell>
          <cell r="T42">
            <v>0</v>
          </cell>
          <cell r="U42">
            <v>0</v>
          </cell>
          <cell r="V42">
            <v>837.83947051223697</v>
          </cell>
          <cell r="W42">
            <v>369.24763622398916</v>
          </cell>
          <cell r="X42">
            <v>1226.6039963730948</v>
          </cell>
          <cell r="Y42">
            <v>1367.7211515689514</v>
          </cell>
          <cell r="Z42">
            <v>2133.6232005673101</v>
          </cell>
          <cell r="AA42">
            <v>1862.1187588945088</v>
          </cell>
          <cell r="AB42">
            <v>2464.6709497777415</v>
          </cell>
          <cell r="AC42">
            <v>1207.0871067362261</v>
          </cell>
          <cell r="AD42">
            <v>11106.213760568447</v>
          </cell>
          <cell r="AF42">
            <v>22635</v>
          </cell>
        </row>
        <row r="43">
          <cell r="D43" t="str">
            <v>KUS$ Ext</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row>
        <row r="44">
          <cell r="B44" t="str">
            <v>Incurrido / Estimado</v>
          </cell>
          <cell r="E44" t="str">
            <v>KUS$</v>
          </cell>
          <cell r="F44">
            <v>0</v>
          </cell>
          <cell r="G44" t="e">
            <v>#REF!</v>
          </cell>
          <cell r="H44" t="e">
            <v>#REF!</v>
          </cell>
          <cell r="I44" t="e">
            <v>#REF!</v>
          </cell>
          <cell r="J44" t="e">
            <v>#REF!</v>
          </cell>
          <cell r="K44" t="e">
            <v>#REF!</v>
          </cell>
          <cell r="L44" t="e">
            <v>#REF!</v>
          </cell>
          <cell r="M44" t="e">
            <v>#REF!</v>
          </cell>
          <cell r="N44" t="e">
            <v>#REF!</v>
          </cell>
          <cell r="O44" t="e">
            <v>#REF!</v>
          </cell>
          <cell r="P44" t="e">
            <v>#REF!</v>
          </cell>
          <cell r="Q44">
            <v>0</v>
          </cell>
          <cell r="R44">
            <v>0</v>
          </cell>
          <cell r="S44">
            <v>0</v>
          </cell>
          <cell r="T44">
            <v>0</v>
          </cell>
          <cell r="U44">
            <v>0</v>
          </cell>
          <cell r="V44">
            <v>837.83947051223697</v>
          </cell>
          <cell r="W44">
            <v>573.28381127460364</v>
          </cell>
          <cell r="X44">
            <v>1285.7235563730949</v>
          </cell>
          <cell r="Y44">
            <v>1367.7211515689514</v>
          </cell>
          <cell r="Z44">
            <v>2133.6232005673101</v>
          </cell>
          <cell r="AA44">
            <v>2053.0643988945085</v>
          </cell>
          <cell r="AB44">
            <v>2854.9581713777416</v>
          </cell>
          <cell r="AC44">
            <v>1411.1232817868406</v>
          </cell>
          <cell r="AD44">
            <v>11106.213760568447</v>
          </cell>
          <cell r="AF44">
            <v>22635</v>
          </cell>
        </row>
        <row r="45">
          <cell r="B45" t="str">
            <v>Incurrido / Estimado Acumulado</v>
          </cell>
          <cell r="E45" t="str">
            <v>KUS$</v>
          </cell>
          <cell r="F45">
            <v>0</v>
          </cell>
          <cell r="G45" t="e">
            <v>#REF!</v>
          </cell>
          <cell r="H45" t="e">
            <v>#REF!</v>
          </cell>
          <cell r="I45" t="e">
            <v>#REF!</v>
          </cell>
          <cell r="J45" t="e">
            <v>#REF!</v>
          </cell>
          <cell r="K45" t="e">
            <v>#REF!</v>
          </cell>
          <cell r="L45" t="e">
            <v>#REF!</v>
          </cell>
          <cell r="M45" t="e">
            <v>#REF!</v>
          </cell>
          <cell r="N45" t="e">
            <v>#REF!</v>
          </cell>
          <cell r="O45" t="e">
            <v>#REF!</v>
          </cell>
          <cell r="P45" t="e">
            <v>#REF!</v>
          </cell>
          <cell r="Q45">
            <v>0</v>
          </cell>
          <cell r="R45">
            <v>0</v>
          </cell>
          <cell r="S45">
            <v>0</v>
          </cell>
          <cell r="T45">
            <v>0</v>
          </cell>
          <cell r="U45">
            <v>0</v>
          </cell>
          <cell r="V45">
            <v>837.83947051223697</v>
          </cell>
          <cell r="W45">
            <v>1411.1232817868406</v>
          </cell>
          <cell r="X45">
            <v>2696.8468381599355</v>
          </cell>
          <cell r="Y45">
            <v>4064.5679897288869</v>
          </cell>
          <cell r="Z45">
            <v>6198.1911902961965</v>
          </cell>
          <cell r="AA45">
            <v>8251.255589190705</v>
          </cell>
          <cell r="AB45">
            <v>11106.213760568447</v>
          </cell>
          <cell r="AC45">
            <v>0</v>
          </cell>
          <cell r="AD45">
            <v>0</v>
          </cell>
        </row>
        <row r="46">
          <cell r="B46" t="str">
            <v>Programado</v>
          </cell>
          <cell r="E46" t="str">
            <v>KUS$</v>
          </cell>
          <cell r="F46">
            <v>0</v>
          </cell>
          <cell r="G46" t="e">
            <v>#REF!</v>
          </cell>
          <cell r="H46" t="e">
            <v>#REF!</v>
          </cell>
          <cell r="I46" t="e">
            <v>#REF!</v>
          </cell>
          <cell r="J46" t="e">
            <v>#REF!</v>
          </cell>
          <cell r="K46" t="e">
            <v>#REF!</v>
          </cell>
          <cell r="L46" t="e">
            <v>#REF!</v>
          </cell>
          <cell r="M46" t="e">
            <v>#REF!</v>
          </cell>
          <cell r="N46" t="e">
            <v>#REF!</v>
          </cell>
          <cell r="O46" t="e">
            <v>#REF!</v>
          </cell>
          <cell r="P46" t="e">
            <v>#REF!</v>
          </cell>
          <cell r="Q46">
            <v>0</v>
          </cell>
          <cell r="R46">
            <v>0</v>
          </cell>
          <cell r="S46">
            <v>0</v>
          </cell>
          <cell r="T46">
            <v>0</v>
          </cell>
          <cell r="U46">
            <v>0</v>
          </cell>
          <cell r="V46">
            <v>1130.2252827854095</v>
          </cell>
          <cell r="W46">
            <v>1101.9249383832021</v>
          </cell>
          <cell r="X46">
            <v>1074.3200883798611</v>
          </cell>
          <cell r="Y46">
            <v>1101.7183441026027</v>
          </cell>
          <cell r="Z46">
            <v>1948.4386139245482</v>
          </cell>
          <cell r="AA46">
            <v>2053.1187588945086</v>
          </cell>
          <cell r="AB46">
            <v>2864.2034541625708</v>
          </cell>
          <cell r="AC46">
            <v>2232.1502211686116</v>
          </cell>
          <cell r="AD46">
            <v>11273.949480632702</v>
          </cell>
        </row>
        <row r="47">
          <cell r="B47" t="str">
            <v>Programado Acumulado</v>
          </cell>
          <cell r="E47" t="str">
            <v>KUS$</v>
          </cell>
          <cell r="F47">
            <v>0</v>
          </cell>
          <cell r="G47" t="e">
            <v>#REF!</v>
          </cell>
          <cell r="H47" t="e">
            <v>#REF!</v>
          </cell>
          <cell r="I47" t="e">
            <v>#REF!</v>
          </cell>
          <cell r="J47" t="e">
            <v>#REF!</v>
          </cell>
          <cell r="K47" t="e">
            <v>#REF!</v>
          </cell>
          <cell r="L47" t="e">
            <v>#REF!</v>
          </cell>
          <cell r="M47" t="e">
            <v>#REF!</v>
          </cell>
          <cell r="N47" t="e">
            <v>#REF!</v>
          </cell>
          <cell r="O47" t="e">
            <v>#REF!</v>
          </cell>
          <cell r="P47" t="e">
            <v>#REF!</v>
          </cell>
          <cell r="Q47">
            <v>0</v>
          </cell>
          <cell r="R47">
            <v>0</v>
          </cell>
          <cell r="S47">
            <v>0</v>
          </cell>
          <cell r="T47">
            <v>0</v>
          </cell>
          <cell r="U47">
            <v>0</v>
          </cell>
          <cell r="V47">
            <v>1130.2252827854095</v>
          </cell>
          <cell r="W47">
            <v>2232.1502211686116</v>
          </cell>
          <cell r="X47">
            <v>3306.4703095484729</v>
          </cell>
          <cell r="Y47">
            <v>4408.1886536510756</v>
          </cell>
          <cell r="Z47">
            <v>6356.6272675756236</v>
          </cell>
          <cell r="AA47">
            <v>8409.7460264701331</v>
          </cell>
          <cell r="AB47">
            <v>11273.949480632704</v>
          </cell>
          <cell r="AF47">
            <v>33741.213760568447</v>
          </cell>
        </row>
        <row r="48">
          <cell r="B48" t="str">
            <v xml:space="preserve"> </v>
          </cell>
        </row>
        <row r="49">
          <cell r="D49" t="str">
            <v xml:space="preserve"> </v>
          </cell>
          <cell r="H49"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1">
          <cell r="C11" t="str">
            <v>PROGRAMA Y CONTROL DE INCURRIDOS 2001</v>
          </cell>
        </row>
      </sheetData>
      <sheetData sheetId="22">
        <row r="11">
          <cell r="C11" t="str">
            <v>PROGRAMA Y CONTROL DE INCURRIDOS 2001</v>
          </cell>
        </row>
      </sheetData>
      <sheetData sheetId="23"/>
      <sheetData sheetId="24"/>
      <sheetData sheetId="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IO CBV2002"/>
      <sheetName val="Tabla 14a"/>
      <sheetName val="Tabla 14b"/>
      <sheetName val="EJERCICIO"/>
      <sheetName val="EJERCICIO (2)"/>
      <sheetName val="INC.CTE"/>
      <sheetName val="REALIZADO"/>
    </sheetNames>
    <sheetDataSet>
      <sheetData sheetId="0"/>
      <sheetData sheetId="1" refreshError="1">
        <row r="1">
          <cell r="C1" t="str">
            <v>TABLA  Nº  14a</v>
          </cell>
        </row>
        <row r="4">
          <cell r="C4" t="str">
            <v>SERIE DE PRECIOS (US¢/lb)</v>
          </cell>
          <cell r="D4">
            <v>83</v>
          </cell>
          <cell r="E4" t="str">
            <v>PRECIO CONCENTRADOS DE COBRE A PARTIR DE ORIENTACIONES COMERCIALES 2001</v>
          </cell>
        </row>
        <row r="5">
          <cell r="D5">
            <v>98</v>
          </cell>
          <cell r="E5" t="str">
            <v>CASO BASE VIGENTE 2002</v>
          </cell>
        </row>
        <row r="6">
          <cell r="D6">
            <v>113</v>
          </cell>
          <cell r="E6" t="str">
            <v>NEGOCIO   MINA - CONCENTRADORA</v>
          </cell>
        </row>
        <row r="9">
          <cell r="C9" t="str">
            <v>Docto. de Referencia : VCO 034/01 (enero 30, 2001)  
 GEGE 025/2001 (febrero 6, 2001)</v>
          </cell>
          <cell r="E9">
            <v>2002</v>
          </cell>
          <cell r="F9">
            <v>2003</v>
          </cell>
          <cell r="G9">
            <v>2004</v>
          </cell>
          <cell r="H9">
            <v>2005</v>
          </cell>
          <cell r="I9">
            <v>2006</v>
          </cell>
          <cell r="J9">
            <v>2007</v>
          </cell>
          <cell r="K9">
            <v>2008</v>
          </cell>
          <cell r="L9">
            <v>2009</v>
          </cell>
          <cell r="M9">
            <v>2010</v>
          </cell>
          <cell r="N9">
            <v>2011</v>
          </cell>
          <cell r="O9">
            <v>2012</v>
          </cell>
          <cell r="P9">
            <v>2013</v>
          </cell>
          <cell r="Q9">
            <v>2014</v>
          </cell>
          <cell r="R9">
            <v>2015</v>
          </cell>
          <cell r="S9">
            <v>2016</v>
          </cell>
          <cell r="T9">
            <v>2017</v>
          </cell>
          <cell r="U9">
            <v>2018</v>
          </cell>
          <cell r="V9">
            <v>2019</v>
          </cell>
          <cell r="W9">
            <v>2020</v>
          </cell>
          <cell r="X9">
            <v>2021</v>
          </cell>
          <cell r="Y9">
            <v>2022</v>
          </cell>
        </row>
        <row r="10">
          <cell r="C10" t="str">
            <v>Parámetros</v>
          </cell>
        </row>
        <row r="11">
          <cell r="C11" t="str">
            <v>Concentrado</v>
          </cell>
        </row>
        <row r="12">
          <cell r="C12" t="str">
            <v>Cu</v>
          </cell>
          <cell r="D12" t="str">
            <v>%</v>
          </cell>
          <cell r="E12">
            <v>33</v>
          </cell>
          <cell r="F12">
            <v>32.5</v>
          </cell>
          <cell r="G12">
            <v>32.5</v>
          </cell>
          <cell r="H12">
            <v>32.5</v>
          </cell>
          <cell r="I12">
            <v>32.5</v>
          </cell>
          <cell r="J12">
            <v>31.9</v>
          </cell>
          <cell r="K12">
            <v>31.9</v>
          </cell>
          <cell r="L12">
            <v>31.9</v>
          </cell>
          <cell r="M12">
            <v>31.9</v>
          </cell>
          <cell r="N12">
            <v>31.9</v>
          </cell>
          <cell r="O12">
            <v>31.9</v>
          </cell>
          <cell r="P12">
            <v>31.9</v>
          </cell>
          <cell r="Q12">
            <v>31.9</v>
          </cell>
          <cell r="R12">
            <v>31.7</v>
          </cell>
          <cell r="S12">
            <v>31.7</v>
          </cell>
          <cell r="T12">
            <v>31.7</v>
          </cell>
          <cell r="U12">
            <v>31.7</v>
          </cell>
          <cell r="V12">
            <v>31.7</v>
          </cell>
          <cell r="W12">
            <v>31.7</v>
          </cell>
          <cell r="X12">
            <v>31.7</v>
          </cell>
          <cell r="Y12">
            <v>31.7</v>
          </cell>
        </row>
        <row r="13">
          <cell r="C13" t="str">
            <v>As</v>
          </cell>
          <cell r="D13" t="str">
            <v>%</v>
          </cell>
          <cell r="E13">
            <v>0.76903262169181641</v>
          </cell>
          <cell r="F13">
            <v>0.506732510249288</v>
          </cell>
          <cell r="G13">
            <v>0.89286083135646599</v>
          </cell>
          <cell r="H13">
            <v>0.57289295756946135</v>
          </cell>
          <cell r="I13">
            <v>0.84177810702421163</v>
          </cell>
          <cell r="J13">
            <v>1.1127643621903427</v>
          </cell>
          <cell r="K13">
            <v>1.078481406502398</v>
          </cell>
          <cell r="L13">
            <v>0.70157843929454689</v>
          </cell>
          <cell r="M13">
            <v>0.80734397479966746</v>
          </cell>
          <cell r="N13">
            <v>0.95935200895676165</v>
          </cell>
          <cell r="O13">
            <v>0.92358770029965964</v>
          </cell>
          <cell r="P13">
            <v>1.1217023639918005</v>
          </cell>
          <cell r="Q13">
            <v>0.92064972927744815</v>
          </cell>
          <cell r="R13">
            <v>0.68031541351142966</v>
          </cell>
          <cell r="S13">
            <v>0.52450688290600989</v>
          </cell>
          <cell r="T13">
            <v>1.1432149790016732</v>
          </cell>
          <cell r="U13">
            <v>1.1629218229054357</v>
          </cell>
          <cell r="V13">
            <v>0.87800076843405761</v>
          </cell>
          <cell r="W13">
            <v>0.39104900936214987</v>
          </cell>
          <cell r="X13">
            <v>0.48407467298770285</v>
          </cell>
          <cell r="Y13">
            <v>0.47627342993979427</v>
          </cell>
        </row>
        <row r="14">
          <cell r="C14" t="str">
            <v>Ag</v>
          </cell>
          <cell r="D14" t="str">
            <v>g/t</v>
          </cell>
          <cell r="E14">
            <v>145</v>
          </cell>
          <cell r="F14">
            <v>145</v>
          </cell>
          <cell r="G14">
            <v>145</v>
          </cell>
          <cell r="H14">
            <v>145</v>
          </cell>
          <cell r="I14">
            <v>145</v>
          </cell>
          <cell r="J14">
            <v>145</v>
          </cell>
          <cell r="K14">
            <v>145</v>
          </cell>
          <cell r="L14">
            <v>145</v>
          </cell>
          <cell r="M14">
            <v>145</v>
          </cell>
          <cell r="N14">
            <v>145</v>
          </cell>
          <cell r="O14">
            <v>145</v>
          </cell>
          <cell r="P14">
            <v>145</v>
          </cell>
          <cell r="Q14">
            <v>145</v>
          </cell>
          <cell r="R14">
            <v>145</v>
          </cell>
          <cell r="S14">
            <v>145</v>
          </cell>
          <cell r="T14">
            <v>145</v>
          </cell>
          <cell r="U14">
            <v>145</v>
          </cell>
          <cell r="V14">
            <v>145</v>
          </cell>
          <cell r="W14">
            <v>145</v>
          </cell>
          <cell r="X14">
            <v>145</v>
          </cell>
          <cell r="Y14">
            <v>145</v>
          </cell>
        </row>
        <row r="15">
          <cell r="C15" t="str">
            <v>Au</v>
          </cell>
          <cell r="D15" t="str">
            <v>g/t</v>
          </cell>
          <cell r="E15">
            <v>0.5</v>
          </cell>
          <cell r="F15">
            <v>0.5</v>
          </cell>
          <cell r="G15">
            <v>0.5</v>
          </cell>
          <cell r="H15">
            <v>0.5</v>
          </cell>
          <cell r="I15">
            <v>0.5</v>
          </cell>
          <cell r="J15">
            <v>0.5</v>
          </cell>
          <cell r="K15">
            <v>0.5</v>
          </cell>
          <cell r="L15">
            <v>0.5</v>
          </cell>
          <cell r="M15">
            <v>0.5</v>
          </cell>
          <cell r="N15">
            <v>0.5</v>
          </cell>
          <cell r="O15">
            <v>0.5</v>
          </cell>
          <cell r="P15">
            <v>0.5</v>
          </cell>
          <cell r="Q15">
            <v>0.5</v>
          </cell>
          <cell r="R15">
            <v>0.5</v>
          </cell>
          <cell r="S15">
            <v>0.5</v>
          </cell>
          <cell r="T15">
            <v>0.5</v>
          </cell>
          <cell r="U15">
            <v>0.5</v>
          </cell>
          <cell r="V15">
            <v>0.5</v>
          </cell>
          <cell r="W15">
            <v>0.5</v>
          </cell>
          <cell r="X15">
            <v>0.5</v>
          </cell>
          <cell r="Y15">
            <v>0.5</v>
          </cell>
        </row>
        <row r="16">
          <cell r="C16" t="str">
            <v>Humedad</v>
          </cell>
          <cell r="D16" t="str">
            <v>%</v>
          </cell>
          <cell r="E16">
            <v>8</v>
          </cell>
          <cell r="F16">
            <v>8</v>
          </cell>
          <cell r="G16">
            <v>8</v>
          </cell>
          <cell r="H16">
            <v>8</v>
          </cell>
          <cell r="I16">
            <v>8</v>
          </cell>
          <cell r="J16">
            <v>8</v>
          </cell>
          <cell r="K16">
            <v>8</v>
          </cell>
          <cell r="L16">
            <v>8</v>
          </cell>
          <cell r="M16">
            <v>8</v>
          </cell>
          <cell r="N16">
            <v>8</v>
          </cell>
          <cell r="O16">
            <v>8</v>
          </cell>
          <cell r="P16">
            <v>8</v>
          </cell>
          <cell r="Q16">
            <v>8</v>
          </cell>
          <cell r="R16">
            <v>8</v>
          </cell>
          <cell r="S16">
            <v>8</v>
          </cell>
          <cell r="T16">
            <v>8</v>
          </cell>
          <cell r="U16">
            <v>8</v>
          </cell>
          <cell r="V16">
            <v>8</v>
          </cell>
          <cell r="W16">
            <v>8</v>
          </cell>
          <cell r="X16">
            <v>8</v>
          </cell>
          <cell r="Y16">
            <v>8</v>
          </cell>
        </row>
        <row r="17">
          <cell r="C17" t="str">
            <v>Deducc. Metal. Cu</v>
          </cell>
          <cell r="D17" t="str">
            <v>%</v>
          </cell>
          <cell r="E17">
            <v>3.4</v>
          </cell>
          <cell r="F17">
            <v>3.4</v>
          </cell>
          <cell r="G17">
            <v>3.4</v>
          </cell>
          <cell r="H17">
            <v>3.4</v>
          </cell>
          <cell r="I17">
            <v>3.4</v>
          </cell>
          <cell r="J17">
            <v>3.4</v>
          </cell>
          <cell r="K17">
            <v>3.4</v>
          </cell>
          <cell r="L17">
            <v>3.4</v>
          </cell>
          <cell r="M17">
            <v>3.4</v>
          </cell>
          <cell r="N17">
            <v>3.4</v>
          </cell>
          <cell r="O17">
            <v>3.4</v>
          </cell>
          <cell r="P17">
            <v>3.4</v>
          </cell>
          <cell r="Q17">
            <v>3.4</v>
          </cell>
          <cell r="R17">
            <v>3.4</v>
          </cell>
          <cell r="S17">
            <v>3.4</v>
          </cell>
          <cell r="T17">
            <v>3.4</v>
          </cell>
          <cell r="U17">
            <v>3.4</v>
          </cell>
          <cell r="V17">
            <v>3.4</v>
          </cell>
          <cell r="W17">
            <v>3.4</v>
          </cell>
          <cell r="X17">
            <v>3.4</v>
          </cell>
          <cell r="Y17">
            <v>3.4</v>
          </cell>
        </row>
        <row r="18">
          <cell r="C18" t="str">
            <v>Deducc. Metal. Minima Ag</v>
          </cell>
          <cell r="D18" t="str">
            <v>g/t</v>
          </cell>
          <cell r="E18">
            <v>20</v>
          </cell>
          <cell r="F18">
            <v>20</v>
          </cell>
          <cell r="G18">
            <v>20</v>
          </cell>
          <cell r="H18">
            <v>20</v>
          </cell>
          <cell r="I18">
            <v>20</v>
          </cell>
          <cell r="J18">
            <v>20</v>
          </cell>
          <cell r="K18">
            <v>20</v>
          </cell>
          <cell r="L18">
            <v>20</v>
          </cell>
          <cell r="M18">
            <v>20</v>
          </cell>
          <cell r="N18">
            <v>20</v>
          </cell>
          <cell r="O18">
            <v>20</v>
          </cell>
          <cell r="P18">
            <v>20</v>
          </cell>
          <cell r="Q18">
            <v>20</v>
          </cell>
          <cell r="R18">
            <v>20</v>
          </cell>
          <cell r="S18">
            <v>20</v>
          </cell>
          <cell r="T18">
            <v>20</v>
          </cell>
          <cell r="U18">
            <v>20</v>
          </cell>
          <cell r="V18">
            <v>20</v>
          </cell>
          <cell r="W18">
            <v>20</v>
          </cell>
          <cell r="X18">
            <v>20</v>
          </cell>
          <cell r="Y18">
            <v>20</v>
          </cell>
        </row>
        <row r="19">
          <cell r="C19" t="str">
            <v>Deducc. Metal. Minima Au</v>
          </cell>
          <cell r="D19" t="str">
            <v>g/t</v>
          </cell>
          <cell r="E19">
            <v>0.5</v>
          </cell>
          <cell r="F19">
            <v>0.5</v>
          </cell>
          <cell r="G19">
            <v>0.5</v>
          </cell>
          <cell r="H19">
            <v>0.5</v>
          </cell>
          <cell r="I19">
            <v>0.5</v>
          </cell>
          <cell r="J19">
            <v>0.5</v>
          </cell>
          <cell r="K19">
            <v>0.5</v>
          </cell>
          <cell r="L19">
            <v>0.5</v>
          </cell>
          <cell r="M19">
            <v>0.5</v>
          </cell>
          <cell r="N19">
            <v>0.5</v>
          </cell>
          <cell r="O19">
            <v>0.5</v>
          </cell>
          <cell r="P19">
            <v>0.5</v>
          </cell>
          <cell r="Q19">
            <v>0.5</v>
          </cell>
          <cell r="R19">
            <v>0.5</v>
          </cell>
          <cell r="S19">
            <v>0.5</v>
          </cell>
          <cell r="T19">
            <v>0.5</v>
          </cell>
          <cell r="U19">
            <v>0.5</v>
          </cell>
          <cell r="V19">
            <v>0.5</v>
          </cell>
          <cell r="W19">
            <v>0.5</v>
          </cell>
          <cell r="X19">
            <v>0.5</v>
          </cell>
          <cell r="Y19">
            <v>0.5</v>
          </cell>
        </row>
        <row r="20">
          <cell r="C20" t="str">
            <v>Deducc. Metal. As</v>
          </cell>
          <cell r="D20" t="str">
            <v>%</v>
          </cell>
          <cell r="E20">
            <v>0.2</v>
          </cell>
          <cell r="F20">
            <v>0.2</v>
          </cell>
          <cell r="G20">
            <v>0.2</v>
          </cell>
          <cell r="H20">
            <v>0.2</v>
          </cell>
          <cell r="I20">
            <v>0.2</v>
          </cell>
          <cell r="J20">
            <v>0.2</v>
          </cell>
          <cell r="K20">
            <v>0.2</v>
          </cell>
          <cell r="L20">
            <v>0.2</v>
          </cell>
          <cell r="M20">
            <v>0.2</v>
          </cell>
          <cell r="N20">
            <v>0.2</v>
          </cell>
          <cell r="O20">
            <v>0.2</v>
          </cell>
          <cell r="P20">
            <v>0.2</v>
          </cell>
          <cell r="Q20">
            <v>0.2</v>
          </cell>
          <cell r="R20">
            <v>0.2</v>
          </cell>
          <cell r="S20">
            <v>0.2</v>
          </cell>
          <cell r="T20">
            <v>0.2</v>
          </cell>
          <cell r="U20">
            <v>0.2</v>
          </cell>
          <cell r="V20">
            <v>0.2</v>
          </cell>
          <cell r="W20">
            <v>0.2</v>
          </cell>
          <cell r="X20">
            <v>0.2</v>
          </cell>
          <cell r="Y20">
            <v>0.2</v>
          </cell>
        </row>
        <row r="21">
          <cell r="C21" t="str">
            <v>Cargo Tratamiento</v>
          </cell>
        </row>
        <row r="22">
          <cell r="C22">
            <v>83</v>
          </cell>
          <cell r="D22" t="str">
            <v>US$/ts</v>
          </cell>
          <cell r="E22">
            <v>87.8</v>
          </cell>
          <cell r="F22">
            <v>87.8</v>
          </cell>
          <cell r="G22">
            <v>87.8</v>
          </cell>
          <cell r="H22">
            <v>87.8</v>
          </cell>
          <cell r="I22">
            <v>87.8</v>
          </cell>
          <cell r="J22">
            <v>87.8</v>
          </cell>
          <cell r="K22">
            <v>87.8</v>
          </cell>
          <cell r="L22">
            <v>87.8</v>
          </cell>
          <cell r="M22">
            <v>87.8</v>
          </cell>
          <cell r="N22">
            <v>87.8</v>
          </cell>
          <cell r="O22">
            <v>87.8</v>
          </cell>
          <cell r="P22">
            <v>87.8</v>
          </cell>
          <cell r="Q22">
            <v>87.8</v>
          </cell>
          <cell r="R22">
            <v>87.8</v>
          </cell>
          <cell r="S22">
            <v>87.8</v>
          </cell>
          <cell r="T22">
            <v>87.8</v>
          </cell>
          <cell r="U22">
            <v>87.8</v>
          </cell>
          <cell r="V22">
            <v>87.8</v>
          </cell>
          <cell r="W22">
            <v>87.8</v>
          </cell>
          <cell r="X22">
            <v>87.8</v>
          </cell>
          <cell r="Y22">
            <v>87.8</v>
          </cell>
        </row>
        <row r="23">
          <cell r="C23">
            <v>98</v>
          </cell>
          <cell r="D23" t="str">
            <v>US$/ts</v>
          </cell>
          <cell r="E23">
            <v>96</v>
          </cell>
          <cell r="F23">
            <v>96</v>
          </cell>
          <cell r="G23">
            <v>96</v>
          </cell>
          <cell r="H23">
            <v>96</v>
          </cell>
          <cell r="I23">
            <v>96</v>
          </cell>
          <cell r="J23">
            <v>96</v>
          </cell>
          <cell r="K23">
            <v>96</v>
          </cell>
          <cell r="L23">
            <v>96</v>
          </cell>
          <cell r="M23">
            <v>96</v>
          </cell>
          <cell r="N23">
            <v>96</v>
          </cell>
          <cell r="O23">
            <v>96</v>
          </cell>
          <cell r="P23">
            <v>96</v>
          </cell>
          <cell r="Q23">
            <v>96</v>
          </cell>
          <cell r="R23">
            <v>96</v>
          </cell>
          <cell r="S23">
            <v>96</v>
          </cell>
          <cell r="T23">
            <v>96</v>
          </cell>
          <cell r="U23">
            <v>96</v>
          </cell>
          <cell r="V23">
            <v>96</v>
          </cell>
          <cell r="W23">
            <v>96</v>
          </cell>
          <cell r="X23">
            <v>96</v>
          </cell>
          <cell r="Y23">
            <v>96</v>
          </cell>
        </row>
        <row r="24">
          <cell r="C24">
            <v>113</v>
          </cell>
          <cell r="D24" t="str">
            <v>US$/ts</v>
          </cell>
          <cell r="E24">
            <v>108.2</v>
          </cell>
          <cell r="F24">
            <v>108.2</v>
          </cell>
          <cell r="G24">
            <v>108.2</v>
          </cell>
          <cell r="H24">
            <v>108.2</v>
          </cell>
          <cell r="I24">
            <v>108.2</v>
          </cell>
          <cell r="J24">
            <v>108.2</v>
          </cell>
          <cell r="K24">
            <v>108.2</v>
          </cell>
          <cell r="L24">
            <v>108.2</v>
          </cell>
          <cell r="M24">
            <v>108.2</v>
          </cell>
          <cell r="N24">
            <v>108.2</v>
          </cell>
          <cell r="O24">
            <v>108.2</v>
          </cell>
          <cell r="P24">
            <v>108.2</v>
          </cell>
          <cell r="Q24">
            <v>108.2</v>
          </cell>
          <cell r="R24">
            <v>108.2</v>
          </cell>
          <cell r="S24">
            <v>108.2</v>
          </cell>
          <cell r="T24">
            <v>108.2</v>
          </cell>
          <cell r="U24">
            <v>108.2</v>
          </cell>
          <cell r="V24">
            <v>108.2</v>
          </cell>
          <cell r="W24">
            <v>108.2</v>
          </cell>
          <cell r="X24">
            <v>108.2</v>
          </cell>
          <cell r="Y24">
            <v>108.2</v>
          </cell>
        </row>
        <row r="25">
          <cell r="C25" t="str">
            <v>Cargo Refinación</v>
          </cell>
        </row>
        <row r="26">
          <cell r="C26">
            <v>83</v>
          </cell>
          <cell r="D26" t="str">
            <v>USc/lb</v>
          </cell>
          <cell r="E26">
            <v>8.8000000000000007</v>
          </cell>
          <cell r="F26">
            <v>8.8000000000000007</v>
          </cell>
          <cell r="G26">
            <v>8.8000000000000007</v>
          </cell>
          <cell r="H26">
            <v>8.8000000000000007</v>
          </cell>
          <cell r="I26">
            <v>8.8000000000000007</v>
          </cell>
          <cell r="J26">
            <v>8.8000000000000007</v>
          </cell>
          <cell r="K26">
            <v>8.8000000000000007</v>
          </cell>
          <cell r="L26">
            <v>8.8000000000000007</v>
          </cell>
          <cell r="M26">
            <v>8.8000000000000007</v>
          </cell>
          <cell r="N26">
            <v>8.8000000000000007</v>
          </cell>
          <cell r="O26">
            <v>8.8000000000000007</v>
          </cell>
          <cell r="P26">
            <v>8.8000000000000007</v>
          </cell>
          <cell r="Q26">
            <v>8.8000000000000007</v>
          </cell>
          <cell r="R26">
            <v>8.8000000000000007</v>
          </cell>
          <cell r="S26">
            <v>8.8000000000000007</v>
          </cell>
          <cell r="T26">
            <v>8.8000000000000007</v>
          </cell>
          <cell r="U26">
            <v>8.8000000000000007</v>
          </cell>
          <cell r="V26">
            <v>8.8000000000000007</v>
          </cell>
          <cell r="W26">
            <v>8.8000000000000007</v>
          </cell>
          <cell r="X26">
            <v>8.8000000000000007</v>
          </cell>
          <cell r="Y26">
            <v>8.8000000000000007</v>
          </cell>
        </row>
        <row r="27">
          <cell r="C27">
            <v>98</v>
          </cell>
          <cell r="D27" t="str">
            <v>USc/lb</v>
          </cell>
          <cell r="E27">
            <v>9.6</v>
          </cell>
          <cell r="F27">
            <v>9.6</v>
          </cell>
          <cell r="G27">
            <v>9.6</v>
          </cell>
          <cell r="H27">
            <v>9.6</v>
          </cell>
          <cell r="I27">
            <v>9.6</v>
          </cell>
          <cell r="J27">
            <v>9.6</v>
          </cell>
          <cell r="K27">
            <v>9.6</v>
          </cell>
          <cell r="L27">
            <v>9.6</v>
          </cell>
          <cell r="M27">
            <v>9.6</v>
          </cell>
          <cell r="N27">
            <v>9.6</v>
          </cell>
          <cell r="O27">
            <v>9.6</v>
          </cell>
          <cell r="P27">
            <v>9.6</v>
          </cell>
          <cell r="Q27">
            <v>9.6</v>
          </cell>
          <cell r="R27">
            <v>9.6</v>
          </cell>
          <cell r="S27">
            <v>9.6</v>
          </cell>
          <cell r="T27">
            <v>9.6</v>
          </cell>
          <cell r="U27">
            <v>9.6</v>
          </cell>
          <cell r="V27">
            <v>9.6</v>
          </cell>
          <cell r="W27">
            <v>9.6</v>
          </cell>
          <cell r="X27">
            <v>9.6</v>
          </cell>
          <cell r="Y27">
            <v>9.6</v>
          </cell>
        </row>
        <row r="28">
          <cell r="C28">
            <v>113</v>
          </cell>
          <cell r="D28" t="str">
            <v>USc/lb</v>
          </cell>
          <cell r="E28">
            <v>10.8</v>
          </cell>
          <cell r="F28">
            <v>10.8</v>
          </cell>
          <cell r="G28">
            <v>10.8</v>
          </cell>
          <cell r="H28">
            <v>10.8</v>
          </cell>
          <cell r="I28">
            <v>10.8</v>
          </cell>
          <cell r="J28">
            <v>10.8</v>
          </cell>
          <cell r="K28">
            <v>10.8</v>
          </cell>
          <cell r="L28">
            <v>10.8</v>
          </cell>
          <cell r="M28">
            <v>10.8</v>
          </cell>
          <cell r="N28">
            <v>10.8</v>
          </cell>
          <cell r="O28">
            <v>10.8</v>
          </cell>
          <cell r="P28">
            <v>10.8</v>
          </cell>
          <cell r="Q28">
            <v>10.8</v>
          </cell>
          <cell r="R28">
            <v>10.8</v>
          </cell>
          <cell r="S28">
            <v>10.8</v>
          </cell>
          <cell r="T28">
            <v>10.8</v>
          </cell>
          <cell r="U28">
            <v>10.8</v>
          </cell>
          <cell r="V28">
            <v>10.8</v>
          </cell>
          <cell r="W28">
            <v>10.8</v>
          </cell>
          <cell r="X28">
            <v>10.8</v>
          </cell>
          <cell r="Y28">
            <v>10.8</v>
          </cell>
        </row>
        <row r="29">
          <cell r="C29" t="str">
            <v>Tasa de Interés</v>
          </cell>
          <cell r="D29" t="str">
            <v>%</v>
          </cell>
          <cell r="E29">
            <v>5</v>
          </cell>
          <cell r="F29">
            <v>5</v>
          </cell>
          <cell r="G29">
            <v>5</v>
          </cell>
          <cell r="H29">
            <v>5</v>
          </cell>
          <cell r="I29">
            <v>5</v>
          </cell>
          <cell r="J29">
            <v>5</v>
          </cell>
          <cell r="K29">
            <v>5</v>
          </cell>
          <cell r="L29">
            <v>5</v>
          </cell>
          <cell r="M29">
            <v>5</v>
          </cell>
          <cell r="N29">
            <v>5</v>
          </cell>
          <cell r="O29">
            <v>5</v>
          </cell>
          <cell r="P29">
            <v>5</v>
          </cell>
          <cell r="Q29">
            <v>5</v>
          </cell>
          <cell r="R29">
            <v>5</v>
          </cell>
          <cell r="S29">
            <v>5</v>
          </cell>
          <cell r="T29">
            <v>5</v>
          </cell>
          <cell r="U29">
            <v>5</v>
          </cell>
          <cell r="V29">
            <v>5</v>
          </cell>
          <cell r="W29">
            <v>5</v>
          </cell>
          <cell r="X29">
            <v>5</v>
          </cell>
          <cell r="Y29">
            <v>5</v>
          </cell>
        </row>
        <row r="30">
          <cell r="C30" t="str">
            <v>Penalidad Arsénico</v>
          </cell>
          <cell r="D30" t="str">
            <v>US$/ts</v>
          </cell>
          <cell r="E30">
            <v>2.5</v>
          </cell>
          <cell r="F30">
            <v>2.5</v>
          </cell>
          <cell r="G30">
            <v>2.5</v>
          </cell>
          <cell r="H30">
            <v>2.5</v>
          </cell>
          <cell r="I30">
            <v>2.5</v>
          </cell>
          <cell r="J30">
            <v>2.5</v>
          </cell>
          <cell r="K30">
            <v>2.5</v>
          </cell>
          <cell r="L30">
            <v>2.5</v>
          </cell>
          <cell r="M30">
            <v>2.5</v>
          </cell>
          <cell r="N30">
            <v>2.5</v>
          </cell>
          <cell r="O30">
            <v>2.5</v>
          </cell>
          <cell r="P30">
            <v>2.5</v>
          </cell>
          <cell r="Q30">
            <v>2.5</v>
          </cell>
          <cell r="R30">
            <v>2.5</v>
          </cell>
          <cell r="S30">
            <v>2.5</v>
          </cell>
          <cell r="T30">
            <v>2.5</v>
          </cell>
          <cell r="U30">
            <v>2.5</v>
          </cell>
          <cell r="V30">
            <v>2.5</v>
          </cell>
          <cell r="W30">
            <v>2.5</v>
          </cell>
          <cell r="X30">
            <v>2.5</v>
          </cell>
          <cell r="Y30">
            <v>2.5</v>
          </cell>
        </row>
        <row r="31">
          <cell r="C31" t="str">
            <v>Muestreo / Anál.  Det. Humedad</v>
          </cell>
          <cell r="D31" t="str">
            <v>US$/ts</v>
          </cell>
          <cell r="E31">
            <v>0.2</v>
          </cell>
          <cell r="F31">
            <v>0.2</v>
          </cell>
          <cell r="G31">
            <v>0.2</v>
          </cell>
          <cell r="H31">
            <v>0.2</v>
          </cell>
          <cell r="I31">
            <v>0.2</v>
          </cell>
          <cell r="J31">
            <v>0.2</v>
          </cell>
          <cell r="K31">
            <v>0.2</v>
          </cell>
          <cell r="L31">
            <v>0.2</v>
          </cell>
          <cell r="M31">
            <v>0.2</v>
          </cell>
          <cell r="N31">
            <v>0.2</v>
          </cell>
          <cell r="O31">
            <v>0.2</v>
          </cell>
          <cell r="P31">
            <v>0.2</v>
          </cell>
          <cell r="Q31">
            <v>0.2</v>
          </cell>
          <cell r="R31">
            <v>0.2</v>
          </cell>
          <cell r="S31">
            <v>0.2</v>
          </cell>
          <cell r="T31">
            <v>0.2</v>
          </cell>
          <cell r="U31">
            <v>0.2</v>
          </cell>
          <cell r="V31">
            <v>0.2</v>
          </cell>
          <cell r="W31">
            <v>0.2</v>
          </cell>
          <cell r="X31">
            <v>0.2</v>
          </cell>
          <cell r="Y31">
            <v>0.2</v>
          </cell>
        </row>
        <row r="32">
          <cell r="C32" t="str">
            <v>Fletes y Seguros (MJP)</v>
          </cell>
          <cell r="D32" t="str">
            <v>US$/th</v>
          </cell>
          <cell r="E32">
            <v>35</v>
          </cell>
          <cell r="F32">
            <v>35</v>
          </cell>
          <cell r="G32">
            <v>35</v>
          </cell>
          <cell r="H32">
            <v>35</v>
          </cell>
          <cell r="I32">
            <v>35</v>
          </cell>
          <cell r="J32">
            <v>35</v>
          </cell>
          <cell r="K32">
            <v>35</v>
          </cell>
          <cell r="L32">
            <v>35</v>
          </cell>
          <cell r="M32">
            <v>35</v>
          </cell>
          <cell r="N32">
            <v>35</v>
          </cell>
          <cell r="O32">
            <v>35</v>
          </cell>
          <cell r="P32">
            <v>35</v>
          </cell>
          <cell r="Q32">
            <v>35</v>
          </cell>
          <cell r="R32">
            <v>35</v>
          </cell>
          <cell r="S32">
            <v>35</v>
          </cell>
          <cell r="T32">
            <v>35</v>
          </cell>
          <cell r="U32">
            <v>35</v>
          </cell>
          <cell r="V32">
            <v>35</v>
          </cell>
          <cell r="W32">
            <v>35</v>
          </cell>
          <cell r="X32">
            <v>35</v>
          </cell>
          <cell r="Y32">
            <v>35</v>
          </cell>
        </row>
        <row r="33">
          <cell r="C33" t="str">
            <v>Flete Chuqui-Antof.</v>
          </cell>
          <cell r="D33" t="str">
            <v>US$/th</v>
          </cell>
          <cell r="E33">
            <v>9</v>
          </cell>
          <cell r="F33">
            <v>9</v>
          </cell>
          <cell r="G33">
            <v>9</v>
          </cell>
          <cell r="H33">
            <v>9</v>
          </cell>
          <cell r="I33">
            <v>9</v>
          </cell>
          <cell r="J33">
            <v>9</v>
          </cell>
          <cell r="K33">
            <v>9</v>
          </cell>
          <cell r="L33">
            <v>9</v>
          </cell>
          <cell r="M33">
            <v>9</v>
          </cell>
          <cell r="N33">
            <v>9</v>
          </cell>
          <cell r="O33">
            <v>9</v>
          </cell>
          <cell r="P33">
            <v>9</v>
          </cell>
          <cell r="Q33">
            <v>9</v>
          </cell>
          <cell r="R33">
            <v>9</v>
          </cell>
          <cell r="S33">
            <v>9</v>
          </cell>
          <cell r="T33">
            <v>9</v>
          </cell>
          <cell r="U33">
            <v>9</v>
          </cell>
          <cell r="V33">
            <v>9</v>
          </cell>
          <cell r="W33">
            <v>9</v>
          </cell>
          <cell r="X33">
            <v>9</v>
          </cell>
          <cell r="Y33">
            <v>9</v>
          </cell>
        </row>
        <row r="34">
          <cell r="C34" t="str">
            <v>Días de Pago B/L</v>
          </cell>
          <cell r="E34">
            <v>50</v>
          </cell>
          <cell r="F34">
            <v>50</v>
          </cell>
          <cell r="G34">
            <v>50</v>
          </cell>
          <cell r="H34">
            <v>50</v>
          </cell>
          <cell r="I34">
            <v>50</v>
          </cell>
          <cell r="J34">
            <v>50</v>
          </cell>
          <cell r="K34">
            <v>50</v>
          </cell>
          <cell r="L34">
            <v>50</v>
          </cell>
          <cell r="M34">
            <v>50</v>
          </cell>
          <cell r="N34">
            <v>50</v>
          </cell>
          <cell r="O34">
            <v>50</v>
          </cell>
          <cell r="P34">
            <v>50</v>
          </cell>
          <cell r="Q34">
            <v>50</v>
          </cell>
          <cell r="R34">
            <v>50</v>
          </cell>
          <cell r="S34">
            <v>50</v>
          </cell>
          <cell r="T34">
            <v>50</v>
          </cell>
          <cell r="U34">
            <v>50</v>
          </cell>
          <cell r="V34">
            <v>50</v>
          </cell>
          <cell r="W34">
            <v>50</v>
          </cell>
          <cell r="X34">
            <v>50</v>
          </cell>
          <cell r="Y34">
            <v>50</v>
          </cell>
        </row>
        <row r="35">
          <cell r="C35" t="str">
            <v>Precio Ag</v>
          </cell>
          <cell r="D35" t="str">
            <v>US$/oz</v>
          </cell>
          <cell r="E35">
            <v>4.5</v>
          </cell>
          <cell r="F35">
            <v>4.5</v>
          </cell>
          <cell r="G35">
            <v>4.5</v>
          </cell>
          <cell r="H35">
            <v>4.5</v>
          </cell>
          <cell r="I35">
            <v>4.5</v>
          </cell>
          <cell r="J35">
            <v>4.5</v>
          </cell>
          <cell r="K35">
            <v>4.5</v>
          </cell>
          <cell r="L35">
            <v>4.5</v>
          </cell>
          <cell r="M35">
            <v>4.5</v>
          </cell>
          <cell r="N35">
            <v>4.5</v>
          </cell>
          <cell r="O35">
            <v>4.5</v>
          </cell>
          <cell r="P35">
            <v>4.5</v>
          </cell>
          <cell r="Q35">
            <v>4.5</v>
          </cell>
          <cell r="R35">
            <v>4.5</v>
          </cell>
          <cell r="S35">
            <v>4.5</v>
          </cell>
          <cell r="T35">
            <v>4.5</v>
          </cell>
          <cell r="U35">
            <v>4.5</v>
          </cell>
          <cell r="V35">
            <v>4.5</v>
          </cell>
          <cell r="W35">
            <v>4.5</v>
          </cell>
          <cell r="X35">
            <v>4.5</v>
          </cell>
          <cell r="Y35">
            <v>4.5</v>
          </cell>
        </row>
        <row r="36">
          <cell r="C36" t="str">
            <v>Precio Au</v>
          </cell>
          <cell r="D36" t="str">
            <v>US$/oz</v>
          </cell>
          <cell r="E36">
            <v>275</v>
          </cell>
          <cell r="F36">
            <v>275</v>
          </cell>
          <cell r="G36">
            <v>275</v>
          </cell>
          <cell r="H36">
            <v>275</v>
          </cell>
          <cell r="I36">
            <v>275</v>
          </cell>
          <cell r="J36">
            <v>275</v>
          </cell>
          <cell r="K36">
            <v>275</v>
          </cell>
          <cell r="L36">
            <v>275</v>
          </cell>
          <cell r="M36">
            <v>275</v>
          </cell>
          <cell r="N36">
            <v>275</v>
          </cell>
          <cell r="O36">
            <v>275</v>
          </cell>
          <cell r="P36">
            <v>275</v>
          </cell>
          <cell r="Q36">
            <v>275</v>
          </cell>
          <cell r="R36">
            <v>275</v>
          </cell>
          <cell r="S36">
            <v>275</v>
          </cell>
          <cell r="T36">
            <v>275</v>
          </cell>
          <cell r="U36">
            <v>275</v>
          </cell>
          <cell r="V36">
            <v>275</v>
          </cell>
          <cell r="W36">
            <v>275</v>
          </cell>
          <cell r="X36">
            <v>275</v>
          </cell>
          <cell r="Y36">
            <v>275</v>
          </cell>
        </row>
        <row r="37">
          <cell r="C37" t="str">
            <v>Comisiones de Venta</v>
          </cell>
          <cell r="D37" t="str">
            <v>US$/ts</v>
          </cell>
          <cell r="E37">
            <v>0.6</v>
          </cell>
          <cell r="F37">
            <v>0.6</v>
          </cell>
          <cell r="G37">
            <v>0.6</v>
          </cell>
          <cell r="H37">
            <v>0.6</v>
          </cell>
          <cell r="I37">
            <v>0.6</v>
          </cell>
          <cell r="J37">
            <v>0.6</v>
          </cell>
          <cell r="K37">
            <v>0.6</v>
          </cell>
          <cell r="L37">
            <v>0.6</v>
          </cell>
          <cell r="M37">
            <v>0.6</v>
          </cell>
          <cell r="N37">
            <v>0.6</v>
          </cell>
          <cell r="O37">
            <v>0.6</v>
          </cell>
          <cell r="P37">
            <v>0.6</v>
          </cell>
          <cell r="Q37">
            <v>0.6</v>
          </cell>
          <cell r="R37">
            <v>0.6</v>
          </cell>
          <cell r="S37">
            <v>0.6</v>
          </cell>
          <cell r="T37">
            <v>0.6</v>
          </cell>
          <cell r="U37">
            <v>0.6</v>
          </cell>
          <cell r="V37">
            <v>0.6</v>
          </cell>
          <cell r="W37">
            <v>0.6</v>
          </cell>
          <cell r="X37">
            <v>0.6</v>
          </cell>
          <cell r="Y37">
            <v>0.6</v>
          </cell>
        </row>
        <row r="38">
          <cell r="C38" t="str">
            <v>Cálculos</v>
          </cell>
          <cell r="E38">
            <v>2002</v>
          </cell>
          <cell r="F38">
            <v>2003</v>
          </cell>
          <cell r="G38">
            <v>2004</v>
          </cell>
          <cell r="H38">
            <v>2005</v>
          </cell>
          <cell r="I38">
            <v>2006</v>
          </cell>
          <cell r="J38">
            <v>2007</v>
          </cell>
          <cell r="K38">
            <v>2008</v>
          </cell>
          <cell r="L38">
            <v>2009</v>
          </cell>
          <cell r="M38">
            <v>2010</v>
          </cell>
          <cell r="N38">
            <v>2011</v>
          </cell>
          <cell r="O38">
            <v>2012</v>
          </cell>
          <cell r="P38">
            <v>2013</v>
          </cell>
          <cell r="Q38">
            <v>2014</v>
          </cell>
          <cell r="R38">
            <v>2015</v>
          </cell>
          <cell r="S38">
            <v>2016</v>
          </cell>
          <cell r="T38">
            <v>2017</v>
          </cell>
          <cell r="U38">
            <v>2018</v>
          </cell>
          <cell r="V38">
            <v>2019</v>
          </cell>
          <cell r="W38">
            <v>2020</v>
          </cell>
          <cell r="X38">
            <v>2021</v>
          </cell>
          <cell r="Y38">
            <v>2022</v>
          </cell>
        </row>
        <row r="39">
          <cell r="C39" t="str">
            <v>Descuento Comb.</v>
          </cell>
        </row>
        <row r="40">
          <cell r="C40">
            <v>83</v>
          </cell>
          <cell r="D40" t="str">
            <v>USc/lb</v>
          </cell>
          <cell r="E40">
            <v>-20.569229922008802</v>
          </cell>
          <cell r="F40">
            <v>-20.754898074655092</v>
          </cell>
          <cell r="G40">
            <v>-20.754898074655092</v>
          </cell>
          <cell r="H40">
            <v>-20.754898074655092</v>
          </cell>
          <cell r="I40">
            <v>-20.754898074655092</v>
          </cell>
          <cell r="J40">
            <v>-20.985382677940141</v>
          </cell>
          <cell r="K40">
            <v>-20.985382677940141</v>
          </cell>
          <cell r="L40">
            <v>-20.985382677940141</v>
          </cell>
          <cell r="M40">
            <v>-20.985382677940141</v>
          </cell>
          <cell r="N40">
            <v>-20.985382677940141</v>
          </cell>
          <cell r="O40">
            <v>-20.985382677940141</v>
          </cell>
          <cell r="P40">
            <v>-20.985382677940141</v>
          </cell>
          <cell r="Q40">
            <v>-20.985382677940141</v>
          </cell>
          <cell r="R40">
            <v>-21.064149761081715</v>
          </cell>
          <cell r="S40">
            <v>-21.064149761081715</v>
          </cell>
          <cell r="T40">
            <v>-21.064149761081715</v>
          </cell>
          <cell r="U40">
            <v>-21.064149761081715</v>
          </cell>
          <cell r="V40">
            <v>-21.064149761081715</v>
          </cell>
          <cell r="W40">
            <v>-21.064149761081715</v>
          </cell>
          <cell r="X40">
            <v>-21.064149761081715</v>
          </cell>
          <cell r="Y40">
            <v>-21.064149761081715</v>
          </cell>
        </row>
        <row r="41">
          <cell r="C41">
            <v>98</v>
          </cell>
          <cell r="D41" t="str">
            <v>USc/lb</v>
          </cell>
          <cell r="E41">
            <v>-22.469149800829669</v>
          </cell>
          <cell r="F41">
            <v>-22.67215825930397</v>
          </cell>
          <cell r="G41">
            <v>-22.67215825930397</v>
          </cell>
          <cell r="H41">
            <v>-22.67215825930397</v>
          </cell>
          <cell r="I41">
            <v>-22.67215825930397</v>
          </cell>
          <cell r="J41">
            <v>-22.92416875947897</v>
          </cell>
          <cell r="K41">
            <v>-22.92416875947897</v>
          </cell>
          <cell r="L41">
            <v>-22.92416875947897</v>
          </cell>
          <cell r="M41">
            <v>-22.92416875947897</v>
          </cell>
          <cell r="N41">
            <v>-22.92416875947897</v>
          </cell>
          <cell r="O41">
            <v>-22.92416875947897</v>
          </cell>
          <cell r="P41">
            <v>-22.92416875947897</v>
          </cell>
          <cell r="Q41">
            <v>-22.92416875947897</v>
          </cell>
          <cell r="R41">
            <v>-23.010292221683883</v>
          </cell>
          <cell r="S41">
            <v>-23.010292221683883</v>
          </cell>
          <cell r="T41">
            <v>-23.010292221683883</v>
          </cell>
          <cell r="U41">
            <v>-23.010292221683883</v>
          </cell>
          <cell r="V41">
            <v>-23.010292221683883</v>
          </cell>
          <cell r="W41">
            <v>-23.010292221683883</v>
          </cell>
          <cell r="X41">
            <v>-23.010292221683883</v>
          </cell>
          <cell r="Y41">
            <v>-23.010292221683883</v>
          </cell>
        </row>
        <row r="42">
          <cell r="C42">
            <v>113</v>
          </cell>
          <cell r="D42" t="str">
            <v>USc/lb</v>
          </cell>
          <cell r="E42">
            <v>-25.305284254685109</v>
          </cell>
          <cell r="F42">
            <v>-25.534091704757188</v>
          </cell>
          <cell r="G42">
            <v>-25.534091704757188</v>
          </cell>
          <cell r="H42">
            <v>-25.534091704757188</v>
          </cell>
          <cell r="I42">
            <v>-25.534091704757188</v>
          </cell>
          <cell r="J42">
            <v>-25.818128539329422</v>
          </cell>
          <cell r="K42">
            <v>-25.818128539329422</v>
          </cell>
          <cell r="L42">
            <v>-25.818128539329422</v>
          </cell>
          <cell r="M42">
            <v>-25.818128539329422</v>
          </cell>
          <cell r="N42">
            <v>-25.818128539329422</v>
          </cell>
          <cell r="O42">
            <v>-25.818128539329422</v>
          </cell>
          <cell r="P42">
            <v>-25.818128539329422</v>
          </cell>
          <cell r="Q42">
            <v>-25.818128539329422</v>
          </cell>
          <cell r="R42">
            <v>-25.915196858189546</v>
          </cell>
          <cell r="S42">
            <v>-25.915196858189546</v>
          </cell>
          <cell r="T42">
            <v>-25.915196858189546</v>
          </cell>
          <cell r="U42">
            <v>-25.915196858189546</v>
          </cell>
          <cell r="V42">
            <v>-25.915196858189546</v>
          </cell>
          <cell r="W42">
            <v>-25.915196858189546</v>
          </cell>
          <cell r="X42">
            <v>-25.915196858189546</v>
          </cell>
          <cell r="Y42">
            <v>-25.915196858189546</v>
          </cell>
        </row>
        <row r="43">
          <cell r="C43" t="str">
            <v>Deducción Metal.</v>
          </cell>
        </row>
        <row r="44">
          <cell r="C44">
            <v>83</v>
          </cell>
          <cell r="D44" t="str">
            <v>USc/lb</v>
          </cell>
          <cell r="E44">
            <v>-2.8220000000000001</v>
          </cell>
          <cell r="F44">
            <v>-2.8220000000000001</v>
          </cell>
          <cell r="G44">
            <v>-2.8220000000000001</v>
          </cell>
          <cell r="H44">
            <v>-2.8220000000000001</v>
          </cell>
          <cell r="I44">
            <v>-2.8220000000000001</v>
          </cell>
          <cell r="J44">
            <v>-2.8220000000000001</v>
          </cell>
          <cell r="K44">
            <v>-2.8220000000000001</v>
          </cell>
          <cell r="L44">
            <v>-2.8220000000000001</v>
          </cell>
          <cell r="M44">
            <v>-2.8220000000000001</v>
          </cell>
          <cell r="N44">
            <v>-2.8220000000000001</v>
          </cell>
          <cell r="O44">
            <v>-2.8220000000000001</v>
          </cell>
          <cell r="P44">
            <v>-2.8220000000000001</v>
          </cell>
          <cell r="Q44">
            <v>-2.8220000000000001</v>
          </cell>
          <cell r="R44">
            <v>-2.8220000000000001</v>
          </cell>
          <cell r="S44">
            <v>-2.8220000000000001</v>
          </cell>
          <cell r="T44">
            <v>-2.8220000000000001</v>
          </cell>
          <cell r="U44">
            <v>-2.8220000000000001</v>
          </cell>
          <cell r="V44">
            <v>-2.8220000000000001</v>
          </cell>
          <cell r="W44">
            <v>-2.8220000000000001</v>
          </cell>
          <cell r="X44">
            <v>-2.8220000000000001</v>
          </cell>
          <cell r="Y44">
            <v>-2.8220000000000001</v>
          </cell>
        </row>
        <row r="45">
          <cell r="C45">
            <v>98</v>
          </cell>
          <cell r="D45" t="str">
            <v>USc/lb</v>
          </cell>
          <cell r="E45">
            <v>-3.3319999999999999</v>
          </cell>
          <cell r="F45">
            <v>-3.3319999999999999</v>
          </cell>
          <cell r="G45">
            <v>-3.3319999999999999</v>
          </cell>
          <cell r="H45">
            <v>-3.3319999999999999</v>
          </cell>
          <cell r="I45">
            <v>-3.3319999999999999</v>
          </cell>
          <cell r="J45">
            <v>-3.3319999999999999</v>
          </cell>
          <cell r="K45">
            <v>-3.3319999999999999</v>
          </cell>
          <cell r="L45">
            <v>-3.3319999999999999</v>
          </cell>
          <cell r="M45">
            <v>-3.3319999999999999</v>
          </cell>
          <cell r="N45">
            <v>-3.3319999999999999</v>
          </cell>
          <cell r="O45">
            <v>-3.3319999999999999</v>
          </cell>
          <cell r="P45">
            <v>-3.3319999999999999</v>
          </cell>
          <cell r="Q45">
            <v>-3.3319999999999999</v>
          </cell>
          <cell r="R45">
            <v>-3.3319999999999999</v>
          </cell>
          <cell r="S45">
            <v>-3.3319999999999999</v>
          </cell>
          <cell r="T45">
            <v>-3.3319999999999999</v>
          </cell>
          <cell r="U45">
            <v>-3.3319999999999999</v>
          </cell>
          <cell r="V45">
            <v>-3.3319999999999999</v>
          </cell>
          <cell r="W45">
            <v>-3.3319999999999999</v>
          </cell>
          <cell r="X45">
            <v>-3.3319999999999999</v>
          </cell>
          <cell r="Y45">
            <v>-3.3319999999999999</v>
          </cell>
        </row>
        <row r="46">
          <cell r="C46">
            <v>113</v>
          </cell>
          <cell r="D46" t="str">
            <v>USc/lb</v>
          </cell>
          <cell r="E46">
            <v>-3.8420000000000001</v>
          </cell>
          <cell r="F46">
            <v>-3.8420000000000001</v>
          </cell>
          <cell r="G46">
            <v>-3.8420000000000001</v>
          </cell>
          <cell r="H46">
            <v>-3.8420000000000001</v>
          </cell>
          <cell r="I46">
            <v>-3.8420000000000001</v>
          </cell>
          <cell r="J46">
            <v>-3.8420000000000001</v>
          </cell>
          <cell r="K46">
            <v>-3.8420000000000001</v>
          </cell>
          <cell r="L46">
            <v>-3.8420000000000001</v>
          </cell>
          <cell r="M46">
            <v>-3.8420000000000001</v>
          </cell>
          <cell r="N46">
            <v>-3.8420000000000001</v>
          </cell>
          <cell r="O46">
            <v>-3.8420000000000001</v>
          </cell>
          <cell r="P46">
            <v>-3.8420000000000001</v>
          </cell>
          <cell r="Q46">
            <v>-3.8420000000000001</v>
          </cell>
          <cell r="R46">
            <v>-3.8420000000000001</v>
          </cell>
          <cell r="S46">
            <v>-3.8420000000000001</v>
          </cell>
          <cell r="T46">
            <v>-3.8420000000000001</v>
          </cell>
          <cell r="U46">
            <v>-3.8420000000000001</v>
          </cell>
          <cell r="V46">
            <v>-3.8420000000000001</v>
          </cell>
          <cell r="W46">
            <v>-3.8420000000000001</v>
          </cell>
          <cell r="X46">
            <v>-3.8420000000000001</v>
          </cell>
          <cell r="Y46">
            <v>-3.8420000000000001</v>
          </cell>
        </row>
        <row r="47">
          <cell r="C47" t="str">
            <v>Crédito Ag</v>
          </cell>
          <cell r="D47" t="str">
            <v>USc/lb</v>
          </cell>
          <cell r="E47">
            <v>2.4860988621940949</v>
          </cell>
          <cell r="F47">
            <v>2.524346536997081</v>
          </cell>
          <cell r="G47">
            <v>2.524346536997081</v>
          </cell>
          <cell r="H47">
            <v>2.524346536997081</v>
          </cell>
          <cell r="I47">
            <v>2.524346536997081</v>
          </cell>
          <cell r="J47">
            <v>2.5718264091663054</v>
          </cell>
          <cell r="K47">
            <v>2.5718264091663054</v>
          </cell>
          <cell r="L47">
            <v>2.5718264091663054</v>
          </cell>
          <cell r="M47">
            <v>2.5718264091663054</v>
          </cell>
          <cell r="N47">
            <v>2.5718264091663054</v>
          </cell>
          <cell r="O47">
            <v>2.5718264091663054</v>
          </cell>
          <cell r="P47">
            <v>2.5718264091663054</v>
          </cell>
          <cell r="Q47">
            <v>2.5718264091663054</v>
          </cell>
          <cell r="R47">
            <v>2.5880524432935377</v>
          </cell>
          <cell r="S47">
            <v>2.5880524432935377</v>
          </cell>
          <cell r="T47">
            <v>2.5880524432935377</v>
          </cell>
          <cell r="U47">
            <v>2.5880524432935377</v>
          </cell>
          <cell r="V47">
            <v>2.5880524432935377</v>
          </cell>
          <cell r="W47">
            <v>2.5880524432935377</v>
          </cell>
          <cell r="X47">
            <v>2.5880524432935377</v>
          </cell>
          <cell r="Y47">
            <v>2.5880524432935377</v>
          </cell>
        </row>
        <row r="48">
          <cell r="C48" t="str">
            <v>Crédito Au</v>
          </cell>
          <cell r="D48" t="str">
            <v>USc/lb</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row>
        <row r="49">
          <cell r="C49" t="str">
            <v>Penalidad As</v>
          </cell>
          <cell r="D49" t="str">
            <v>USc/lb</v>
          </cell>
          <cell r="E49">
            <v>-1.9553901817268315</v>
          </cell>
          <cell r="F49">
            <v>-1.0702534918223017</v>
          </cell>
          <cell r="G49">
            <v>-2.417535472531092</v>
          </cell>
          <cell r="H49">
            <v>-1.3011010459579666</v>
          </cell>
          <cell r="I49">
            <v>-2.2392972282577399</v>
          </cell>
          <cell r="J49">
            <v>-3.2447272623128232</v>
          </cell>
          <cell r="K49">
            <v>-3.1228569904647863</v>
          </cell>
          <cell r="L49">
            <v>-1.7830288994433232</v>
          </cell>
          <cell r="M49">
            <v>-2.1590079918380525</v>
          </cell>
          <cell r="N49">
            <v>-2.6993715653418655</v>
          </cell>
          <cell r="O49">
            <v>-2.5722353272015011</v>
          </cell>
          <cell r="P49">
            <v>-3.2765003894386417</v>
          </cell>
          <cell r="Q49">
            <v>-2.5617913231775287</v>
          </cell>
          <cell r="R49">
            <v>-1.7182148449836812</v>
          </cell>
          <cell r="S49">
            <v>-1.1608466599734033</v>
          </cell>
          <cell r="T49">
            <v>-3.3741286107885458</v>
          </cell>
          <cell r="U49">
            <v>-3.4446251861444703</v>
          </cell>
          <cell r="V49">
            <v>-2.4253874692822439</v>
          </cell>
          <cell r="W49">
            <v>-0.68343266689204574</v>
          </cell>
          <cell r="X49">
            <v>-1.0162099871894716</v>
          </cell>
          <cell r="Y49">
            <v>-0.98830288440414038</v>
          </cell>
        </row>
        <row r="50">
          <cell r="C50" t="str">
            <v>Subtotal Base F/R Externas</v>
          </cell>
        </row>
        <row r="51">
          <cell r="C51">
            <v>83</v>
          </cell>
          <cell r="D51" t="str">
            <v>USc/lb</v>
          </cell>
          <cell r="E51">
            <v>-22.860521241541537</v>
          </cell>
          <cell r="F51">
            <v>-22.122805029480315</v>
          </cell>
          <cell r="G51">
            <v>-23.470087010189104</v>
          </cell>
          <cell r="H51">
            <v>-22.353652583615979</v>
          </cell>
          <cell r="I51">
            <v>-23.291848765915752</v>
          </cell>
          <cell r="J51">
            <v>-24.480283531086656</v>
          </cell>
          <cell r="K51">
            <v>-24.35841325923862</v>
          </cell>
          <cell r="L51">
            <v>-23.018585168217157</v>
          </cell>
          <cell r="M51">
            <v>-23.394564260611887</v>
          </cell>
          <cell r="N51">
            <v>-23.934927834115701</v>
          </cell>
          <cell r="O51">
            <v>-23.807791595975335</v>
          </cell>
          <cell r="P51">
            <v>-24.512056658212476</v>
          </cell>
          <cell r="Q51">
            <v>-23.797347591951365</v>
          </cell>
          <cell r="R51">
            <v>-23.016312162771857</v>
          </cell>
          <cell r="S51">
            <v>-22.458943977761578</v>
          </cell>
          <cell r="T51">
            <v>-24.672225928576722</v>
          </cell>
          <cell r="U51">
            <v>-24.742722503932647</v>
          </cell>
          <cell r="V51">
            <v>-23.723484787070419</v>
          </cell>
          <cell r="W51">
            <v>-21.981529984680222</v>
          </cell>
          <cell r="X51">
            <v>-22.31430730497765</v>
          </cell>
          <cell r="Y51">
            <v>-22.286400202192318</v>
          </cell>
        </row>
        <row r="52">
          <cell r="C52">
            <v>98</v>
          </cell>
          <cell r="D52" t="str">
            <v>USc/lb</v>
          </cell>
          <cell r="E52">
            <v>-25.270441120362406</v>
          </cell>
          <cell r="F52">
            <v>-24.550065214129194</v>
          </cell>
          <cell r="G52">
            <v>-25.897347194837984</v>
          </cell>
          <cell r="H52">
            <v>-24.780912768264859</v>
          </cell>
          <cell r="I52">
            <v>-25.719108950564632</v>
          </cell>
          <cell r="J52">
            <v>-26.92906961262549</v>
          </cell>
          <cell r="K52">
            <v>-26.807199340777451</v>
          </cell>
          <cell r="L52">
            <v>-25.467371249755988</v>
          </cell>
          <cell r="M52">
            <v>-25.843350342150718</v>
          </cell>
          <cell r="N52">
            <v>-26.383713915654532</v>
          </cell>
          <cell r="O52">
            <v>-26.256577677514166</v>
          </cell>
          <cell r="P52">
            <v>-26.960842739751307</v>
          </cell>
          <cell r="Q52">
            <v>-26.246133673490192</v>
          </cell>
          <cell r="R52">
            <v>-25.472454623374027</v>
          </cell>
          <cell r="S52">
            <v>-24.915086438363751</v>
          </cell>
          <cell r="T52">
            <v>-27.128368389178892</v>
          </cell>
          <cell r="U52">
            <v>-27.198864964534817</v>
          </cell>
          <cell r="V52">
            <v>-26.179627247672592</v>
          </cell>
          <cell r="W52">
            <v>-24.437672445282391</v>
          </cell>
          <cell r="X52">
            <v>-24.770449765579819</v>
          </cell>
          <cell r="Y52">
            <v>-24.742542662794488</v>
          </cell>
        </row>
        <row r="53">
          <cell r="C53">
            <v>113</v>
          </cell>
          <cell r="D53" t="str">
            <v>USc/lb</v>
          </cell>
          <cell r="E53">
            <v>-28.616575574217844</v>
          </cell>
          <cell r="F53">
            <v>-27.92199865958241</v>
          </cell>
          <cell r="G53">
            <v>-29.2692806402912</v>
          </cell>
          <cell r="H53">
            <v>-28.152846213718075</v>
          </cell>
          <cell r="I53">
            <v>-29.091042396017848</v>
          </cell>
          <cell r="J53">
            <v>-30.333029392475936</v>
          </cell>
          <cell r="K53">
            <v>-30.211159120627901</v>
          </cell>
          <cell r="L53">
            <v>-28.871331029606438</v>
          </cell>
          <cell r="M53">
            <v>-29.247310122001167</v>
          </cell>
          <cell r="N53">
            <v>-29.787673695504981</v>
          </cell>
          <cell r="O53">
            <v>-29.660537457364615</v>
          </cell>
          <cell r="P53">
            <v>-30.364802519601756</v>
          </cell>
          <cell r="Q53">
            <v>-29.650093453340645</v>
          </cell>
          <cell r="R53">
            <v>-28.887359259879688</v>
          </cell>
          <cell r="S53">
            <v>-28.329991074869412</v>
          </cell>
          <cell r="T53">
            <v>-30.543273025684552</v>
          </cell>
          <cell r="U53">
            <v>-30.613769601040477</v>
          </cell>
          <cell r="V53">
            <v>-29.594531884178252</v>
          </cell>
          <cell r="W53">
            <v>-27.852577081788052</v>
          </cell>
          <cell r="X53">
            <v>-28.18535440208548</v>
          </cell>
          <cell r="Y53">
            <v>-28.157447299300149</v>
          </cell>
        </row>
        <row r="54">
          <cell r="C54" t="str">
            <v>Flete y Seguro</v>
          </cell>
          <cell r="D54" t="str">
            <v>USc/lb</v>
          </cell>
          <cell r="E54">
            <v>-5.2292147082092217</v>
          </cell>
          <cell r="F54">
            <v>-5.3096641652585941</v>
          </cell>
          <cell r="G54">
            <v>-5.3096641652585941</v>
          </cell>
          <cell r="H54">
            <v>-5.3096641652585941</v>
          </cell>
          <cell r="I54">
            <v>-5.3096641652585941</v>
          </cell>
          <cell r="J54">
            <v>-5.4095324567681606</v>
          </cell>
          <cell r="K54">
            <v>-5.4095324567681606</v>
          </cell>
          <cell r="L54">
            <v>-5.4095324567681606</v>
          </cell>
          <cell r="M54">
            <v>-5.4095324567681606</v>
          </cell>
          <cell r="N54">
            <v>-5.4095324567681606</v>
          </cell>
          <cell r="O54">
            <v>-5.4095324567681606</v>
          </cell>
          <cell r="P54">
            <v>-5.4095324567681606</v>
          </cell>
          <cell r="Q54">
            <v>-5.4095324567681606</v>
          </cell>
          <cell r="R54">
            <v>-5.4436619990821544</v>
          </cell>
          <cell r="S54">
            <v>-5.4436619990821544</v>
          </cell>
          <cell r="T54">
            <v>-5.4436619990821544</v>
          </cell>
          <cell r="U54">
            <v>-5.4436619990821544</v>
          </cell>
          <cell r="V54">
            <v>-5.4436619990821544</v>
          </cell>
          <cell r="W54">
            <v>-5.4436619990821544</v>
          </cell>
          <cell r="X54">
            <v>-5.4436619990821544</v>
          </cell>
          <cell r="Y54">
            <v>-5.4436619990821544</v>
          </cell>
        </row>
        <row r="55">
          <cell r="C55" t="str">
            <v>Comisiones de Venta</v>
          </cell>
          <cell r="D55" t="str">
            <v>USc/lb</v>
          </cell>
          <cell r="E55">
            <v>-8.2472186255185445E-2</v>
          </cell>
          <cell r="F55">
            <v>-8.3740989120649825E-2</v>
          </cell>
          <cell r="G55">
            <v>-8.3740989120649825E-2</v>
          </cell>
          <cell r="H55">
            <v>-8.3740989120649825E-2</v>
          </cell>
          <cell r="I55">
            <v>-8.3740989120649825E-2</v>
          </cell>
          <cell r="J55">
            <v>-8.5316054746743558E-2</v>
          </cell>
          <cell r="K55">
            <v>-8.5316054746743558E-2</v>
          </cell>
          <cell r="L55">
            <v>-8.5316054746743558E-2</v>
          </cell>
          <cell r="M55">
            <v>-8.5316054746743558E-2</v>
          </cell>
          <cell r="N55">
            <v>-8.5316054746743558E-2</v>
          </cell>
          <cell r="O55">
            <v>-8.5316054746743558E-2</v>
          </cell>
          <cell r="P55">
            <v>-8.5316054746743558E-2</v>
          </cell>
          <cell r="Q55">
            <v>-8.5316054746743558E-2</v>
          </cell>
          <cell r="R55">
            <v>-8.5854326385524274E-2</v>
          </cell>
          <cell r="S55">
            <v>-8.5854326385524274E-2</v>
          </cell>
          <cell r="T55">
            <v>-8.5854326385524274E-2</v>
          </cell>
          <cell r="U55">
            <v>-8.5854326385524274E-2</v>
          </cell>
          <cell r="V55">
            <v>-8.5854326385524274E-2</v>
          </cell>
          <cell r="W55">
            <v>-8.5854326385524274E-2</v>
          </cell>
          <cell r="X55">
            <v>-8.5854326385524274E-2</v>
          </cell>
          <cell r="Y55">
            <v>-8.5854326385524274E-2</v>
          </cell>
        </row>
        <row r="56">
          <cell r="C56" t="str">
            <v>Muestreo/Análisis</v>
          </cell>
          <cell r="D56" t="str">
            <v>USc/lb</v>
          </cell>
          <cell r="E56">
            <v>-2.7490728751728481E-2</v>
          </cell>
          <cell r="F56">
            <v>-2.7913663040216613E-2</v>
          </cell>
          <cell r="G56">
            <v>-2.7913663040216613E-2</v>
          </cell>
          <cell r="H56">
            <v>-2.7913663040216613E-2</v>
          </cell>
          <cell r="I56">
            <v>-2.7913663040216613E-2</v>
          </cell>
          <cell r="J56">
            <v>-2.843868491558119E-2</v>
          </cell>
          <cell r="K56">
            <v>-2.843868491558119E-2</v>
          </cell>
          <cell r="L56">
            <v>-2.843868491558119E-2</v>
          </cell>
          <cell r="M56">
            <v>-2.843868491558119E-2</v>
          </cell>
          <cell r="N56">
            <v>-2.843868491558119E-2</v>
          </cell>
          <cell r="O56">
            <v>-2.843868491558119E-2</v>
          </cell>
          <cell r="P56">
            <v>-2.843868491558119E-2</v>
          </cell>
          <cell r="Q56">
            <v>-2.843868491558119E-2</v>
          </cell>
          <cell r="R56">
            <v>-2.8618108795174763E-2</v>
          </cell>
          <cell r="S56">
            <v>-2.8618108795174763E-2</v>
          </cell>
          <cell r="T56">
            <v>-2.8618108795174763E-2</v>
          </cell>
          <cell r="U56">
            <v>-2.8618108795174763E-2</v>
          </cell>
          <cell r="V56">
            <v>-2.8618108795174763E-2</v>
          </cell>
          <cell r="W56">
            <v>-2.8618108795174763E-2</v>
          </cell>
          <cell r="X56">
            <v>-2.8618108795174763E-2</v>
          </cell>
          <cell r="Y56">
            <v>-2.8618108795174763E-2</v>
          </cell>
        </row>
        <row r="57">
          <cell r="C57" t="str">
            <v>Costo Financiero</v>
          </cell>
        </row>
        <row r="58">
          <cell r="C58">
            <v>83</v>
          </cell>
          <cell r="D58" t="str">
            <v>USc/lb</v>
          </cell>
          <cell r="E58">
            <v>-0.41763526915596155</v>
          </cell>
          <cell r="F58">
            <v>-0.42275829840638668</v>
          </cell>
          <cell r="G58">
            <v>-0.41340217354035341</v>
          </cell>
          <cell r="H58">
            <v>-0.42115519039155563</v>
          </cell>
          <cell r="I58">
            <v>-0.41463993912558506</v>
          </cell>
          <cell r="J58">
            <v>-0.40638691992300929</v>
          </cell>
          <cell r="K58">
            <v>-0.40723324125528737</v>
          </cell>
          <cell r="L58">
            <v>-0.41653760299849196</v>
          </cell>
          <cell r="M58">
            <v>-0.41392663707908411</v>
          </cell>
          <cell r="N58">
            <v>-0.41017411226308542</v>
          </cell>
          <cell r="O58">
            <v>-0.41105700280572682</v>
          </cell>
          <cell r="P58">
            <v>-0.40616627320685783</v>
          </cell>
          <cell r="Q58">
            <v>-0.41112953061144886</v>
          </cell>
          <cell r="R58">
            <v>-0.41655338775852879</v>
          </cell>
          <cell r="S58">
            <v>-0.42042400015443349</v>
          </cell>
          <cell r="T58">
            <v>-0.40505398660710606</v>
          </cell>
          <cell r="U58">
            <v>-0.40456442705602325</v>
          </cell>
          <cell r="V58">
            <v>-0.41164246675645538</v>
          </cell>
          <cell r="W58">
            <v>-0.42373937510638732</v>
          </cell>
          <cell r="X58">
            <v>-0.42142842149321075</v>
          </cell>
          <cell r="Y58">
            <v>-0.42162222081810885</v>
          </cell>
        </row>
        <row r="59">
          <cell r="C59">
            <v>98</v>
          </cell>
          <cell r="D59" t="str">
            <v>USc/lb</v>
          </cell>
          <cell r="E59">
            <v>-0.50506638110859436</v>
          </cell>
          <cell r="F59">
            <v>-0.51006899156854724</v>
          </cell>
          <cell r="G59">
            <v>-0.50071286670251403</v>
          </cell>
          <cell r="H59">
            <v>-0.50846588355371625</v>
          </cell>
          <cell r="I59">
            <v>-0.50195063228774561</v>
          </cell>
          <cell r="J59">
            <v>-0.49354812769010081</v>
          </cell>
          <cell r="K59">
            <v>-0.49439444902237872</v>
          </cell>
          <cell r="L59">
            <v>-0.50369881076558343</v>
          </cell>
          <cell r="M59">
            <v>-0.50108784484617552</v>
          </cell>
          <cell r="N59">
            <v>-0.49733532003017678</v>
          </cell>
          <cell r="O59">
            <v>-0.49821821057281823</v>
          </cell>
          <cell r="P59">
            <v>-0.49332748097394918</v>
          </cell>
          <cell r="Q59">
            <v>-0.49829073837854032</v>
          </cell>
          <cell r="R59">
            <v>-0.50366350955990247</v>
          </cell>
          <cell r="S59">
            <v>-0.50753412195580727</v>
          </cell>
          <cell r="T59">
            <v>-0.49216410840847991</v>
          </cell>
          <cell r="U59">
            <v>-0.49167454885739703</v>
          </cell>
          <cell r="V59">
            <v>-0.49875258855782922</v>
          </cell>
          <cell r="W59">
            <v>-0.51084949690776116</v>
          </cell>
          <cell r="X59">
            <v>-0.50853854329458448</v>
          </cell>
          <cell r="Y59">
            <v>-0.50873234261948264</v>
          </cell>
        </row>
        <row r="60">
          <cell r="C60">
            <v>113</v>
          </cell>
          <cell r="D60" t="str">
            <v>USc/lb</v>
          </cell>
          <cell r="E60">
            <v>-0.58599600295682042</v>
          </cell>
          <cell r="F60">
            <v>-0.5908194537528999</v>
          </cell>
          <cell r="G60">
            <v>-0.58146332888686658</v>
          </cell>
          <cell r="H60">
            <v>-0.58921634573806891</v>
          </cell>
          <cell r="I60">
            <v>-0.58270109447209817</v>
          </cell>
          <cell r="J60">
            <v>-0.57407618477447264</v>
          </cell>
          <cell r="K60">
            <v>-0.57492250610675066</v>
          </cell>
          <cell r="L60">
            <v>-0.58422686784995526</v>
          </cell>
          <cell r="M60">
            <v>-0.58161590193054746</v>
          </cell>
          <cell r="N60">
            <v>-0.57786337711454872</v>
          </cell>
          <cell r="O60">
            <v>-0.57874626765719017</v>
          </cell>
          <cell r="P60">
            <v>-0.57385553805832112</v>
          </cell>
          <cell r="Q60">
            <v>-0.57881879546291215</v>
          </cell>
          <cell r="R60">
            <v>-0.58411556069527992</v>
          </cell>
          <cell r="S60">
            <v>-0.58798617309118462</v>
          </cell>
          <cell r="T60">
            <v>-0.57261615954385725</v>
          </cell>
          <cell r="U60">
            <v>-0.57212659999277449</v>
          </cell>
          <cell r="V60">
            <v>-0.57920463969320657</v>
          </cell>
          <cell r="W60">
            <v>-0.5913015480431385</v>
          </cell>
          <cell r="X60">
            <v>-0.58899059442996193</v>
          </cell>
          <cell r="Y60">
            <v>-0.58918439375486009</v>
          </cell>
        </row>
        <row r="61">
          <cell r="C61" t="str">
            <v>Desc.Total Base FOB Antof.</v>
          </cell>
        </row>
        <row r="62">
          <cell r="C62">
            <v>83</v>
          </cell>
          <cell r="D62" t="str">
            <v>USc/lb</v>
          </cell>
          <cell r="E62">
            <v>-28.617334133913637</v>
          </cell>
          <cell r="F62">
            <v>-27.966882145306158</v>
          </cell>
          <cell r="G62">
            <v>-29.30480800114892</v>
          </cell>
          <cell r="H62">
            <v>-28.196126591426992</v>
          </cell>
          <cell r="I62">
            <v>-29.127807522460799</v>
          </cell>
          <cell r="J62">
            <v>-30.409957647440152</v>
          </cell>
          <cell r="K62">
            <v>-30.288933696924396</v>
          </cell>
          <cell r="L62">
            <v>-28.958409967646137</v>
          </cell>
          <cell r="M62">
            <v>-29.331778094121457</v>
          </cell>
          <cell r="N62">
            <v>-29.868389142809274</v>
          </cell>
          <cell r="O62">
            <v>-29.742135795211549</v>
          </cell>
          <cell r="P62">
            <v>-30.441510127849821</v>
          </cell>
          <cell r="Q62">
            <v>-29.731764318993299</v>
          </cell>
          <cell r="R62">
            <v>-28.990999984793245</v>
          </cell>
          <cell r="S62">
            <v>-28.437502412178866</v>
          </cell>
          <cell r="T62">
            <v>-30.635414349446684</v>
          </cell>
          <cell r="U62">
            <v>-30.705421365251524</v>
          </cell>
          <cell r="V62">
            <v>-29.693261688089727</v>
          </cell>
          <cell r="W62">
            <v>-27.963403794049462</v>
          </cell>
          <cell r="X62">
            <v>-28.293870160733718</v>
          </cell>
          <cell r="Y62">
            <v>-28.26615685727328</v>
          </cell>
        </row>
        <row r="63">
          <cell r="C63">
            <v>98</v>
          </cell>
          <cell r="D63" t="str">
            <v>USc/lb</v>
          </cell>
          <cell r="E63">
            <v>-31.114685124687135</v>
          </cell>
          <cell r="F63">
            <v>-30.481453023117201</v>
          </cell>
          <cell r="G63">
            <v>-31.819378878959959</v>
          </cell>
          <cell r="H63">
            <v>-30.710697469238031</v>
          </cell>
          <cell r="I63">
            <v>-31.642378400271838</v>
          </cell>
          <cell r="J63">
            <v>-32.945904936746075</v>
          </cell>
          <cell r="K63">
            <v>-32.824880986230312</v>
          </cell>
          <cell r="L63">
            <v>-31.49435725695206</v>
          </cell>
          <cell r="M63">
            <v>-31.867725383427381</v>
          </cell>
          <cell r="N63">
            <v>-32.404336432115194</v>
          </cell>
          <cell r="O63">
            <v>-32.278083084517469</v>
          </cell>
          <cell r="P63">
            <v>-32.977457417155733</v>
          </cell>
          <cell r="Q63">
            <v>-32.267711608299223</v>
          </cell>
          <cell r="R63">
            <v>-31.534252567196784</v>
          </cell>
          <cell r="S63">
            <v>-30.980754994582412</v>
          </cell>
          <cell r="T63">
            <v>-33.178666931850223</v>
          </cell>
          <cell r="U63">
            <v>-33.248673947655064</v>
          </cell>
          <cell r="V63">
            <v>-32.236514270493274</v>
          </cell>
          <cell r="W63">
            <v>-30.506656376453009</v>
          </cell>
          <cell r="X63">
            <v>-30.837122743137257</v>
          </cell>
          <cell r="Y63">
            <v>-30.809409439676827</v>
          </cell>
        </row>
        <row r="64">
          <cell r="C64">
            <v>113</v>
          </cell>
          <cell r="D64" t="str">
            <v>USc/lb</v>
          </cell>
          <cell r="E64">
            <v>-34.541749200390804</v>
          </cell>
          <cell r="F64">
            <v>-33.934136930754768</v>
          </cell>
          <cell r="G64">
            <v>-35.27206278659753</v>
          </cell>
          <cell r="H64">
            <v>-34.163381376875599</v>
          </cell>
          <cell r="I64">
            <v>-35.095062307909409</v>
          </cell>
          <cell r="J64">
            <v>-36.430392773680886</v>
          </cell>
          <cell r="K64">
            <v>-36.30936882316513</v>
          </cell>
          <cell r="L64">
            <v>-34.978845093886875</v>
          </cell>
          <cell r="M64">
            <v>-35.352213220362195</v>
          </cell>
          <cell r="N64">
            <v>-35.888824269050005</v>
          </cell>
          <cell r="O64">
            <v>-35.76257092145228</v>
          </cell>
          <cell r="P64">
            <v>-36.461945254090551</v>
          </cell>
          <cell r="Q64">
            <v>-35.752199445234041</v>
          </cell>
          <cell r="R64">
            <v>-35.029609254837816</v>
          </cell>
          <cell r="S64">
            <v>-34.47611168222344</v>
          </cell>
          <cell r="T64">
            <v>-36.674023619491258</v>
          </cell>
          <cell r="U64">
            <v>-36.744030635296099</v>
          </cell>
          <cell r="V64">
            <v>-35.731870958134309</v>
          </cell>
          <cell r="W64">
            <v>-34.002013064094044</v>
          </cell>
          <cell r="X64">
            <v>-34.332479430778285</v>
          </cell>
          <cell r="Y64">
            <v>-34.304766127317862</v>
          </cell>
        </row>
        <row r="65">
          <cell r="C65" t="str">
            <v>Crédito 50% Flete MJP</v>
          </cell>
          <cell r="D65" t="str">
            <v>USc/lb</v>
          </cell>
          <cell r="E65">
            <v>-2.6146073541046109</v>
          </cell>
          <cell r="F65">
            <v>-2.654832082629297</v>
          </cell>
          <cell r="G65">
            <v>-2.654832082629297</v>
          </cell>
          <cell r="H65">
            <v>-2.654832082629297</v>
          </cell>
          <cell r="I65">
            <v>-2.654832082629297</v>
          </cell>
          <cell r="J65">
            <v>-2.7047662283840803</v>
          </cell>
          <cell r="K65">
            <v>-2.7047662283840803</v>
          </cell>
          <cell r="L65">
            <v>-2.7047662283840803</v>
          </cell>
          <cell r="M65">
            <v>-2.7047662283840803</v>
          </cell>
          <cell r="N65">
            <v>-2.7047662283840803</v>
          </cell>
          <cell r="O65">
            <v>-2.7047662283840803</v>
          </cell>
          <cell r="P65">
            <v>-2.7047662283840803</v>
          </cell>
          <cell r="Q65">
            <v>-2.7047662283840803</v>
          </cell>
          <cell r="R65">
            <v>-2.7218309995410772</v>
          </cell>
          <cell r="S65">
            <v>-2.7218309995410772</v>
          </cell>
          <cell r="T65">
            <v>-2.7218309995410772</v>
          </cell>
          <cell r="U65">
            <v>-2.7218309995410772</v>
          </cell>
          <cell r="V65">
            <v>-2.7218309995410772</v>
          </cell>
          <cell r="W65">
            <v>-2.7218309995410772</v>
          </cell>
          <cell r="X65">
            <v>-2.7218309995410772</v>
          </cell>
          <cell r="Y65">
            <v>-2.7218309995410772</v>
          </cell>
        </row>
        <row r="66">
          <cell r="C66" t="str">
            <v>Desc.Base FOB Potrerillos (AJUSTADO)</v>
          </cell>
        </row>
        <row r="67">
          <cell r="C67">
            <v>83</v>
          </cell>
          <cell r="D67" t="str">
            <v>USc/lb</v>
          </cell>
          <cell r="E67">
            <v>-28.617334133913637</v>
          </cell>
          <cell r="F67">
            <v>-27.966882145306158</v>
          </cell>
          <cell r="G67">
            <v>-29.30480800114892</v>
          </cell>
          <cell r="H67">
            <v>-28.196126591426992</v>
          </cell>
          <cell r="I67">
            <v>-29.127807522460799</v>
          </cell>
          <cell r="J67">
            <v>-30.409957647440152</v>
          </cell>
          <cell r="K67">
            <v>-30.288933696924396</v>
          </cell>
          <cell r="L67">
            <v>-28.958409967646137</v>
          </cell>
          <cell r="M67">
            <v>-29.331778094121457</v>
          </cell>
          <cell r="N67">
            <v>-29.868389142809274</v>
          </cell>
          <cell r="O67">
            <v>-29.742135795211549</v>
          </cell>
          <cell r="P67">
            <v>-30.441510127849821</v>
          </cell>
          <cell r="Q67">
            <v>-29.731764318993299</v>
          </cell>
          <cell r="R67">
            <v>-28.990999984793245</v>
          </cell>
          <cell r="S67">
            <v>-28.437502412178866</v>
          </cell>
          <cell r="T67">
            <v>-30.635414349446684</v>
          </cell>
          <cell r="U67">
            <v>-30.705421365251524</v>
          </cell>
          <cell r="V67">
            <v>-29.693261688089727</v>
          </cell>
          <cell r="W67">
            <v>-27.963403794049462</v>
          </cell>
          <cell r="X67">
            <v>-28.293870160733718</v>
          </cell>
          <cell r="Y67">
            <v>-28.26615685727328</v>
          </cell>
        </row>
        <row r="68">
          <cell r="C68">
            <v>98</v>
          </cell>
          <cell r="D68" t="str">
            <v>USc/lb</v>
          </cell>
          <cell r="E68">
            <v>-31.114685124687135</v>
          </cell>
          <cell r="F68">
            <v>-30.481453023117201</v>
          </cell>
          <cell r="G68">
            <v>-31.819378878959959</v>
          </cell>
          <cell r="H68">
            <v>-30.710697469238031</v>
          </cell>
          <cell r="I68">
            <v>-31.642378400271838</v>
          </cell>
          <cell r="J68">
            <v>-32.945904936746075</v>
          </cell>
          <cell r="K68">
            <v>-32.824880986230312</v>
          </cell>
          <cell r="L68">
            <v>-31.49435725695206</v>
          </cell>
          <cell r="M68">
            <v>-31.867725383427381</v>
          </cell>
          <cell r="N68">
            <v>-32.404336432115194</v>
          </cell>
          <cell r="O68">
            <v>-32.278083084517469</v>
          </cell>
          <cell r="P68">
            <v>-32.977457417155733</v>
          </cell>
          <cell r="Q68">
            <v>-32.267711608299223</v>
          </cell>
          <cell r="R68">
            <v>-31.534252567196784</v>
          </cell>
          <cell r="S68">
            <v>-30.980754994582412</v>
          </cell>
          <cell r="T68">
            <v>-33.178666931850223</v>
          </cell>
          <cell r="U68">
            <v>-33.248673947655064</v>
          </cell>
          <cell r="V68">
            <v>-32.236514270493274</v>
          </cell>
          <cell r="W68">
            <v>-30.506656376453009</v>
          </cell>
          <cell r="X68">
            <v>-30.837122743137257</v>
          </cell>
          <cell r="Y68">
            <v>-30.809409439676827</v>
          </cell>
        </row>
        <row r="69">
          <cell r="C69">
            <v>113</v>
          </cell>
          <cell r="D69" t="str">
            <v>USc/lb</v>
          </cell>
          <cell r="E69">
            <v>-34.541749200390804</v>
          </cell>
          <cell r="F69">
            <v>-33.934136930754768</v>
          </cell>
          <cell r="G69">
            <v>-35.27206278659753</v>
          </cell>
          <cell r="H69">
            <v>-34.163381376875599</v>
          </cell>
          <cell r="I69">
            <v>-35.095062307909409</v>
          </cell>
          <cell r="J69">
            <v>-36.430392773680886</v>
          </cell>
          <cell r="K69">
            <v>-36.30936882316513</v>
          </cell>
          <cell r="L69">
            <v>-34.978845093886875</v>
          </cell>
          <cell r="M69">
            <v>-35.352213220362195</v>
          </cell>
          <cell r="N69">
            <v>-35.888824269050005</v>
          </cell>
          <cell r="O69">
            <v>-35.76257092145228</v>
          </cell>
          <cell r="P69">
            <v>-36.461945254090551</v>
          </cell>
          <cell r="Q69">
            <v>-35.752199445234041</v>
          </cell>
          <cell r="R69">
            <v>-35.029609254837816</v>
          </cell>
          <cell r="S69">
            <v>-34.47611168222344</v>
          </cell>
          <cell r="T69">
            <v>-36.674023619491258</v>
          </cell>
          <cell r="U69">
            <v>-36.744030635296099</v>
          </cell>
          <cell r="V69">
            <v>-35.731870958134309</v>
          </cell>
          <cell r="W69">
            <v>-34.002013064094044</v>
          </cell>
          <cell r="X69">
            <v>-34.332479430778285</v>
          </cell>
          <cell r="Y69">
            <v>-34.304766127317862</v>
          </cell>
        </row>
        <row r="70">
          <cell r="C70" t="str">
            <v>Desc.Base FOB Antof. (AJUSTADO)</v>
          </cell>
        </row>
        <row r="71">
          <cell r="C71">
            <v>83</v>
          </cell>
          <cell r="D71" t="str">
            <v>USc/lb</v>
          </cell>
          <cell r="E71">
            <v>-26.002726779809027</v>
          </cell>
          <cell r="F71">
            <v>-25.352274791201548</v>
          </cell>
          <cell r="G71">
            <v>-26.690200647044311</v>
          </cell>
          <cell r="H71">
            <v>-25.581519237322382</v>
          </cell>
          <cell r="I71">
            <v>-26.513200168356189</v>
          </cell>
          <cell r="J71">
            <v>-27.795350293335542</v>
          </cell>
          <cell r="K71">
            <v>-27.674326342819786</v>
          </cell>
          <cell r="L71">
            <v>-26.343802613541527</v>
          </cell>
          <cell r="M71">
            <v>-26.717170740016847</v>
          </cell>
          <cell r="N71">
            <v>-27.253781788704664</v>
          </cell>
          <cell r="O71">
            <v>-27.127528441106939</v>
          </cell>
          <cell r="P71">
            <v>-27.826902773745211</v>
          </cell>
          <cell r="Q71">
            <v>-27.117156964888689</v>
          </cell>
          <cell r="R71">
            <v>-26.376392630688635</v>
          </cell>
          <cell r="S71">
            <v>-25.822895058074256</v>
          </cell>
          <cell r="T71">
            <v>-28.020806995342074</v>
          </cell>
          <cell r="U71">
            <v>-28.090814011146914</v>
          </cell>
          <cell r="V71">
            <v>-27.078654333985117</v>
          </cell>
          <cell r="W71">
            <v>-25.348796439944852</v>
          </cell>
          <cell r="X71">
            <v>-25.679262806629108</v>
          </cell>
          <cell r="Y71">
            <v>-25.65154950316867</v>
          </cell>
        </row>
        <row r="72">
          <cell r="C72">
            <v>98</v>
          </cell>
          <cell r="D72" t="str">
            <v>USc/lb</v>
          </cell>
          <cell r="E72">
            <v>-28.500077770582525</v>
          </cell>
          <cell r="F72">
            <v>-27.826620940487903</v>
          </cell>
          <cell r="G72">
            <v>-29.164546796330661</v>
          </cell>
          <cell r="H72">
            <v>-28.055865386608733</v>
          </cell>
          <cell r="I72">
            <v>-28.98754631764254</v>
          </cell>
          <cell r="J72">
            <v>-30.241138708361994</v>
          </cell>
          <cell r="K72">
            <v>-30.120114757846231</v>
          </cell>
          <cell r="L72">
            <v>-28.78959102856798</v>
          </cell>
          <cell r="M72">
            <v>-29.1629591550433</v>
          </cell>
          <cell r="N72">
            <v>-29.699570203731113</v>
          </cell>
          <cell r="O72">
            <v>-29.573316856133388</v>
          </cell>
          <cell r="P72">
            <v>-30.272691188771653</v>
          </cell>
          <cell r="Q72">
            <v>-29.562945379915142</v>
          </cell>
          <cell r="R72">
            <v>-28.812421567655708</v>
          </cell>
          <cell r="S72">
            <v>-28.258923995041336</v>
          </cell>
          <cell r="T72">
            <v>-30.456835932309147</v>
          </cell>
          <cell r="U72">
            <v>-30.526842948113988</v>
          </cell>
          <cell r="V72">
            <v>-29.514683270952197</v>
          </cell>
          <cell r="W72">
            <v>-27.784825376911932</v>
          </cell>
          <cell r="X72">
            <v>-28.115291743596181</v>
          </cell>
          <cell r="Y72">
            <v>-28.087578440135751</v>
          </cell>
        </row>
        <row r="73">
          <cell r="C73">
            <v>113</v>
          </cell>
          <cell r="D73" t="str">
            <v>USc/lb</v>
          </cell>
          <cell r="E73">
            <v>-31.927141846286194</v>
          </cell>
          <cell r="F73">
            <v>-31.319529576650158</v>
          </cell>
          <cell r="G73">
            <v>-32.657455432492917</v>
          </cell>
          <cell r="H73">
            <v>-31.548774022770989</v>
          </cell>
          <cell r="I73">
            <v>-32.480454953804795</v>
          </cell>
          <cell r="J73">
            <v>-33.815785419576272</v>
          </cell>
          <cell r="K73">
            <v>-33.694761469060516</v>
          </cell>
          <cell r="L73">
            <v>-32.364237739782261</v>
          </cell>
          <cell r="M73">
            <v>-32.737605866257582</v>
          </cell>
          <cell r="N73">
            <v>-33.274216914945391</v>
          </cell>
          <cell r="O73">
            <v>-33.147963567347666</v>
          </cell>
          <cell r="P73">
            <v>-33.847337899985938</v>
          </cell>
          <cell r="Q73">
            <v>-33.137592091129427</v>
          </cell>
          <cell r="R73">
            <v>-32.415001900733202</v>
          </cell>
          <cell r="S73">
            <v>-31.86150432811883</v>
          </cell>
          <cell r="T73">
            <v>-34.059416265386645</v>
          </cell>
          <cell r="U73">
            <v>-34.129423281191485</v>
          </cell>
          <cell r="V73">
            <v>-33.117263604029695</v>
          </cell>
          <cell r="W73">
            <v>-31.387405709989434</v>
          </cell>
          <cell r="X73">
            <v>-31.717872076673675</v>
          </cell>
          <cell r="Y73">
            <v>-31.690158773213252</v>
          </cell>
        </row>
        <row r="74">
          <cell r="C74" t="str">
            <v>Precios de Venta</v>
          </cell>
        </row>
        <row r="75">
          <cell r="C75" t="str">
            <v xml:space="preserve"> Base FOT Terceros. (Excedentes)</v>
          </cell>
        </row>
        <row r="76">
          <cell r="C76">
            <v>1829.818</v>
          </cell>
          <cell r="D76" t="str">
            <v>US$/tm</v>
          </cell>
          <cell r="E76">
            <v>1198.9000000000001</v>
          </cell>
          <cell r="F76">
            <v>1213.3</v>
          </cell>
          <cell r="G76">
            <v>1183.8</v>
          </cell>
          <cell r="H76">
            <v>1208.2</v>
          </cell>
          <cell r="I76">
            <v>1187.7</v>
          </cell>
          <cell r="J76">
            <v>1159.4000000000001</v>
          </cell>
          <cell r="K76">
            <v>1162.0999999999999</v>
          </cell>
          <cell r="L76">
            <v>1191.4000000000001</v>
          </cell>
          <cell r="M76">
            <v>1183.2</v>
          </cell>
          <cell r="N76">
            <v>1171.3</v>
          </cell>
          <cell r="O76">
            <v>1174.0999999999999</v>
          </cell>
          <cell r="P76">
            <v>1158.7</v>
          </cell>
          <cell r="Q76">
            <v>1174.4000000000001</v>
          </cell>
          <cell r="R76">
            <v>1190.7</v>
          </cell>
          <cell r="S76">
            <v>1202.9000000000001</v>
          </cell>
          <cell r="T76">
            <v>1154.4000000000001</v>
          </cell>
          <cell r="U76">
            <v>1152.9000000000001</v>
          </cell>
          <cell r="V76">
            <v>1175.2</v>
          </cell>
          <cell r="W76">
            <v>1213.3</v>
          </cell>
          <cell r="X76">
            <v>1206.0999999999999</v>
          </cell>
          <cell r="Y76">
            <v>1206.7</v>
          </cell>
        </row>
        <row r="77">
          <cell r="C77">
            <v>2160.5079999999998</v>
          </cell>
          <cell r="D77" t="str">
            <v>US$/tm</v>
          </cell>
          <cell r="E77">
            <v>1474.6</v>
          </cell>
          <cell r="F77">
            <v>1488.5</v>
          </cell>
          <cell r="G77">
            <v>1459</v>
          </cell>
          <cell r="H77">
            <v>1483.5</v>
          </cell>
          <cell r="I77">
            <v>1462.9</v>
          </cell>
          <cell r="J77">
            <v>1434.2</v>
          </cell>
          <cell r="K77">
            <v>1436.9</v>
          </cell>
          <cell r="L77">
            <v>1466.2</v>
          </cell>
          <cell r="M77">
            <v>1458</v>
          </cell>
          <cell r="N77">
            <v>1446.1</v>
          </cell>
          <cell r="O77">
            <v>1448.9</v>
          </cell>
          <cell r="P77">
            <v>1433.5</v>
          </cell>
          <cell r="Q77">
            <v>1449.1</v>
          </cell>
          <cell r="R77">
            <v>1465.3</v>
          </cell>
          <cell r="S77">
            <v>1477.5</v>
          </cell>
          <cell r="T77">
            <v>1429.1</v>
          </cell>
          <cell r="U77">
            <v>1427.5</v>
          </cell>
          <cell r="V77">
            <v>1449.8</v>
          </cell>
          <cell r="W77">
            <v>1488</v>
          </cell>
          <cell r="X77">
            <v>1480.7</v>
          </cell>
          <cell r="Y77">
            <v>1481.3</v>
          </cell>
        </row>
        <row r="78">
          <cell r="C78">
            <v>2491.1979999999999</v>
          </cell>
          <cell r="D78" t="str">
            <v>US$/tm</v>
          </cell>
          <cell r="E78">
            <v>1729.7</v>
          </cell>
          <cell r="F78">
            <v>1743.1</v>
          </cell>
          <cell r="G78">
            <v>1713.6</v>
          </cell>
          <cell r="H78">
            <v>1738</v>
          </cell>
          <cell r="I78">
            <v>1717.5</v>
          </cell>
          <cell r="J78">
            <v>1688.1</v>
          </cell>
          <cell r="K78">
            <v>1690.7</v>
          </cell>
          <cell r="L78">
            <v>1720.1</v>
          </cell>
          <cell r="M78">
            <v>1711.8</v>
          </cell>
          <cell r="N78">
            <v>1700</v>
          </cell>
          <cell r="O78">
            <v>1702.8</v>
          </cell>
          <cell r="P78">
            <v>1687.4</v>
          </cell>
          <cell r="Q78">
            <v>1703</v>
          </cell>
          <cell r="R78">
            <v>1718.9</v>
          </cell>
          <cell r="S78">
            <v>1731.1</v>
          </cell>
          <cell r="T78">
            <v>1682.7</v>
          </cell>
          <cell r="U78">
            <v>1681.1</v>
          </cell>
          <cell r="V78">
            <v>1703.5</v>
          </cell>
          <cell r="W78">
            <v>1741.6</v>
          </cell>
          <cell r="X78">
            <v>1734.3</v>
          </cell>
          <cell r="Y78">
            <v>1734.9</v>
          </cell>
        </row>
        <row r="79">
          <cell r="C79" t="str">
            <v>Base FOB Antof. (Fundición)</v>
          </cell>
          <cell r="E79" t="str">
            <v>(No incluye Credito por Ahorro Flete Chuqui - Atfgta, solo comparte 50% Flete MJP)</v>
          </cell>
        </row>
        <row r="80">
          <cell r="C80">
            <v>1829.8345999999999</v>
          </cell>
          <cell r="D80" t="str">
            <v>US$/tm</v>
          </cell>
          <cell r="E80">
            <v>1256.5999999999999</v>
          </cell>
          <cell r="F80">
            <v>1270.9000000000001</v>
          </cell>
          <cell r="G80">
            <v>1241.4000000000001</v>
          </cell>
          <cell r="H80">
            <v>1265.9000000000001</v>
          </cell>
          <cell r="I80">
            <v>1245.3</v>
          </cell>
          <cell r="J80">
            <v>1217.0999999999999</v>
          </cell>
          <cell r="K80">
            <v>1219.7</v>
          </cell>
          <cell r="L80">
            <v>1249.0999999999999</v>
          </cell>
          <cell r="M80">
            <v>1240.8</v>
          </cell>
          <cell r="N80">
            <v>1229</v>
          </cell>
          <cell r="O80">
            <v>1231.8</v>
          </cell>
          <cell r="P80">
            <v>1216.4000000000001</v>
          </cell>
          <cell r="Q80">
            <v>1232</v>
          </cell>
          <cell r="R80">
            <v>1248.3</v>
          </cell>
          <cell r="S80">
            <v>1260.5</v>
          </cell>
          <cell r="T80">
            <v>1212.0999999999999</v>
          </cell>
          <cell r="U80">
            <v>1210.5</v>
          </cell>
          <cell r="V80">
            <v>1232.9000000000001</v>
          </cell>
          <cell r="W80">
            <v>1271</v>
          </cell>
          <cell r="X80">
            <v>1263.7</v>
          </cell>
          <cell r="Y80">
            <v>1264.3</v>
          </cell>
        </row>
        <row r="81">
          <cell r="C81">
            <v>2160.5275999999999</v>
          </cell>
          <cell r="D81" t="str">
            <v>US$/tm</v>
          </cell>
          <cell r="E81">
            <v>1532.2</v>
          </cell>
          <cell r="F81">
            <v>1547.1</v>
          </cell>
          <cell r="G81">
            <v>1517.6</v>
          </cell>
          <cell r="H81">
            <v>1542</v>
          </cell>
          <cell r="I81">
            <v>1521.5</v>
          </cell>
          <cell r="J81">
            <v>1493.8</v>
          </cell>
          <cell r="K81">
            <v>1496.5</v>
          </cell>
          <cell r="L81">
            <v>1525.8</v>
          </cell>
          <cell r="M81">
            <v>1517.6</v>
          </cell>
          <cell r="N81">
            <v>1505.8</v>
          </cell>
          <cell r="O81">
            <v>1508.5</v>
          </cell>
          <cell r="P81">
            <v>1493.1</v>
          </cell>
          <cell r="Q81">
            <v>1508.8</v>
          </cell>
          <cell r="R81">
            <v>1525.3</v>
          </cell>
          <cell r="S81">
            <v>1537.5</v>
          </cell>
          <cell r="T81">
            <v>1489.1</v>
          </cell>
          <cell r="U81">
            <v>1487.5</v>
          </cell>
          <cell r="V81">
            <v>1509.8</v>
          </cell>
          <cell r="W81">
            <v>1548</v>
          </cell>
          <cell r="X81">
            <v>1540.7</v>
          </cell>
          <cell r="Y81">
            <v>1541.3</v>
          </cell>
        </row>
        <row r="82">
          <cell r="C82">
            <v>2491.2206000000001</v>
          </cell>
          <cell r="D82" t="str">
            <v>US$/tm</v>
          </cell>
          <cell r="E82">
            <v>1787.3</v>
          </cell>
          <cell r="F82">
            <v>1800.7</v>
          </cell>
          <cell r="G82">
            <v>1771.2</v>
          </cell>
          <cell r="H82">
            <v>1795.7</v>
          </cell>
          <cell r="I82">
            <v>1775.1</v>
          </cell>
          <cell r="J82">
            <v>1745.7</v>
          </cell>
          <cell r="K82">
            <v>1748.4</v>
          </cell>
          <cell r="L82">
            <v>1777.7</v>
          </cell>
          <cell r="M82">
            <v>1769.5</v>
          </cell>
          <cell r="N82">
            <v>1757.7</v>
          </cell>
          <cell r="O82">
            <v>1760.4</v>
          </cell>
          <cell r="P82">
            <v>1745</v>
          </cell>
          <cell r="Q82">
            <v>1760.7</v>
          </cell>
          <cell r="R82">
            <v>1776.6</v>
          </cell>
          <cell r="S82">
            <v>1788.8</v>
          </cell>
          <cell r="T82">
            <v>1740.3</v>
          </cell>
          <cell r="U82">
            <v>1738.8</v>
          </cell>
          <cell r="V82">
            <v>1761.1</v>
          </cell>
          <cell r="W82">
            <v>1799.2</v>
          </cell>
          <cell r="X82">
            <v>1792</v>
          </cell>
          <cell r="Y82">
            <v>1792.6</v>
          </cell>
        </row>
      </sheetData>
      <sheetData sheetId="2" refreshError="1">
        <row r="2">
          <cell r="C2" t="str">
            <v>TABLA  Nº  14b</v>
          </cell>
        </row>
        <row r="5">
          <cell r="C5" t="str">
            <v>PRECIO  MOLIBDENO</v>
          </cell>
        </row>
        <row r="6">
          <cell r="C6" t="str">
            <v>CASO BASE VIGENTE 2002</v>
          </cell>
        </row>
        <row r="7">
          <cell r="C7" t="str">
            <v>NEGOCIO   MINA - CONCENTRADORA</v>
          </cell>
        </row>
        <row r="9">
          <cell r="F9">
            <v>2002</v>
          </cell>
          <cell r="G9">
            <v>2003</v>
          </cell>
          <cell r="H9">
            <v>2004</v>
          </cell>
          <cell r="I9">
            <v>2005</v>
          </cell>
          <cell r="J9">
            <v>2006</v>
          </cell>
          <cell r="K9">
            <v>2007</v>
          </cell>
          <cell r="L9">
            <v>2008</v>
          </cell>
          <cell r="M9">
            <v>2009</v>
          </cell>
          <cell r="N9">
            <v>2010</v>
          </cell>
          <cell r="O9">
            <v>2011</v>
          </cell>
          <cell r="P9">
            <v>2012</v>
          </cell>
          <cell r="Q9">
            <v>2013</v>
          </cell>
          <cell r="R9">
            <v>2014</v>
          </cell>
          <cell r="S9">
            <v>2015</v>
          </cell>
          <cell r="T9">
            <v>2016</v>
          </cell>
          <cell r="U9">
            <v>2017</v>
          </cell>
          <cell r="V9">
            <v>2018</v>
          </cell>
          <cell r="W9">
            <v>2019</v>
          </cell>
          <cell r="X9">
            <v>2020</v>
          </cell>
          <cell r="Y9">
            <v>2021</v>
          </cell>
          <cell r="Z9">
            <v>2022</v>
          </cell>
        </row>
        <row r="10">
          <cell r="C10" t="str">
            <v>TRANSFERENCIA  ESCORIA DESDE FUNDICION</v>
          </cell>
        </row>
        <row r="12">
          <cell r="E12" t="str">
            <v>t</v>
          </cell>
          <cell r="F12">
            <v>354113</v>
          </cell>
        </row>
        <row r="13">
          <cell r="C13" t="str">
            <v>Precio Base Escoria</v>
          </cell>
          <cell r="E13" t="str">
            <v>US$/t.esc</v>
          </cell>
          <cell r="F13">
            <v>45.5</v>
          </cell>
        </row>
        <row r="14">
          <cell r="C14" t="str">
            <v>Ley de Cu en Escoria</v>
          </cell>
          <cell r="E14" t="str">
            <v>%</v>
          </cell>
          <cell r="F14">
            <v>4.33</v>
          </cell>
        </row>
        <row r="15">
          <cell r="D15">
            <v>83</v>
          </cell>
          <cell r="E15" t="str">
            <v>kUS$/año</v>
          </cell>
          <cell r="F15">
            <v>11581.085067370002</v>
          </cell>
        </row>
        <row r="16">
          <cell r="D16">
            <v>98</v>
          </cell>
          <cell r="E16" t="str">
            <v>kUS$/año</v>
          </cell>
          <cell r="F16">
            <v>13674.052248220003</v>
          </cell>
        </row>
        <row r="17">
          <cell r="C17" t="str">
            <v>Precio Transferencia Escoria</v>
          </cell>
          <cell r="D17">
            <v>113</v>
          </cell>
          <cell r="E17" t="str">
            <v>kUS$/año</v>
          </cell>
          <cell r="F17">
            <v>15767.019429070004</v>
          </cell>
        </row>
        <row r="18">
          <cell r="C18">
            <v>83</v>
          </cell>
          <cell r="E18" t="str">
            <v>US$/t.esc</v>
          </cell>
          <cell r="F18">
            <v>32.704490000000007</v>
          </cell>
        </row>
        <row r="19">
          <cell r="C19">
            <v>98</v>
          </cell>
          <cell r="E19" t="str">
            <v>US$/t.esc</v>
          </cell>
          <cell r="F19">
            <v>38.614940000000004</v>
          </cell>
        </row>
        <row r="20">
          <cell r="C20">
            <v>113</v>
          </cell>
          <cell r="E20" t="str">
            <v>US$/t.esc</v>
          </cell>
          <cell r="F20">
            <v>44.525390000000009</v>
          </cell>
        </row>
        <row r="23">
          <cell r="F23">
            <v>2002</v>
          </cell>
          <cell r="G23">
            <v>2003</v>
          </cell>
          <cell r="H23">
            <v>2004</v>
          </cell>
          <cell r="I23">
            <v>2005</v>
          </cell>
          <cell r="J23">
            <v>2006</v>
          </cell>
          <cell r="K23">
            <v>2007</v>
          </cell>
          <cell r="L23">
            <v>2008</v>
          </cell>
          <cell r="M23">
            <v>2009</v>
          </cell>
          <cell r="N23">
            <v>2010</v>
          </cell>
          <cell r="O23">
            <v>2011</v>
          </cell>
          <cell r="P23">
            <v>2012</v>
          </cell>
          <cell r="Q23">
            <v>2013</v>
          </cell>
          <cell r="R23">
            <v>2014</v>
          </cell>
          <cell r="S23">
            <v>2015</v>
          </cell>
          <cell r="T23">
            <v>2016</v>
          </cell>
          <cell r="U23">
            <v>2017</v>
          </cell>
          <cell r="V23">
            <v>2018</v>
          </cell>
          <cell r="W23">
            <v>2019</v>
          </cell>
          <cell r="X23">
            <v>2020</v>
          </cell>
          <cell r="Y23">
            <v>2021</v>
          </cell>
          <cell r="Z23">
            <v>2022</v>
          </cell>
        </row>
        <row r="24">
          <cell r="C24" t="str">
            <v>VENTA DE MOLIBDENO</v>
          </cell>
        </row>
        <row r="25">
          <cell r="C25" t="str">
            <v>Precio Base Mo</v>
          </cell>
          <cell r="E25" t="str">
            <v>US$/Kgf</v>
          </cell>
          <cell r="F25">
            <v>6.6</v>
          </cell>
          <cell r="G25">
            <v>6.6</v>
          </cell>
          <cell r="H25">
            <v>6.6</v>
          </cell>
          <cell r="I25">
            <v>6.6</v>
          </cell>
          <cell r="J25">
            <v>6.6</v>
          </cell>
          <cell r="K25">
            <v>6.6</v>
          </cell>
          <cell r="L25">
            <v>6.6</v>
          </cell>
          <cell r="M25">
            <v>6.6</v>
          </cell>
          <cell r="N25">
            <v>6.6</v>
          </cell>
          <cell r="O25">
            <v>6.6</v>
          </cell>
          <cell r="P25">
            <v>6.6</v>
          </cell>
          <cell r="Q25">
            <v>6.6</v>
          </cell>
          <cell r="R25">
            <v>6.6</v>
          </cell>
          <cell r="S25">
            <v>6.6</v>
          </cell>
          <cell r="T25">
            <v>6.6</v>
          </cell>
          <cell r="U25">
            <v>6.6</v>
          </cell>
          <cell r="V25">
            <v>6.6</v>
          </cell>
          <cell r="W25">
            <v>6.6</v>
          </cell>
          <cell r="X25">
            <v>6.6</v>
          </cell>
          <cell r="Y25">
            <v>6.6</v>
          </cell>
          <cell r="Z25">
            <v>6.6</v>
          </cell>
        </row>
        <row r="27">
          <cell r="C27" t="str">
            <v>Sulfuro de Molibdeno</v>
          </cell>
          <cell r="E27" t="str">
            <v>tMof/año</v>
          </cell>
          <cell r="F27">
            <v>5442.3397193339233</v>
          </cell>
          <cell r="G27">
            <v>5557</v>
          </cell>
          <cell r="H27">
            <v>7474</v>
          </cell>
          <cell r="I27">
            <v>7492</v>
          </cell>
          <cell r="J27">
            <v>1920</v>
          </cell>
          <cell r="K27">
            <v>6773</v>
          </cell>
          <cell r="L27">
            <v>6367</v>
          </cell>
          <cell r="M27">
            <v>6757</v>
          </cell>
          <cell r="N27">
            <v>5416</v>
          </cell>
          <cell r="O27">
            <v>5828</v>
          </cell>
          <cell r="P27">
            <v>5367</v>
          </cell>
          <cell r="Q27">
            <v>5826</v>
          </cell>
          <cell r="R27">
            <v>5419</v>
          </cell>
          <cell r="S27">
            <v>2803</v>
          </cell>
          <cell r="T27">
            <v>2409</v>
          </cell>
          <cell r="U27">
            <v>2810</v>
          </cell>
          <cell r="V27">
            <v>2390</v>
          </cell>
          <cell r="W27">
            <v>2810</v>
          </cell>
          <cell r="X27">
            <v>0</v>
          </cell>
          <cell r="Y27">
            <v>0</v>
          </cell>
          <cell r="Z27">
            <v>0</v>
          </cell>
        </row>
        <row r="29">
          <cell r="C29" t="str">
            <v>Decuento para Fob OXMO-Drums ex Moly CCC (Cu&gt;0,5%)</v>
          </cell>
        </row>
        <row r="30">
          <cell r="C30" t="str">
            <v>Descuento Maquila Tostación y Lixiviación</v>
          </cell>
        </row>
        <row r="31">
          <cell r="C31" t="str">
            <v>Deducción Metalurgica</v>
          </cell>
          <cell r="E31" t="str">
            <v>US$/Kgf</v>
          </cell>
          <cell r="F31">
            <v>0.14849999999999999</v>
          </cell>
          <cell r="G31">
            <v>0.14849999999999999</v>
          </cell>
          <cell r="H31">
            <v>0.14849999999999999</v>
          </cell>
          <cell r="I31">
            <v>0.14849999999999999</v>
          </cell>
          <cell r="J31">
            <v>0.14849999999999999</v>
          </cell>
          <cell r="K31">
            <v>0.14849999999999999</v>
          </cell>
          <cell r="L31">
            <v>0.14849999999999999</v>
          </cell>
          <cell r="M31">
            <v>0.14849999999999999</v>
          </cell>
          <cell r="N31">
            <v>0.14849999999999999</v>
          </cell>
          <cell r="O31">
            <v>0.14849999999999999</v>
          </cell>
          <cell r="P31">
            <v>0.14849999999999999</v>
          </cell>
          <cell r="Q31">
            <v>0.14849999999999999</v>
          </cell>
          <cell r="R31">
            <v>0.14849999999999999</v>
          </cell>
          <cell r="S31">
            <v>0.14849999999999999</v>
          </cell>
          <cell r="T31">
            <v>0.14849999999999999</v>
          </cell>
          <cell r="U31">
            <v>0.14849999999999999</v>
          </cell>
          <cell r="V31">
            <v>0.14849999999999999</v>
          </cell>
          <cell r="W31">
            <v>0.14849999999999999</v>
          </cell>
          <cell r="X31">
            <v>0.14849999999999999</v>
          </cell>
          <cell r="Y31">
            <v>0.14849999999999999</v>
          </cell>
          <cell r="Z31">
            <v>0.14849999999999999</v>
          </cell>
        </row>
        <row r="32">
          <cell r="C32" t="str">
            <v>Gasto de Tratamiento (Tost. y Lixiv)</v>
          </cell>
          <cell r="E32" t="str">
            <v>US$/Kgf</v>
          </cell>
          <cell r="F32">
            <v>1.41</v>
          </cell>
          <cell r="G32">
            <v>1.41</v>
          </cell>
          <cell r="H32">
            <v>1.41</v>
          </cell>
          <cell r="I32">
            <v>1.41</v>
          </cell>
          <cell r="J32">
            <v>1.41</v>
          </cell>
          <cell r="K32">
            <v>1.41</v>
          </cell>
          <cell r="L32">
            <v>1.41</v>
          </cell>
          <cell r="M32">
            <v>1.41</v>
          </cell>
          <cell r="N32">
            <v>1.41</v>
          </cell>
          <cell r="O32">
            <v>1.41</v>
          </cell>
          <cell r="P32">
            <v>1.41</v>
          </cell>
          <cell r="Q32">
            <v>1.41</v>
          </cell>
          <cell r="R32">
            <v>1.41</v>
          </cell>
          <cell r="S32">
            <v>1.41</v>
          </cell>
          <cell r="T32">
            <v>1.41</v>
          </cell>
          <cell r="U32">
            <v>1.41</v>
          </cell>
          <cell r="V32">
            <v>1.41</v>
          </cell>
          <cell r="W32">
            <v>1.41</v>
          </cell>
          <cell r="X32">
            <v>1.41</v>
          </cell>
          <cell r="Y32">
            <v>1.41</v>
          </cell>
          <cell r="Z32">
            <v>1.41</v>
          </cell>
        </row>
        <row r="33">
          <cell r="C33" t="str">
            <v>Costo Financiero</v>
          </cell>
          <cell r="D33" t="str">
            <v>45 dias retorno</v>
          </cell>
          <cell r="E33" t="str">
            <v>US$/Kgf</v>
          </cell>
          <cell r="F33">
            <v>3.1509374999999999E-2</v>
          </cell>
          <cell r="G33">
            <v>3.1509374999999999E-2</v>
          </cell>
          <cell r="H33">
            <v>3.1509374999999999E-2</v>
          </cell>
          <cell r="I33">
            <v>3.1509374999999999E-2</v>
          </cell>
          <cell r="J33">
            <v>3.1509374999999999E-2</v>
          </cell>
          <cell r="K33">
            <v>3.1509374999999999E-2</v>
          </cell>
          <cell r="L33">
            <v>3.1509374999999999E-2</v>
          </cell>
          <cell r="M33">
            <v>3.1509374999999999E-2</v>
          </cell>
          <cell r="N33">
            <v>3.1509374999999999E-2</v>
          </cell>
          <cell r="O33">
            <v>3.1509374999999999E-2</v>
          </cell>
          <cell r="P33">
            <v>3.1509374999999999E-2</v>
          </cell>
          <cell r="Q33">
            <v>3.1509374999999999E-2</v>
          </cell>
          <cell r="R33">
            <v>3.1509374999999999E-2</v>
          </cell>
          <cell r="S33">
            <v>3.1509374999999999E-2</v>
          </cell>
          <cell r="T33">
            <v>3.1509374999999999E-2</v>
          </cell>
          <cell r="U33">
            <v>3.1509374999999999E-2</v>
          </cell>
          <cell r="V33">
            <v>3.1509374999999999E-2</v>
          </cell>
          <cell r="W33">
            <v>3.1509374999999999E-2</v>
          </cell>
          <cell r="X33">
            <v>3.1509374999999999E-2</v>
          </cell>
          <cell r="Y33">
            <v>3.1509374999999999E-2</v>
          </cell>
          <cell r="Z33">
            <v>3.1509374999999999E-2</v>
          </cell>
        </row>
        <row r="34">
          <cell r="C34" t="str">
            <v>Fletes Internos (Planta/Maq/Pto)</v>
          </cell>
          <cell r="E34" t="str">
            <v>US$/Kgf</v>
          </cell>
          <cell r="F34">
            <v>6.0000000000000001E-3</v>
          </cell>
          <cell r="G34">
            <v>6.0000000000000001E-3</v>
          </cell>
          <cell r="H34">
            <v>6.0000000000000001E-3</v>
          </cell>
          <cell r="I34">
            <v>6.0000000000000001E-3</v>
          </cell>
          <cell r="J34">
            <v>6.0000000000000001E-3</v>
          </cell>
          <cell r="K34">
            <v>6.0000000000000001E-3</v>
          </cell>
          <cell r="L34">
            <v>6.0000000000000001E-3</v>
          </cell>
          <cell r="M34">
            <v>6.0000000000000001E-3</v>
          </cell>
          <cell r="N34">
            <v>6.0000000000000001E-3</v>
          </cell>
          <cell r="O34">
            <v>6.0000000000000001E-3</v>
          </cell>
          <cell r="P34">
            <v>6.0000000000000001E-3</v>
          </cell>
          <cell r="Q34">
            <v>6.0000000000000001E-3</v>
          </cell>
          <cell r="R34">
            <v>6.0000000000000001E-3</v>
          </cell>
          <cell r="S34">
            <v>6.0000000000000001E-3</v>
          </cell>
          <cell r="T34">
            <v>6.0000000000000001E-3</v>
          </cell>
          <cell r="U34">
            <v>6.0000000000000001E-3</v>
          </cell>
          <cell r="V34">
            <v>6.0000000000000001E-3</v>
          </cell>
          <cell r="W34">
            <v>6.0000000000000001E-3</v>
          </cell>
          <cell r="X34">
            <v>6.0000000000000001E-3</v>
          </cell>
          <cell r="Y34">
            <v>6.0000000000000001E-3</v>
          </cell>
          <cell r="Z34">
            <v>6.0000000000000001E-3</v>
          </cell>
        </row>
        <row r="35">
          <cell r="C35" t="str">
            <v>Descuento Venta Sulfuro Mo</v>
          </cell>
        </row>
        <row r="36">
          <cell r="C36" t="str">
            <v>Paridad FOB</v>
          </cell>
          <cell r="E36" t="str">
            <v>US$/Kgf</v>
          </cell>
          <cell r="F36">
            <v>0.11</v>
          </cell>
          <cell r="G36">
            <v>0.11</v>
          </cell>
          <cell r="H36">
            <v>0.11</v>
          </cell>
          <cell r="I36">
            <v>0.11</v>
          </cell>
          <cell r="J36">
            <v>0.11</v>
          </cell>
          <cell r="K36">
            <v>0.11</v>
          </cell>
          <cell r="L36">
            <v>0.11</v>
          </cell>
          <cell r="M36">
            <v>0.11</v>
          </cell>
          <cell r="N36">
            <v>0.11</v>
          </cell>
          <cell r="O36">
            <v>0.11</v>
          </cell>
          <cell r="P36">
            <v>0.11</v>
          </cell>
          <cell r="Q36">
            <v>0.11</v>
          </cell>
          <cell r="R36">
            <v>0.11</v>
          </cell>
          <cell r="S36">
            <v>0.11</v>
          </cell>
          <cell r="T36">
            <v>0.11</v>
          </cell>
          <cell r="U36">
            <v>0.11</v>
          </cell>
          <cell r="V36">
            <v>0.11</v>
          </cell>
          <cell r="W36">
            <v>0.11</v>
          </cell>
          <cell r="X36">
            <v>0.11</v>
          </cell>
          <cell r="Y36">
            <v>0.11</v>
          </cell>
          <cell r="Z36">
            <v>0.11</v>
          </cell>
        </row>
        <row r="37">
          <cell r="C37" t="str">
            <v>Comisión Venta</v>
          </cell>
          <cell r="E37" t="str">
            <v>US$/Kgf</v>
          </cell>
          <cell r="F37">
            <v>0.11</v>
          </cell>
          <cell r="G37">
            <v>0.11</v>
          </cell>
          <cell r="H37">
            <v>0.11</v>
          </cell>
          <cell r="I37">
            <v>0.11</v>
          </cell>
          <cell r="J37">
            <v>0.11</v>
          </cell>
          <cell r="K37">
            <v>0.11</v>
          </cell>
          <cell r="L37">
            <v>0.11</v>
          </cell>
          <cell r="M37">
            <v>0.11</v>
          </cell>
          <cell r="N37">
            <v>0.11</v>
          </cell>
          <cell r="O37">
            <v>0.11</v>
          </cell>
          <cell r="P37">
            <v>0.11</v>
          </cell>
          <cell r="Q37">
            <v>0.11</v>
          </cell>
          <cell r="R37">
            <v>0.11</v>
          </cell>
          <cell r="S37">
            <v>0.11</v>
          </cell>
          <cell r="T37">
            <v>0.11</v>
          </cell>
          <cell r="U37">
            <v>0.11</v>
          </cell>
          <cell r="V37">
            <v>0.11</v>
          </cell>
          <cell r="W37">
            <v>0.11</v>
          </cell>
          <cell r="X37">
            <v>0.11</v>
          </cell>
          <cell r="Y37">
            <v>0.11</v>
          </cell>
          <cell r="Z37">
            <v>0.11</v>
          </cell>
        </row>
        <row r="38">
          <cell r="C38" t="str">
            <v>Costo Financiero</v>
          </cell>
          <cell r="D38" t="str">
            <v>75 dias pago</v>
          </cell>
          <cell r="E38" t="str">
            <v>US$/Kgf</v>
          </cell>
          <cell r="F38">
            <v>6.6458333333333328E-2</v>
          </cell>
          <cell r="G38">
            <v>6.6458333333333328E-2</v>
          </cell>
          <cell r="H38">
            <v>6.6458333333333328E-2</v>
          </cell>
          <cell r="I38">
            <v>6.6458333333333328E-2</v>
          </cell>
          <cell r="J38">
            <v>6.6458333333333328E-2</v>
          </cell>
          <cell r="K38">
            <v>6.6458333333333328E-2</v>
          </cell>
          <cell r="L38">
            <v>6.6458333333333328E-2</v>
          </cell>
          <cell r="M38">
            <v>6.6458333333333328E-2</v>
          </cell>
          <cell r="N38">
            <v>6.6458333333333328E-2</v>
          </cell>
          <cell r="O38">
            <v>6.6458333333333328E-2</v>
          </cell>
          <cell r="P38">
            <v>6.6458333333333328E-2</v>
          </cell>
          <cell r="Q38">
            <v>6.6458333333333328E-2</v>
          </cell>
          <cell r="R38">
            <v>6.6458333333333328E-2</v>
          </cell>
          <cell r="S38">
            <v>6.6458333333333328E-2</v>
          </cell>
          <cell r="T38">
            <v>6.6458333333333328E-2</v>
          </cell>
          <cell r="U38">
            <v>6.6458333333333328E-2</v>
          </cell>
          <cell r="V38">
            <v>6.6458333333333328E-2</v>
          </cell>
          <cell r="W38">
            <v>6.6458333333333328E-2</v>
          </cell>
          <cell r="X38">
            <v>6.6458333333333328E-2</v>
          </cell>
          <cell r="Y38">
            <v>6.6458333333333328E-2</v>
          </cell>
          <cell r="Z38">
            <v>6.6458333333333328E-2</v>
          </cell>
        </row>
        <row r="39">
          <cell r="C39" t="str">
            <v>Otros gastos de venta</v>
          </cell>
          <cell r="E39" t="str">
            <v>US$/Kgf</v>
          </cell>
          <cell r="F39">
            <v>0.22500000000000001</v>
          </cell>
          <cell r="G39">
            <v>0.22500000000000001</v>
          </cell>
          <cell r="H39">
            <v>0.22500000000000001</v>
          </cell>
          <cell r="I39">
            <v>0.22500000000000001</v>
          </cell>
          <cell r="J39">
            <v>0.22500000000000001</v>
          </cell>
          <cell r="K39">
            <v>0.22500000000000001</v>
          </cell>
          <cell r="L39">
            <v>0.22500000000000001</v>
          </cell>
          <cell r="M39">
            <v>0.22500000000000001</v>
          </cell>
          <cell r="N39">
            <v>0.22500000000000001</v>
          </cell>
          <cell r="O39">
            <v>0.22500000000000001</v>
          </cell>
          <cell r="P39">
            <v>0.22500000000000001</v>
          </cell>
          <cell r="Q39">
            <v>0.22500000000000001</v>
          </cell>
          <cell r="R39">
            <v>0.22500000000000001</v>
          </cell>
          <cell r="S39">
            <v>0.22500000000000001</v>
          </cell>
          <cell r="T39">
            <v>0.22500000000000001</v>
          </cell>
          <cell r="U39">
            <v>0.22500000000000001</v>
          </cell>
          <cell r="V39">
            <v>0.22500000000000001</v>
          </cell>
          <cell r="W39">
            <v>0.22500000000000001</v>
          </cell>
          <cell r="X39">
            <v>0.22500000000000001</v>
          </cell>
          <cell r="Y39">
            <v>0.22500000000000001</v>
          </cell>
          <cell r="Z39">
            <v>0.22500000000000001</v>
          </cell>
        </row>
        <row r="40">
          <cell r="C40" t="str">
            <v>Precio Sulfuro Mo</v>
          </cell>
          <cell r="E40" t="str">
            <v>US$/Kgf</v>
          </cell>
          <cell r="F40">
            <v>4.49</v>
          </cell>
          <cell r="G40">
            <v>4.49</v>
          </cell>
          <cell r="H40">
            <v>4.49</v>
          </cell>
          <cell r="I40">
            <v>4.49</v>
          </cell>
          <cell r="J40">
            <v>4.49</v>
          </cell>
          <cell r="K40">
            <v>4.49</v>
          </cell>
          <cell r="L40">
            <v>4.49</v>
          </cell>
          <cell r="M40">
            <v>4.49</v>
          </cell>
          <cell r="N40">
            <v>4.49</v>
          </cell>
          <cell r="O40">
            <v>4.49</v>
          </cell>
          <cell r="P40">
            <v>4.49</v>
          </cell>
          <cell r="Q40">
            <v>4.49</v>
          </cell>
          <cell r="R40">
            <v>4.49</v>
          </cell>
          <cell r="S40">
            <v>4.49</v>
          </cell>
          <cell r="T40">
            <v>4.49</v>
          </cell>
          <cell r="U40">
            <v>4.49</v>
          </cell>
          <cell r="V40">
            <v>4.49</v>
          </cell>
          <cell r="W40">
            <v>4.49</v>
          </cell>
          <cell r="X40">
            <v>4.49</v>
          </cell>
          <cell r="Y40">
            <v>4.49</v>
          </cell>
          <cell r="Z40">
            <v>4.49</v>
          </cell>
        </row>
        <row r="42">
          <cell r="D42" t="str">
            <v>OXMO</v>
          </cell>
          <cell r="E42" t="str">
            <v>tMof/año</v>
          </cell>
          <cell r="F42">
            <v>9058</v>
          </cell>
          <cell r="G42">
            <v>8910</v>
          </cell>
          <cell r="H42">
            <v>9342</v>
          </cell>
          <cell r="I42">
            <v>8910</v>
          </cell>
          <cell r="J42">
            <v>9315</v>
          </cell>
          <cell r="K42">
            <v>8910</v>
          </cell>
          <cell r="L42">
            <v>9342</v>
          </cell>
          <cell r="M42">
            <v>8910</v>
          </cell>
          <cell r="N42">
            <v>9315</v>
          </cell>
          <cell r="O42">
            <v>8910</v>
          </cell>
          <cell r="P42">
            <v>9342</v>
          </cell>
          <cell r="Q42">
            <v>8910</v>
          </cell>
          <cell r="R42">
            <v>9315</v>
          </cell>
          <cell r="S42">
            <v>8910</v>
          </cell>
          <cell r="T42">
            <v>9342</v>
          </cell>
          <cell r="U42">
            <v>8910</v>
          </cell>
          <cell r="V42">
            <v>9315</v>
          </cell>
          <cell r="W42">
            <v>8910</v>
          </cell>
          <cell r="X42">
            <v>5701.3073221983213</v>
          </cell>
          <cell r="Y42">
            <v>5693.2663060359846</v>
          </cell>
          <cell r="Z42">
            <v>5455.9125093001703</v>
          </cell>
        </row>
        <row r="43">
          <cell r="C43" t="str">
            <v>OXMO</v>
          </cell>
          <cell r="D43" t="str">
            <v>Tambores</v>
          </cell>
          <cell r="E43" t="str">
            <v>tMof/año</v>
          </cell>
          <cell r="F43">
            <v>5434.8</v>
          </cell>
          <cell r="G43">
            <v>5346</v>
          </cell>
          <cell r="H43">
            <v>5605.2</v>
          </cell>
          <cell r="I43">
            <v>5346</v>
          </cell>
          <cell r="J43">
            <v>5589</v>
          </cell>
          <cell r="K43">
            <v>5346</v>
          </cell>
          <cell r="L43">
            <v>5605.2</v>
          </cell>
          <cell r="M43">
            <v>5346</v>
          </cell>
          <cell r="N43">
            <v>5589</v>
          </cell>
          <cell r="O43">
            <v>5346</v>
          </cell>
          <cell r="P43">
            <v>5605.2</v>
          </cell>
          <cell r="Q43">
            <v>5346</v>
          </cell>
          <cell r="R43">
            <v>5589</v>
          </cell>
          <cell r="S43">
            <v>5346</v>
          </cell>
          <cell r="T43">
            <v>5605.2</v>
          </cell>
          <cell r="U43">
            <v>5346</v>
          </cell>
          <cell r="V43">
            <v>5589</v>
          </cell>
          <cell r="W43">
            <v>5346</v>
          </cell>
          <cell r="X43">
            <v>3420.7843933189929</v>
          </cell>
          <cell r="Y43">
            <v>3415.9597836215908</v>
          </cell>
          <cell r="Z43">
            <v>3273.5475055801021</v>
          </cell>
        </row>
        <row r="44">
          <cell r="D44" t="str">
            <v>Briquetas</v>
          </cell>
          <cell r="E44" t="str">
            <v>tMof/año</v>
          </cell>
          <cell r="F44">
            <v>3623.2000000000003</v>
          </cell>
          <cell r="G44">
            <v>3564</v>
          </cell>
          <cell r="H44">
            <v>3736.8</v>
          </cell>
          <cell r="I44">
            <v>3564</v>
          </cell>
          <cell r="J44">
            <v>3726</v>
          </cell>
          <cell r="K44">
            <v>3564</v>
          </cell>
          <cell r="L44">
            <v>3736.8</v>
          </cell>
          <cell r="M44">
            <v>3564</v>
          </cell>
          <cell r="N44">
            <v>3726</v>
          </cell>
          <cell r="O44">
            <v>3564</v>
          </cell>
          <cell r="P44">
            <v>3736.8</v>
          </cell>
          <cell r="Q44">
            <v>3564</v>
          </cell>
          <cell r="R44">
            <v>3726</v>
          </cell>
          <cell r="S44">
            <v>3564</v>
          </cell>
          <cell r="T44">
            <v>3736.8</v>
          </cell>
          <cell r="U44">
            <v>3564</v>
          </cell>
          <cell r="V44">
            <v>3726</v>
          </cell>
          <cell r="W44">
            <v>3564</v>
          </cell>
          <cell r="X44">
            <v>2280.5229288793284</v>
          </cell>
          <cell r="Y44">
            <v>2277.3065224143938</v>
          </cell>
          <cell r="Z44">
            <v>2182.3650037200682</v>
          </cell>
        </row>
        <row r="45">
          <cell r="C45" t="str">
            <v>Descto  Fob OXMO-Drums ex OXMO CCC (Cu&gt;0,5%)</v>
          </cell>
        </row>
        <row r="46">
          <cell r="C46" t="str">
            <v>Descuento Maquila Lixiviación</v>
          </cell>
        </row>
        <row r="47">
          <cell r="C47" t="str">
            <v>Deducción Metalurgica</v>
          </cell>
          <cell r="E47" t="str">
            <v>US$/Kgf</v>
          </cell>
          <cell r="F47">
            <v>8.2500000000000004E-2</v>
          </cell>
          <cell r="G47">
            <v>8.2500000000000004E-2</v>
          </cell>
          <cell r="H47">
            <v>8.2500000000000004E-2</v>
          </cell>
          <cell r="I47">
            <v>8.2500000000000004E-2</v>
          </cell>
          <cell r="J47">
            <v>8.2500000000000004E-2</v>
          </cell>
          <cell r="K47">
            <v>8.2500000000000004E-2</v>
          </cell>
          <cell r="L47">
            <v>8.2500000000000004E-2</v>
          </cell>
          <cell r="M47">
            <v>8.2500000000000004E-2</v>
          </cell>
          <cell r="N47">
            <v>8.2500000000000004E-2</v>
          </cell>
          <cell r="O47">
            <v>8.2500000000000004E-2</v>
          </cell>
          <cell r="P47">
            <v>8.2500000000000004E-2</v>
          </cell>
          <cell r="Q47">
            <v>8.2500000000000004E-2</v>
          </cell>
          <cell r="R47">
            <v>8.2500000000000004E-2</v>
          </cell>
          <cell r="S47">
            <v>8.2500000000000004E-2</v>
          </cell>
          <cell r="T47">
            <v>8.2500000000000004E-2</v>
          </cell>
          <cell r="U47">
            <v>8.2500000000000004E-2</v>
          </cell>
          <cell r="V47">
            <v>8.2500000000000004E-2</v>
          </cell>
          <cell r="W47">
            <v>8.2500000000000004E-2</v>
          </cell>
          <cell r="X47">
            <v>8.2500000000000004E-2</v>
          </cell>
          <cell r="Y47">
            <v>8.2500000000000004E-2</v>
          </cell>
          <cell r="Z47">
            <v>8.2500000000000004E-2</v>
          </cell>
        </row>
        <row r="48">
          <cell r="C48" t="str">
            <v>Gasto de Tratamiento (Lixiviación)</v>
          </cell>
          <cell r="E48" t="str">
            <v>US$/Kgf</v>
          </cell>
          <cell r="F48">
            <v>0.4</v>
          </cell>
          <cell r="G48">
            <v>0.4</v>
          </cell>
          <cell r="H48">
            <v>0.4</v>
          </cell>
          <cell r="I48">
            <v>0.4</v>
          </cell>
          <cell r="J48">
            <v>0.4</v>
          </cell>
          <cell r="K48">
            <v>0.4</v>
          </cell>
          <cell r="L48">
            <v>0.4</v>
          </cell>
          <cell r="M48">
            <v>0.4</v>
          </cell>
          <cell r="N48">
            <v>0.4</v>
          </cell>
          <cell r="O48">
            <v>0.4</v>
          </cell>
          <cell r="P48">
            <v>0.4</v>
          </cell>
          <cell r="Q48">
            <v>0.4</v>
          </cell>
          <cell r="R48">
            <v>0.4</v>
          </cell>
          <cell r="S48">
            <v>0.4</v>
          </cell>
          <cell r="T48">
            <v>0.4</v>
          </cell>
          <cell r="U48">
            <v>0.4</v>
          </cell>
          <cell r="V48">
            <v>0.4</v>
          </cell>
          <cell r="W48">
            <v>0.4</v>
          </cell>
          <cell r="X48">
            <v>0.4</v>
          </cell>
          <cell r="Y48">
            <v>0.4</v>
          </cell>
          <cell r="Z48">
            <v>0.4</v>
          </cell>
        </row>
        <row r="49">
          <cell r="C49" t="str">
            <v>Costo Financiero</v>
          </cell>
          <cell r="E49" t="str">
            <v>US$/Kgf</v>
          </cell>
          <cell r="F49">
            <v>1.6993055555555556E-2</v>
          </cell>
          <cell r="G49">
            <v>1.6993055555555556E-2</v>
          </cell>
          <cell r="H49">
            <v>1.6993055555555556E-2</v>
          </cell>
          <cell r="I49">
            <v>1.6993055555555556E-2</v>
          </cell>
          <cell r="J49">
            <v>1.6993055555555556E-2</v>
          </cell>
          <cell r="K49">
            <v>1.6993055555555556E-2</v>
          </cell>
          <cell r="L49">
            <v>1.6993055555555556E-2</v>
          </cell>
          <cell r="M49">
            <v>1.6993055555555556E-2</v>
          </cell>
          <cell r="N49">
            <v>1.6993055555555556E-2</v>
          </cell>
          <cell r="O49">
            <v>1.6993055555555556E-2</v>
          </cell>
          <cell r="P49">
            <v>1.6993055555555556E-2</v>
          </cell>
          <cell r="Q49">
            <v>1.6993055555555556E-2</v>
          </cell>
          <cell r="R49">
            <v>1.6993055555555556E-2</v>
          </cell>
          <cell r="S49">
            <v>1.6993055555555556E-2</v>
          </cell>
          <cell r="T49">
            <v>1.6993055555555556E-2</v>
          </cell>
          <cell r="U49">
            <v>1.6993055555555556E-2</v>
          </cell>
          <cell r="V49">
            <v>1.6993055555555556E-2</v>
          </cell>
          <cell r="W49">
            <v>1.6993055555555556E-2</v>
          </cell>
          <cell r="X49">
            <v>1.6993055555555556E-2</v>
          </cell>
          <cell r="Y49">
            <v>1.6993055555555556E-2</v>
          </cell>
          <cell r="Z49">
            <v>1.6993055555555556E-2</v>
          </cell>
        </row>
        <row r="50">
          <cell r="C50" t="str">
            <v>Fletes Internos (Planta/Maq/Pto)</v>
          </cell>
          <cell r="E50" t="str">
            <v>US$/Kgf</v>
          </cell>
          <cell r="F50">
            <v>6.0000000000000001E-3</v>
          </cell>
          <cell r="G50">
            <v>6.0000000000000001E-3</v>
          </cell>
          <cell r="H50">
            <v>6.0000000000000001E-3</v>
          </cell>
          <cell r="I50">
            <v>6.0000000000000001E-3</v>
          </cell>
          <cell r="J50">
            <v>6.0000000000000001E-3</v>
          </cell>
          <cell r="K50">
            <v>6.0000000000000001E-3</v>
          </cell>
          <cell r="L50">
            <v>6.0000000000000001E-3</v>
          </cell>
          <cell r="M50">
            <v>6.0000000000000001E-3</v>
          </cell>
          <cell r="N50">
            <v>6.0000000000000001E-3</v>
          </cell>
          <cell r="O50">
            <v>6.0000000000000001E-3</v>
          </cell>
          <cell r="P50">
            <v>6.0000000000000001E-3</v>
          </cell>
          <cell r="Q50">
            <v>6.0000000000000001E-3</v>
          </cell>
          <cell r="R50">
            <v>6.0000000000000001E-3</v>
          </cell>
          <cell r="S50">
            <v>6.0000000000000001E-3</v>
          </cell>
          <cell r="T50">
            <v>6.0000000000000001E-3</v>
          </cell>
          <cell r="U50">
            <v>6.0000000000000001E-3</v>
          </cell>
          <cell r="V50">
            <v>6.0000000000000001E-3</v>
          </cell>
          <cell r="W50">
            <v>6.0000000000000001E-3</v>
          </cell>
          <cell r="X50">
            <v>6.0000000000000001E-3</v>
          </cell>
          <cell r="Y50">
            <v>6.0000000000000001E-3</v>
          </cell>
          <cell r="Z50">
            <v>6.0000000000000001E-3</v>
          </cell>
        </row>
        <row r="51">
          <cell r="C51" t="str">
            <v>Descuento Venta OXMO Drums</v>
          </cell>
        </row>
        <row r="52">
          <cell r="C52" t="str">
            <v>Paridad FOB</v>
          </cell>
          <cell r="E52" t="str">
            <v>US$/Kgf</v>
          </cell>
          <cell r="F52">
            <v>0.11</v>
          </cell>
          <cell r="G52">
            <v>0.11</v>
          </cell>
          <cell r="H52">
            <v>0.11</v>
          </cell>
          <cell r="I52">
            <v>0.11</v>
          </cell>
          <cell r="J52">
            <v>0.11</v>
          </cell>
          <cell r="K52">
            <v>0.11</v>
          </cell>
          <cell r="L52">
            <v>0.11</v>
          </cell>
          <cell r="M52">
            <v>0.11</v>
          </cell>
          <cell r="N52">
            <v>0.11</v>
          </cell>
          <cell r="O52">
            <v>0.11</v>
          </cell>
          <cell r="P52">
            <v>0.11</v>
          </cell>
          <cell r="Q52">
            <v>0.11</v>
          </cell>
          <cell r="R52">
            <v>0.11</v>
          </cell>
          <cell r="S52">
            <v>0.11</v>
          </cell>
          <cell r="T52">
            <v>0.11</v>
          </cell>
          <cell r="U52">
            <v>0.11</v>
          </cell>
          <cell r="V52">
            <v>0.11</v>
          </cell>
          <cell r="W52">
            <v>0.11</v>
          </cell>
          <cell r="X52">
            <v>0.11</v>
          </cell>
          <cell r="Y52">
            <v>0.11</v>
          </cell>
          <cell r="Z52">
            <v>0.11</v>
          </cell>
        </row>
        <row r="53">
          <cell r="C53" t="str">
            <v>Comisión Venta</v>
          </cell>
          <cell r="E53" t="str">
            <v>US$/Kgf</v>
          </cell>
          <cell r="F53">
            <v>0.11</v>
          </cell>
          <cell r="G53">
            <v>0.11</v>
          </cell>
          <cell r="H53">
            <v>0.11</v>
          </cell>
          <cell r="I53">
            <v>0.11</v>
          </cell>
          <cell r="J53">
            <v>0.11</v>
          </cell>
          <cell r="K53">
            <v>0.11</v>
          </cell>
          <cell r="L53">
            <v>0.11</v>
          </cell>
          <cell r="M53">
            <v>0.11</v>
          </cell>
          <cell r="N53">
            <v>0.11</v>
          </cell>
          <cell r="O53">
            <v>0.11</v>
          </cell>
          <cell r="P53">
            <v>0.11</v>
          </cell>
          <cell r="Q53">
            <v>0.11</v>
          </cell>
          <cell r="R53">
            <v>0.11</v>
          </cell>
          <cell r="S53">
            <v>0.11</v>
          </cell>
          <cell r="T53">
            <v>0.11</v>
          </cell>
          <cell r="U53">
            <v>0.11</v>
          </cell>
          <cell r="V53">
            <v>0.11</v>
          </cell>
          <cell r="W53">
            <v>0.11</v>
          </cell>
          <cell r="X53">
            <v>0.11</v>
          </cell>
          <cell r="Y53">
            <v>0.11</v>
          </cell>
          <cell r="Z53">
            <v>0.11</v>
          </cell>
        </row>
        <row r="54">
          <cell r="C54" t="str">
            <v>Costo Financiero</v>
          </cell>
          <cell r="E54" t="str">
            <v>US$/Kgf</v>
          </cell>
          <cell r="F54">
            <v>6.6458333333333328E-2</v>
          </cell>
          <cell r="G54">
            <v>6.6458333333333328E-2</v>
          </cell>
          <cell r="H54">
            <v>6.6458333333333328E-2</v>
          </cell>
          <cell r="I54">
            <v>6.6458333333333328E-2</v>
          </cell>
          <cell r="J54">
            <v>6.6458333333333328E-2</v>
          </cell>
          <cell r="K54">
            <v>6.6458333333333328E-2</v>
          </cell>
          <cell r="L54">
            <v>6.6458333333333328E-2</v>
          </cell>
          <cell r="M54">
            <v>6.6458333333333328E-2</v>
          </cell>
          <cell r="N54">
            <v>6.6458333333333328E-2</v>
          </cell>
          <cell r="O54">
            <v>6.6458333333333328E-2</v>
          </cell>
          <cell r="P54">
            <v>6.6458333333333328E-2</v>
          </cell>
          <cell r="Q54">
            <v>6.6458333333333328E-2</v>
          </cell>
          <cell r="R54">
            <v>6.6458333333333328E-2</v>
          </cell>
          <cell r="S54">
            <v>6.6458333333333328E-2</v>
          </cell>
          <cell r="T54">
            <v>6.6458333333333328E-2</v>
          </cell>
          <cell r="U54">
            <v>6.6458333333333328E-2</v>
          </cell>
          <cell r="V54">
            <v>6.6458333333333328E-2</v>
          </cell>
          <cell r="W54">
            <v>6.6458333333333328E-2</v>
          </cell>
          <cell r="X54">
            <v>6.6458333333333328E-2</v>
          </cell>
          <cell r="Y54">
            <v>6.6458333333333328E-2</v>
          </cell>
          <cell r="Z54">
            <v>6.6458333333333328E-2</v>
          </cell>
        </row>
        <row r="55">
          <cell r="C55" t="str">
            <v>Otros gastos de venta</v>
          </cell>
          <cell r="E55" t="str">
            <v>US$/Kgf</v>
          </cell>
          <cell r="F55">
            <v>0.22500000000000001</v>
          </cell>
          <cell r="G55">
            <v>0.22500000000000001</v>
          </cell>
          <cell r="H55">
            <v>0.22500000000000001</v>
          </cell>
          <cell r="I55">
            <v>0.22500000000000001</v>
          </cell>
          <cell r="J55">
            <v>0.22500000000000001</v>
          </cell>
          <cell r="K55">
            <v>0.22500000000000001</v>
          </cell>
          <cell r="L55">
            <v>0.22500000000000001</v>
          </cell>
          <cell r="M55">
            <v>0.22500000000000001</v>
          </cell>
          <cell r="N55">
            <v>0.22500000000000001</v>
          </cell>
          <cell r="O55">
            <v>0.22500000000000001</v>
          </cell>
          <cell r="P55">
            <v>0.22500000000000001</v>
          </cell>
          <cell r="Q55">
            <v>0.22500000000000001</v>
          </cell>
          <cell r="R55">
            <v>0.22500000000000001</v>
          </cell>
          <cell r="S55">
            <v>0.22500000000000001</v>
          </cell>
          <cell r="T55">
            <v>0.22500000000000001</v>
          </cell>
          <cell r="U55">
            <v>0.22500000000000001</v>
          </cell>
          <cell r="V55">
            <v>0.22500000000000001</v>
          </cell>
          <cell r="W55">
            <v>0.22500000000000001</v>
          </cell>
          <cell r="X55">
            <v>0.22500000000000001</v>
          </cell>
          <cell r="Y55">
            <v>0.22500000000000001</v>
          </cell>
          <cell r="Z55">
            <v>0.22500000000000001</v>
          </cell>
        </row>
        <row r="56">
          <cell r="C56" t="str">
            <v>Precio OXMo DRUMS</v>
          </cell>
          <cell r="E56" t="str">
            <v>US$/Kgf</v>
          </cell>
          <cell r="F56">
            <v>5.58</v>
          </cell>
          <cell r="G56">
            <v>5.58</v>
          </cell>
          <cell r="H56">
            <v>5.58</v>
          </cell>
          <cell r="I56">
            <v>5.58</v>
          </cell>
          <cell r="J56">
            <v>5.58</v>
          </cell>
          <cell r="K56">
            <v>5.58</v>
          </cell>
          <cell r="L56">
            <v>5.58</v>
          </cell>
          <cell r="M56">
            <v>5.58</v>
          </cell>
          <cell r="N56">
            <v>5.58</v>
          </cell>
          <cell r="O56">
            <v>5.58</v>
          </cell>
          <cell r="P56">
            <v>5.58</v>
          </cell>
          <cell r="Q56">
            <v>5.58</v>
          </cell>
          <cell r="R56">
            <v>5.58</v>
          </cell>
          <cell r="S56">
            <v>5.58</v>
          </cell>
          <cell r="T56">
            <v>5.58</v>
          </cell>
          <cell r="U56">
            <v>5.58</v>
          </cell>
          <cell r="V56">
            <v>5.58</v>
          </cell>
          <cell r="W56">
            <v>5.58</v>
          </cell>
          <cell r="X56">
            <v>5.58</v>
          </cell>
          <cell r="Y56">
            <v>5.58</v>
          </cell>
          <cell r="Z56">
            <v>5.58</v>
          </cell>
        </row>
        <row r="57">
          <cell r="C57" t="str">
            <v>Briquetas</v>
          </cell>
        </row>
        <row r="58">
          <cell r="C58" t="str">
            <v>Premio Briquetas/Cans</v>
          </cell>
          <cell r="E58" t="str">
            <v>US$/Kgf</v>
          </cell>
          <cell r="F58">
            <v>0.26455199999999995</v>
          </cell>
          <cell r="G58">
            <v>0.26455199999999995</v>
          </cell>
          <cell r="H58">
            <v>0.26455199999999995</v>
          </cell>
          <cell r="I58">
            <v>0.26455199999999995</v>
          </cell>
          <cell r="J58">
            <v>0.26455199999999995</v>
          </cell>
          <cell r="K58">
            <v>0.26455199999999995</v>
          </cell>
          <cell r="L58">
            <v>0.26455199999999995</v>
          </cell>
          <cell r="M58">
            <v>0.26455199999999995</v>
          </cell>
          <cell r="N58">
            <v>0.26455199999999995</v>
          </cell>
          <cell r="O58">
            <v>0.26455199999999995</v>
          </cell>
          <cell r="P58">
            <v>0.26455199999999995</v>
          </cell>
          <cell r="Q58">
            <v>0.26455199999999995</v>
          </cell>
          <cell r="R58">
            <v>0.26455199999999995</v>
          </cell>
          <cell r="S58">
            <v>0.26455199999999995</v>
          </cell>
          <cell r="T58">
            <v>0.26455199999999995</v>
          </cell>
          <cell r="U58">
            <v>0.26455199999999995</v>
          </cell>
          <cell r="V58">
            <v>0.26455199999999995</v>
          </cell>
          <cell r="W58">
            <v>0.26455199999999995</v>
          </cell>
          <cell r="X58">
            <v>0.26455199999999995</v>
          </cell>
          <cell r="Y58">
            <v>0.26455199999999995</v>
          </cell>
          <cell r="Z58">
            <v>0.26455199999999995</v>
          </cell>
        </row>
        <row r="59">
          <cell r="C59" t="str">
            <v>Maquila Adicional                    Molymet</v>
          </cell>
          <cell r="D59" t="str">
            <v>Briquetear</v>
          </cell>
          <cell r="E59" t="str">
            <v>US$/Kgf</v>
          </cell>
          <cell r="F59">
            <v>0.13227719999999998</v>
          </cell>
          <cell r="G59">
            <v>0.13227719999999998</v>
          </cell>
          <cell r="H59">
            <v>0.13227719999999998</v>
          </cell>
          <cell r="I59">
            <v>0.13227719999999998</v>
          </cell>
          <cell r="J59">
            <v>0.13227719999999998</v>
          </cell>
          <cell r="K59">
            <v>0.13227719999999998</v>
          </cell>
          <cell r="L59">
            <v>0.13227719999999998</v>
          </cell>
          <cell r="M59">
            <v>0.13227719999999998</v>
          </cell>
          <cell r="N59">
            <v>0.13227719999999998</v>
          </cell>
          <cell r="O59">
            <v>0.13227719999999998</v>
          </cell>
          <cell r="P59">
            <v>0.13227719999999998</v>
          </cell>
          <cell r="Q59">
            <v>0.13227719999999998</v>
          </cell>
          <cell r="R59">
            <v>0.13227719999999998</v>
          </cell>
          <cell r="S59">
            <v>0.13227719999999998</v>
          </cell>
          <cell r="T59">
            <v>0.13227719999999998</v>
          </cell>
          <cell r="U59">
            <v>0.13227719999999998</v>
          </cell>
          <cell r="V59">
            <v>0.13227719999999998</v>
          </cell>
          <cell r="W59">
            <v>0.13227719999999998</v>
          </cell>
          <cell r="X59">
            <v>0.13227719999999998</v>
          </cell>
          <cell r="Y59">
            <v>0.13227719999999998</v>
          </cell>
          <cell r="Z59">
            <v>0.13227719999999998</v>
          </cell>
        </row>
        <row r="60">
          <cell r="D60" t="str">
            <v>Cargo Fijo</v>
          </cell>
          <cell r="E60" t="str">
            <v>US$/Kgf</v>
          </cell>
          <cell r="F60">
            <v>3.9743872819606972E-2</v>
          </cell>
          <cell r="G60">
            <v>4.0404040404040407E-2</v>
          </cell>
          <cell r="H60">
            <v>3.8535645472061654E-2</v>
          </cell>
          <cell r="I60">
            <v>4.0404040404040407E-2</v>
          </cell>
          <cell r="J60">
            <v>3.864734299516908E-2</v>
          </cell>
          <cell r="K60">
            <v>4.0404040404040407E-2</v>
          </cell>
          <cell r="L60">
            <v>3.8535645472061654E-2</v>
          </cell>
          <cell r="M60">
            <v>4.0404040404040407E-2</v>
          </cell>
          <cell r="N60">
            <v>3.864734299516908E-2</v>
          </cell>
          <cell r="O60">
            <v>4.0404040404040407E-2</v>
          </cell>
          <cell r="P60">
            <v>3.8535645472061654E-2</v>
          </cell>
          <cell r="Q60">
            <v>4.0404040404040407E-2</v>
          </cell>
          <cell r="R60">
            <v>3.864734299516908E-2</v>
          </cell>
          <cell r="S60">
            <v>4.0404040404040407E-2</v>
          </cell>
          <cell r="T60">
            <v>3.8535645472061654E-2</v>
          </cell>
          <cell r="U60">
            <v>4.0404040404040407E-2</v>
          </cell>
          <cell r="V60">
            <v>3.864734299516908E-2</v>
          </cell>
          <cell r="W60">
            <v>4.0404040404040407E-2</v>
          </cell>
          <cell r="X60">
            <v>6.31434124938893E-2</v>
          </cell>
          <cell r="Y60">
            <v>6.3232594550922214E-2</v>
          </cell>
          <cell r="Z60">
            <v>6.5983462782136348E-2</v>
          </cell>
        </row>
        <row r="61">
          <cell r="C61" t="str">
            <v>Precio OXMo Briquetas</v>
          </cell>
          <cell r="E61" t="str">
            <v>US$/Kgf</v>
          </cell>
          <cell r="F61">
            <v>5.67</v>
          </cell>
          <cell r="G61">
            <v>5.67</v>
          </cell>
          <cell r="H61">
            <v>5.67</v>
          </cell>
          <cell r="I61">
            <v>5.67</v>
          </cell>
          <cell r="J61">
            <v>5.67</v>
          </cell>
          <cell r="K61">
            <v>5.67</v>
          </cell>
          <cell r="L61">
            <v>5.67</v>
          </cell>
          <cell r="M61">
            <v>5.67</v>
          </cell>
          <cell r="N61">
            <v>5.67</v>
          </cell>
          <cell r="O61">
            <v>5.67</v>
          </cell>
          <cell r="P61">
            <v>5.67</v>
          </cell>
          <cell r="Q61">
            <v>5.67</v>
          </cell>
          <cell r="R61">
            <v>5.67</v>
          </cell>
          <cell r="S61">
            <v>5.67</v>
          </cell>
          <cell r="T61">
            <v>5.67</v>
          </cell>
          <cell r="U61">
            <v>5.67</v>
          </cell>
          <cell r="V61">
            <v>5.67</v>
          </cell>
          <cell r="W61">
            <v>5.67</v>
          </cell>
          <cell r="X61">
            <v>5.65</v>
          </cell>
          <cell r="Y61">
            <v>5.65</v>
          </cell>
          <cell r="Z61">
            <v>5.65</v>
          </cell>
        </row>
        <row r="63">
          <cell r="C63" t="str">
            <v>Precio OxMo PºMº Ponderado</v>
          </cell>
          <cell r="E63" t="str">
            <v>US$/Kgf</v>
          </cell>
          <cell r="F63">
            <v>5.6160000000000005</v>
          </cell>
          <cell r="G63">
            <v>5.6159999999999997</v>
          </cell>
          <cell r="H63">
            <v>5.6159999999999997</v>
          </cell>
          <cell r="I63">
            <v>5.6159999999999997</v>
          </cell>
          <cell r="J63">
            <v>5.6159999999999997</v>
          </cell>
          <cell r="K63">
            <v>5.6159999999999997</v>
          </cell>
          <cell r="L63">
            <v>5.6159999999999997</v>
          </cell>
          <cell r="M63">
            <v>5.6159999999999997</v>
          </cell>
          <cell r="N63">
            <v>5.6159999999999997</v>
          </cell>
          <cell r="O63">
            <v>5.6159999999999997</v>
          </cell>
          <cell r="P63">
            <v>5.6159999999999997</v>
          </cell>
          <cell r="Q63">
            <v>5.6159999999999997</v>
          </cell>
          <cell r="R63">
            <v>5.6159999999999997</v>
          </cell>
          <cell r="S63">
            <v>5.6159999999999997</v>
          </cell>
          <cell r="T63">
            <v>5.6159999999999997</v>
          </cell>
          <cell r="U63">
            <v>5.6159999999999997</v>
          </cell>
          <cell r="V63">
            <v>5.6159999999999997</v>
          </cell>
          <cell r="W63">
            <v>5.6159999999999997</v>
          </cell>
          <cell r="X63">
            <v>5.6080000000000005</v>
          </cell>
          <cell r="Y63">
            <v>5.6080000000000005</v>
          </cell>
          <cell r="Z63">
            <v>5.6080000000000005</v>
          </cell>
        </row>
      </sheetData>
      <sheetData sheetId="3"/>
      <sheetData sheetId="4"/>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14a"/>
      <sheetName val="Tabla 14b"/>
    </sheetNames>
    <sheetDataSet>
      <sheetData sheetId="0" refreshError="1"/>
      <sheetData sheetId="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Portada"/>
      <sheetName val="Cuestionario"/>
      <sheetName val="Niveles 1"/>
      <sheetName val="RESUMEN PLAN"/>
      <sheetName val="AGOSTO"/>
      <sheetName val="SEPTIEMBRE"/>
      <sheetName val="OCTUBRE"/>
      <sheetName val="NOVIEMBRE"/>
      <sheetName val="Copia de Check list Elemento N "/>
      <sheetName val="\SERVING CONSULTORES REINALDO V"/>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Niveles1" displayName="tblNiveles1" ref="B10:E21" totalsRowShown="0" headerRowDxfId="50" dataDxfId="48" totalsRowDxfId="46" headerRowBorderDxfId="49" tableBorderDxfId="47" totalsRowBorderDxfId="45">
  <tableColumns count="4">
    <tableColumn id="1" xr3:uid="{00000000-0010-0000-0000-000001000000}" name="PUNTO RESSO" dataDxfId="44"/>
    <tableColumn id="2" xr3:uid="{00000000-0010-0000-0000-000002000000}" name="DESCRIPCIÓN DEL HALLAZGO" dataDxfId="43"/>
    <tableColumn id="3" xr3:uid="{00000000-0010-0000-0000-000003000000}" name="EVIDENCIA HALLAZGO (ANTES) " dataDxfId="42"/>
    <tableColumn id="4" xr3:uid="{00000000-0010-0000-0000-000004000000}" name="CALIFICACIÓN DEL HALLAZGO " dataDxfId="4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blNiveles15" displayName="tblNiveles15" ref="B25:E36" totalsRowShown="0" headerRowDxfId="40" dataDxfId="38" totalsRowDxfId="36" headerRowBorderDxfId="39" tableBorderDxfId="37" totalsRowBorderDxfId="35">
  <tableColumns count="4">
    <tableColumn id="1" xr3:uid="{00000000-0010-0000-0100-000001000000}" name="PUNTO RESSO" dataDxfId="34"/>
    <tableColumn id="2" xr3:uid="{00000000-0010-0000-0100-000002000000}" name="DESCRIPCIÓN DEL HALLAZGO" dataDxfId="33"/>
    <tableColumn id="3" xr3:uid="{00000000-0010-0000-0100-000003000000}" name="EVIDENCIA HALLAZGO (ANTES) " dataDxfId="32"/>
    <tableColumn id="4" xr3:uid="{00000000-0010-0000-0100-000004000000}" name="CALIFICACIÓN DEL HALLAZGO "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Niveles14" displayName="tblNiveles14" ref="B8:E29" totalsRowShown="0" headerRowDxfId="30" dataDxfId="28" totalsRowDxfId="26" headerRowBorderDxfId="29" tableBorderDxfId="27" totalsRowBorderDxfId="25">
  <tableColumns count="4">
    <tableColumn id="1" xr3:uid="{00000000-0010-0000-0200-000001000000}" name="N°" dataDxfId="24"/>
    <tableColumn id="2" xr3:uid="{00000000-0010-0000-0200-000002000000}" name="DESCRIPCIÓN DEL HALLAZGO" dataDxfId="23"/>
    <tableColumn id="3" xr3:uid="{00000000-0010-0000-0200-000003000000}" name="EVIDENCIA HALLAZGO (ANTES) " dataDxfId="22"/>
    <tableColumn id="4" xr3:uid="{00000000-0010-0000-0200-000004000000}" name="CALIFICACIÓN DEL HALLAZGO " dataDxfId="2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42DC-0EBA-49D4-AC88-F0D6EA0D8047}">
  <sheetPr>
    <tabColor theme="9" tint="-0.499984740745262"/>
  </sheetPr>
  <dimension ref="A1:V255"/>
  <sheetViews>
    <sheetView view="pageBreakPreview" topLeftCell="B1" zoomScaleNormal="100" zoomScaleSheetLayoutView="100" workbookViewId="0">
      <selection activeCell="D8" sqref="D8:I8"/>
    </sheetView>
  </sheetViews>
  <sheetFormatPr baseColWidth="10" defaultColWidth="11.44140625" defaultRowHeight="13.2" x14ac:dyDescent="0.25"/>
  <cols>
    <col min="1" max="1" width="2.6640625" style="1" hidden="1" customWidth="1"/>
    <col min="2" max="2" width="4.6640625" style="1" customWidth="1"/>
    <col min="3" max="3" width="44.33203125" style="1" customWidth="1"/>
    <col min="4" max="4" width="8" style="1" customWidth="1"/>
    <col min="5" max="5" width="9.33203125" style="1" customWidth="1"/>
    <col min="6" max="6" width="29.44140625" style="1" customWidth="1"/>
    <col min="7" max="8" width="6.44140625" style="1" customWidth="1"/>
    <col min="9" max="9" width="26.6640625" style="1" customWidth="1"/>
    <col min="10" max="10" width="2.6640625" style="1" customWidth="1"/>
    <col min="11" max="11" width="11.44140625" style="1"/>
    <col min="12" max="12" width="11.44140625" style="73"/>
    <col min="13" max="13" width="59.21875" style="108" hidden="1" customWidth="1"/>
    <col min="14" max="14" width="11.44140625" style="73"/>
    <col min="15" max="15" width="6.21875" style="73" customWidth="1"/>
    <col min="16" max="16" width="7.109375" style="30" hidden="1" customWidth="1"/>
    <col min="17" max="18" width="11.44140625" style="30" hidden="1" customWidth="1"/>
    <col min="19" max="21" width="0" style="30" hidden="1" customWidth="1"/>
    <col min="22" max="16384" width="11.44140625" style="1"/>
  </cols>
  <sheetData>
    <row r="1" spans="1:10" ht="24" customHeight="1" x14ac:dyDescent="0.35">
      <c r="A1" s="29"/>
      <c r="B1" s="29"/>
      <c r="C1" s="29"/>
      <c r="D1" s="29"/>
      <c r="E1" s="29"/>
      <c r="F1" s="29"/>
      <c r="G1" s="29"/>
      <c r="H1" s="29"/>
      <c r="I1" s="107" t="s">
        <v>390</v>
      </c>
      <c r="J1" s="29"/>
    </row>
    <row r="2" spans="1:10" ht="24" customHeight="1" x14ac:dyDescent="0.25">
      <c r="A2" s="29"/>
      <c r="B2" s="29"/>
      <c r="C2" s="29"/>
      <c r="D2" s="29"/>
      <c r="E2" s="29"/>
      <c r="F2" s="29"/>
      <c r="G2" s="29"/>
      <c r="H2" s="29"/>
      <c r="I2" s="77" t="s">
        <v>293</v>
      </c>
      <c r="J2" s="29"/>
    </row>
    <row r="3" spans="1:10" ht="14.25" customHeight="1" x14ac:dyDescent="0.25">
      <c r="A3" s="29"/>
      <c r="B3" s="127" t="s">
        <v>243</v>
      </c>
      <c r="C3" s="127"/>
      <c r="D3" s="127"/>
      <c r="E3" s="127"/>
      <c r="F3" s="127"/>
      <c r="G3" s="127"/>
      <c r="H3" s="127"/>
      <c r="I3" s="127"/>
      <c r="J3" s="29"/>
    </row>
    <row r="4" spans="1:10" ht="14.25" customHeight="1" x14ac:dyDescent="0.25">
      <c r="A4" s="29"/>
      <c r="B4" s="127"/>
      <c r="C4" s="127"/>
      <c r="D4" s="127"/>
      <c r="E4" s="127"/>
      <c r="F4" s="127"/>
      <c r="G4" s="127"/>
      <c r="H4" s="127"/>
      <c r="I4" s="127"/>
      <c r="J4" s="29"/>
    </row>
    <row r="5" spans="1:10" ht="13.95" customHeight="1" x14ac:dyDescent="0.25">
      <c r="A5" s="29"/>
      <c r="B5" s="78"/>
      <c r="C5" s="78"/>
      <c r="D5" s="78"/>
      <c r="E5" s="78"/>
      <c r="F5" s="78"/>
      <c r="G5" s="78"/>
      <c r="H5" s="78"/>
      <c r="I5" s="78"/>
      <c r="J5" s="29"/>
    </row>
    <row r="6" spans="1:10" ht="19.95" customHeight="1" x14ac:dyDescent="0.25">
      <c r="A6" s="29"/>
      <c r="B6" s="128" t="s">
        <v>0</v>
      </c>
      <c r="C6" s="128"/>
      <c r="D6" s="126" t="s">
        <v>1</v>
      </c>
      <c r="E6" s="126"/>
      <c r="F6" s="126"/>
      <c r="G6" s="126"/>
      <c r="H6" s="126"/>
      <c r="I6" s="126"/>
      <c r="J6" s="29"/>
    </row>
    <row r="7" spans="1:10" ht="19.95" customHeight="1" x14ac:dyDescent="0.25">
      <c r="A7" s="29"/>
      <c r="B7" s="128" t="s">
        <v>2</v>
      </c>
      <c r="C7" s="128"/>
      <c r="D7" s="126" t="s">
        <v>285</v>
      </c>
      <c r="E7" s="126"/>
      <c r="F7" s="126"/>
      <c r="G7" s="126"/>
      <c r="H7" s="126"/>
      <c r="I7" s="126"/>
      <c r="J7" s="29"/>
    </row>
    <row r="8" spans="1:10" ht="19.95" customHeight="1" x14ac:dyDescent="0.25">
      <c r="A8" s="29"/>
      <c r="B8" s="128" t="s">
        <v>3</v>
      </c>
      <c r="C8" s="128"/>
      <c r="D8" s="126" t="s">
        <v>285</v>
      </c>
      <c r="E8" s="126"/>
      <c r="F8" s="126"/>
      <c r="G8" s="126"/>
      <c r="H8" s="126"/>
      <c r="I8" s="126"/>
      <c r="J8" s="29"/>
    </row>
    <row r="9" spans="1:10" ht="19.95" customHeight="1" x14ac:dyDescent="0.25">
      <c r="A9" s="29"/>
      <c r="B9" s="128" t="s">
        <v>4</v>
      </c>
      <c r="C9" s="128"/>
      <c r="D9" s="126" t="s">
        <v>352</v>
      </c>
      <c r="E9" s="126"/>
      <c r="F9" s="126"/>
      <c r="G9" s="126"/>
      <c r="H9" s="126"/>
      <c r="I9" s="126"/>
      <c r="J9" s="29"/>
    </row>
    <row r="10" spans="1:10" ht="19.95" customHeight="1" x14ac:dyDescent="0.25">
      <c r="A10" s="29"/>
      <c r="B10" s="128" t="s">
        <v>5</v>
      </c>
      <c r="C10" s="128"/>
      <c r="D10" s="126" t="s">
        <v>353</v>
      </c>
      <c r="E10" s="126"/>
      <c r="F10" s="126"/>
      <c r="G10" s="126"/>
      <c r="H10" s="126"/>
      <c r="I10" s="126"/>
      <c r="J10" s="29"/>
    </row>
    <row r="11" spans="1:10" ht="19.95" customHeight="1" x14ac:dyDescent="0.25">
      <c r="A11" s="29"/>
      <c r="B11" s="128" t="s">
        <v>6</v>
      </c>
      <c r="C11" s="128"/>
      <c r="D11" s="126">
        <v>4600030845</v>
      </c>
      <c r="E11" s="126"/>
      <c r="F11" s="126"/>
      <c r="G11" s="126"/>
      <c r="H11" s="126"/>
      <c r="I11" s="126"/>
      <c r="J11" s="29"/>
    </row>
    <row r="12" spans="1:10" ht="19.95" customHeight="1" x14ac:dyDescent="0.25">
      <c r="A12" s="29"/>
      <c r="B12" s="128" t="s">
        <v>7</v>
      </c>
      <c r="C12" s="128"/>
      <c r="D12" s="126" t="s">
        <v>354</v>
      </c>
      <c r="E12" s="126"/>
      <c r="F12" s="126"/>
      <c r="G12" s="126"/>
      <c r="H12" s="126"/>
      <c r="I12" s="126"/>
      <c r="J12" s="29"/>
    </row>
    <row r="13" spans="1:10" ht="19.95" customHeight="1" x14ac:dyDescent="0.25">
      <c r="A13" s="29"/>
      <c r="B13" s="128" t="s">
        <v>8</v>
      </c>
      <c r="C13" s="128"/>
      <c r="D13" s="126" t="s">
        <v>355</v>
      </c>
      <c r="E13" s="126"/>
      <c r="F13" s="126"/>
      <c r="G13" s="126"/>
      <c r="H13" s="126"/>
      <c r="I13" s="126"/>
      <c r="J13" s="29"/>
    </row>
    <row r="14" spans="1:10" ht="19.95" customHeight="1" x14ac:dyDescent="0.25">
      <c r="A14" s="29"/>
      <c r="B14" s="128" t="s">
        <v>9</v>
      </c>
      <c r="C14" s="128"/>
      <c r="D14" s="126" t="s">
        <v>356</v>
      </c>
      <c r="E14" s="126"/>
      <c r="F14" s="126"/>
      <c r="G14" s="126"/>
      <c r="H14" s="126"/>
      <c r="I14" s="126"/>
      <c r="J14" s="29"/>
    </row>
    <row r="15" spans="1:10" ht="19.95" customHeight="1" x14ac:dyDescent="0.25">
      <c r="A15" s="29"/>
      <c r="B15" s="128" t="s">
        <v>245</v>
      </c>
      <c r="C15" s="128"/>
      <c r="D15" s="126" t="s">
        <v>357</v>
      </c>
      <c r="E15" s="126"/>
      <c r="F15" s="126"/>
      <c r="G15" s="126"/>
      <c r="H15" s="126"/>
      <c r="I15" s="126"/>
      <c r="J15" s="29"/>
    </row>
    <row r="16" spans="1:10" ht="19.95" customHeight="1" x14ac:dyDescent="0.25">
      <c r="A16" s="29"/>
      <c r="B16" s="128" t="s">
        <v>10</v>
      </c>
      <c r="C16" s="128"/>
      <c r="D16" s="131">
        <f ca="1">TODAY()</f>
        <v>46113</v>
      </c>
      <c r="E16" s="132"/>
      <c r="F16" s="132"/>
      <c r="G16" s="132"/>
      <c r="H16" s="132"/>
      <c r="I16" s="132"/>
      <c r="J16" s="29"/>
    </row>
    <row r="17" spans="1:10" ht="13.95" customHeight="1" x14ac:dyDescent="0.35">
      <c r="A17" s="29"/>
      <c r="B17" s="79"/>
      <c r="C17" s="80"/>
      <c r="D17" s="81"/>
      <c r="E17" s="81"/>
      <c r="F17" s="81"/>
      <c r="G17" s="81"/>
      <c r="H17" s="81"/>
      <c r="I17" s="81"/>
      <c r="J17" s="29"/>
    </row>
    <row r="18" spans="1:10" ht="24" customHeight="1" x14ac:dyDescent="0.25">
      <c r="A18" s="29"/>
      <c r="B18" s="124" t="s">
        <v>11</v>
      </c>
      <c r="C18" s="124"/>
      <c r="D18" s="124"/>
      <c r="E18" s="124"/>
      <c r="F18" s="124"/>
      <c r="G18" s="130">
        <f>IF(COUNT(G69:I70)&gt;0,AVERAGE(G69:I70),"N/A")-D50</f>
        <v>0.94756944444444446</v>
      </c>
      <c r="H18" s="130"/>
      <c r="I18" s="130"/>
      <c r="J18" s="29"/>
    </row>
    <row r="19" spans="1:10" ht="13.95" customHeight="1" x14ac:dyDescent="0.35">
      <c r="A19" s="29"/>
      <c r="B19" s="82"/>
      <c r="C19" s="82"/>
      <c r="D19" s="82"/>
      <c r="E19" s="82"/>
      <c r="F19" s="82"/>
      <c r="G19" s="79"/>
      <c r="H19" s="79"/>
      <c r="I19" s="79"/>
      <c r="J19" s="29"/>
    </row>
    <row r="20" spans="1:10" ht="20.25" customHeight="1" x14ac:dyDescent="0.35">
      <c r="A20" s="29"/>
      <c r="B20" s="133" t="s">
        <v>12</v>
      </c>
      <c r="C20" s="133"/>
      <c r="D20" s="133"/>
      <c r="E20" s="83"/>
      <c r="F20" s="134"/>
      <c r="G20" s="134"/>
      <c r="H20" s="134"/>
      <c r="I20" s="84"/>
      <c r="J20" s="29"/>
    </row>
    <row r="21" spans="1:10" ht="20.25" customHeight="1" x14ac:dyDescent="0.35">
      <c r="A21" s="29"/>
      <c r="B21" s="135" t="s">
        <v>13</v>
      </c>
      <c r="C21" s="135"/>
      <c r="D21" s="86">
        <v>0</v>
      </c>
      <c r="E21" s="83"/>
      <c r="F21" s="136"/>
      <c r="G21" s="136"/>
      <c r="H21" s="136"/>
      <c r="I21" s="84"/>
      <c r="J21" s="29"/>
    </row>
    <row r="22" spans="1:10" ht="20.25" customHeight="1" x14ac:dyDescent="0.35">
      <c r="A22" s="29"/>
      <c r="B22" s="135" t="s">
        <v>14</v>
      </c>
      <c r="C22" s="135"/>
      <c r="D22" s="86">
        <f>COUNTIF(' HALLAZGOS DOC RESSO'!E10:E37,"OBS")</f>
        <v>0</v>
      </c>
      <c r="E22" s="83"/>
      <c r="F22" s="136"/>
      <c r="G22" s="136"/>
      <c r="H22" s="136"/>
      <c r="I22" s="84"/>
      <c r="J22" s="29"/>
    </row>
    <row r="23" spans="1:10" ht="20.25" customHeight="1" x14ac:dyDescent="0.35">
      <c r="A23" s="29"/>
      <c r="B23" s="135" t="s">
        <v>15</v>
      </c>
      <c r="C23" s="135"/>
      <c r="D23" s="86">
        <f>COUNTIF(' HALLAZGOS DOC RESSO'!E10:E37,"OM")</f>
        <v>0</v>
      </c>
      <c r="E23" s="83"/>
      <c r="F23" s="136"/>
      <c r="G23" s="136"/>
      <c r="H23" s="136"/>
      <c r="I23" s="84"/>
      <c r="J23" s="29"/>
    </row>
    <row r="24" spans="1:10" ht="24" customHeight="1" x14ac:dyDescent="0.35">
      <c r="A24" s="29"/>
      <c r="B24" s="138"/>
      <c r="C24" s="138"/>
      <c r="D24" s="88"/>
      <c r="E24" s="82"/>
      <c r="F24" s="138"/>
      <c r="G24" s="138"/>
      <c r="H24" s="138"/>
      <c r="I24" s="79"/>
      <c r="J24" s="29"/>
    </row>
    <row r="25" spans="1:10" ht="20.25" customHeight="1" x14ac:dyDescent="0.35">
      <c r="A25" s="29"/>
      <c r="B25" s="139" t="s">
        <v>16</v>
      </c>
      <c r="C25" s="139"/>
      <c r="D25" s="139"/>
      <c r="E25" s="89"/>
      <c r="F25" s="138"/>
      <c r="G25" s="138"/>
      <c r="H25" s="138"/>
      <c r="I25" s="79"/>
      <c r="J25" s="29"/>
    </row>
    <row r="26" spans="1:10" ht="20.25" customHeight="1" x14ac:dyDescent="0.35">
      <c r="A26" s="29"/>
      <c r="B26" s="135" t="s">
        <v>17</v>
      </c>
      <c r="C26" s="137"/>
      <c r="D26" s="86">
        <v>0</v>
      </c>
      <c r="E26" s="91">
        <f>D26*0.05</f>
        <v>0</v>
      </c>
      <c r="F26" s="138"/>
      <c r="G26" s="138"/>
      <c r="H26" s="138"/>
      <c r="I26" s="79"/>
      <c r="J26" s="29"/>
    </row>
    <row r="27" spans="1:10" ht="20.25" customHeight="1" x14ac:dyDescent="0.35">
      <c r="A27" s="29"/>
      <c r="B27" s="135" t="s">
        <v>18</v>
      </c>
      <c r="C27" s="137"/>
      <c r="D27" s="86">
        <v>0</v>
      </c>
      <c r="E27" s="91">
        <f>D27*0.001</f>
        <v>0</v>
      </c>
      <c r="F27" s="138"/>
      <c r="G27" s="138"/>
      <c r="H27" s="138"/>
      <c r="I27" s="79"/>
      <c r="J27" s="29"/>
    </row>
    <row r="28" spans="1:10" ht="20.25" hidden="1" customHeight="1" x14ac:dyDescent="0.35">
      <c r="A28" s="29"/>
      <c r="B28" s="85"/>
      <c r="C28" s="90"/>
      <c r="D28" s="86"/>
      <c r="E28" s="91">
        <f t="shared" ref="E28:E47" si="0">D28*0.005</f>
        <v>0</v>
      </c>
      <c r="F28" s="87"/>
      <c r="G28" s="87"/>
      <c r="H28" s="87"/>
      <c r="I28" s="79"/>
      <c r="J28" s="29"/>
    </row>
    <row r="29" spans="1:10" ht="20.25" hidden="1" customHeight="1" x14ac:dyDescent="0.35">
      <c r="A29" s="29"/>
      <c r="B29" s="85"/>
      <c r="C29" s="90"/>
      <c r="D29" s="86"/>
      <c r="E29" s="91">
        <f t="shared" si="0"/>
        <v>0</v>
      </c>
      <c r="F29" s="87"/>
      <c r="G29" s="87"/>
      <c r="H29" s="87"/>
      <c r="I29" s="79"/>
      <c r="J29" s="29"/>
    </row>
    <row r="30" spans="1:10" ht="20.25" hidden="1" customHeight="1" x14ac:dyDescent="0.35">
      <c r="A30" s="29"/>
      <c r="B30" s="85"/>
      <c r="C30" s="90"/>
      <c r="D30" s="86"/>
      <c r="E30" s="91">
        <f t="shared" si="0"/>
        <v>0</v>
      </c>
      <c r="F30" s="87"/>
      <c r="G30" s="87"/>
      <c r="H30" s="87"/>
      <c r="I30" s="79"/>
      <c r="J30" s="29"/>
    </row>
    <row r="31" spans="1:10" ht="20.25" hidden="1" customHeight="1" x14ac:dyDescent="0.35">
      <c r="A31" s="29"/>
      <c r="B31" s="85"/>
      <c r="C31" s="90"/>
      <c r="D31" s="86"/>
      <c r="E31" s="91">
        <f t="shared" si="0"/>
        <v>0</v>
      </c>
      <c r="F31" s="87"/>
      <c r="G31" s="87"/>
      <c r="H31" s="87"/>
      <c r="I31" s="79"/>
      <c r="J31" s="29"/>
    </row>
    <row r="32" spans="1:10" ht="20.25" hidden="1" customHeight="1" x14ac:dyDescent="0.35">
      <c r="A32" s="29"/>
      <c r="B32" s="85"/>
      <c r="C32" s="90"/>
      <c r="D32" s="86"/>
      <c r="E32" s="91">
        <f t="shared" si="0"/>
        <v>0</v>
      </c>
      <c r="F32" s="87"/>
      <c r="G32" s="87"/>
      <c r="H32" s="87"/>
      <c r="I32" s="79"/>
      <c r="J32" s="29"/>
    </row>
    <row r="33" spans="1:10" ht="20.25" hidden="1" customHeight="1" x14ac:dyDescent="0.35">
      <c r="A33" s="29"/>
      <c r="B33" s="85"/>
      <c r="C33" s="90"/>
      <c r="D33" s="86"/>
      <c r="E33" s="91">
        <f t="shared" si="0"/>
        <v>0</v>
      </c>
      <c r="F33" s="87"/>
      <c r="G33" s="87"/>
      <c r="H33" s="87"/>
      <c r="I33" s="79"/>
      <c r="J33" s="29"/>
    </row>
    <row r="34" spans="1:10" ht="20.25" hidden="1" customHeight="1" x14ac:dyDescent="0.35">
      <c r="A34" s="29"/>
      <c r="B34" s="85"/>
      <c r="C34" s="90"/>
      <c r="D34" s="86"/>
      <c r="E34" s="91">
        <f t="shared" si="0"/>
        <v>0</v>
      </c>
      <c r="F34" s="87"/>
      <c r="G34" s="87"/>
      <c r="H34" s="87"/>
      <c r="I34" s="79"/>
      <c r="J34" s="29"/>
    </row>
    <row r="35" spans="1:10" ht="20.25" hidden="1" customHeight="1" x14ac:dyDescent="0.35">
      <c r="A35" s="29"/>
      <c r="B35" s="85"/>
      <c r="C35" s="90"/>
      <c r="D35" s="86"/>
      <c r="E35" s="91">
        <f t="shared" si="0"/>
        <v>0</v>
      </c>
      <c r="F35" s="87"/>
      <c r="G35" s="87"/>
      <c r="H35" s="87"/>
      <c r="I35" s="79"/>
      <c r="J35" s="29"/>
    </row>
    <row r="36" spans="1:10" ht="20.25" hidden="1" customHeight="1" x14ac:dyDescent="0.35">
      <c r="A36" s="29"/>
      <c r="B36" s="85"/>
      <c r="C36" s="90"/>
      <c r="D36" s="86"/>
      <c r="E36" s="91">
        <f t="shared" si="0"/>
        <v>0</v>
      </c>
      <c r="F36" s="87"/>
      <c r="G36" s="87"/>
      <c r="H36" s="87"/>
      <c r="I36" s="79"/>
      <c r="J36" s="29"/>
    </row>
    <row r="37" spans="1:10" ht="20.25" hidden="1" customHeight="1" x14ac:dyDescent="0.35">
      <c r="A37" s="29"/>
      <c r="B37" s="85"/>
      <c r="C37" s="90"/>
      <c r="D37" s="86"/>
      <c r="E37" s="91">
        <f t="shared" si="0"/>
        <v>0</v>
      </c>
      <c r="F37" s="87"/>
      <c r="G37" s="87"/>
      <c r="H37" s="87"/>
      <c r="I37" s="79"/>
      <c r="J37" s="29"/>
    </row>
    <row r="38" spans="1:10" ht="20.25" hidden="1" customHeight="1" x14ac:dyDescent="0.35">
      <c r="A38" s="29"/>
      <c r="B38" s="85"/>
      <c r="C38" s="90"/>
      <c r="D38" s="86"/>
      <c r="E38" s="91">
        <f t="shared" si="0"/>
        <v>0</v>
      </c>
      <c r="F38" s="87"/>
      <c r="G38" s="87"/>
      <c r="H38" s="87"/>
      <c r="I38" s="79"/>
      <c r="J38" s="29"/>
    </row>
    <row r="39" spans="1:10" ht="20.25" hidden="1" customHeight="1" x14ac:dyDescent="0.35">
      <c r="A39" s="29"/>
      <c r="B39" s="85"/>
      <c r="C39" s="90"/>
      <c r="D39" s="86"/>
      <c r="E39" s="91">
        <f t="shared" si="0"/>
        <v>0</v>
      </c>
      <c r="F39" s="87"/>
      <c r="G39" s="87"/>
      <c r="H39" s="87"/>
      <c r="I39" s="79"/>
      <c r="J39" s="29"/>
    </row>
    <row r="40" spans="1:10" ht="20.25" hidden="1" customHeight="1" x14ac:dyDescent="0.35">
      <c r="A40" s="29"/>
      <c r="B40" s="85"/>
      <c r="C40" s="90"/>
      <c r="D40" s="86"/>
      <c r="E40" s="91">
        <f t="shared" si="0"/>
        <v>0</v>
      </c>
      <c r="F40" s="87"/>
      <c r="G40" s="87"/>
      <c r="H40" s="87"/>
      <c r="I40" s="79"/>
      <c r="J40" s="29"/>
    </row>
    <row r="41" spans="1:10" ht="20.25" hidden="1" customHeight="1" x14ac:dyDescent="0.35">
      <c r="A41" s="29"/>
      <c r="B41" s="85"/>
      <c r="C41" s="90"/>
      <c r="D41" s="86"/>
      <c r="E41" s="91">
        <f t="shared" si="0"/>
        <v>0</v>
      </c>
      <c r="F41" s="87"/>
      <c r="G41" s="87"/>
      <c r="H41" s="87"/>
      <c r="I41" s="79"/>
      <c r="J41" s="29"/>
    </row>
    <row r="42" spans="1:10" ht="20.25" hidden="1" customHeight="1" x14ac:dyDescent="0.35">
      <c r="A42" s="29"/>
      <c r="B42" s="85"/>
      <c r="C42" s="90"/>
      <c r="D42" s="86"/>
      <c r="E42" s="91">
        <f t="shared" si="0"/>
        <v>0</v>
      </c>
      <c r="F42" s="87"/>
      <c r="G42" s="87"/>
      <c r="H42" s="87"/>
      <c r="I42" s="79"/>
      <c r="J42" s="29"/>
    </row>
    <row r="43" spans="1:10" ht="20.25" hidden="1" customHeight="1" x14ac:dyDescent="0.35">
      <c r="A43" s="29"/>
      <c r="B43" s="85"/>
      <c r="C43" s="90"/>
      <c r="D43" s="86"/>
      <c r="E43" s="91">
        <f t="shared" si="0"/>
        <v>0</v>
      </c>
      <c r="F43" s="87"/>
      <c r="G43" s="87"/>
      <c r="H43" s="87"/>
      <c r="I43" s="79"/>
      <c r="J43" s="29"/>
    </row>
    <row r="44" spans="1:10" ht="20.25" hidden="1" customHeight="1" x14ac:dyDescent="0.35">
      <c r="A44" s="29"/>
      <c r="B44" s="85"/>
      <c r="C44" s="90"/>
      <c r="D44" s="86"/>
      <c r="E44" s="91">
        <f t="shared" si="0"/>
        <v>0</v>
      </c>
      <c r="F44" s="87"/>
      <c r="G44" s="87"/>
      <c r="H44" s="87"/>
      <c r="I44" s="79"/>
      <c r="J44" s="29"/>
    </row>
    <row r="45" spans="1:10" ht="20.25" hidden="1" customHeight="1" x14ac:dyDescent="0.35">
      <c r="A45" s="29"/>
      <c r="B45" s="85"/>
      <c r="C45" s="90"/>
      <c r="D45" s="86"/>
      <c r="E45" s="91">
        <f t="shared" si="0"/>
        <v>0</v>
      </c>
      <c r="F45" s="87"/>
      <c r="G45" s="87"/>
      <c r="H45" s="87"/>
      <c r="I45" s="79"/>
      <c r="J45" s="29"/>
    </row>
    <row r="46" spans="1:10" ht="20.25" hidden="1" customHeight="1" x14ac:dyDescent="0.35">
      <c r="A46" s="29"/>
      <c r="B46" s="85"/>
      <c r="C46" s="90"/>
      <c r="D46" s="86"/>
      <c r="E46" s="91">
        <f t="shared" si="0"/>
        <v>0</v>
      </c>
      <c r="F46" s="87"/>
      <c r="G46" s="87"/>
      <c r="H46" s="87"/>
      <c r="I46" s="79"/>
      <c r="J46" s="29"/>
    </row>
    <row r="47" spans="1:10" ht="20.25" hidden="1" customHeight="1" x14ac:dyDescent="0.35">
      <c r="A47" s="29"/>
      <c r="B47" s="85"/>
      <c r="C47" s="90"/>
      <c r="D47" s="86"/>
      <c r="E47" s="91">
        <f t="shared" si="0"/>
        <v>0</v>
      </c>
      <c r="F47" s="87"/>
      <c r="G47" s="87"/>
      <c r="H47" s="87"/>
      <c r="I47" s="79"/>
      <c r="J47" s="29"/>
    </row>
    <row r="48" spans="1:10" ht="20.25" customHeight="1" x14ac:dyDescent="0.35">
      <c r="A48" s="29"/>
      <c r="B48" s="135" t="s">
        <v>19</v>
      </c>
      <c r="C48" s="137"/>
      <c r="D48" s="86">
        <v>0</v>
      </c>
      <c r="E48" s="91">
        <f>D48*0.005</f>
        <v>0</v>
      </c>
      <c r="F48" s="138"/>
      <c r="G48" s="138"/>
      <c r="H48" s="138"/>
      <c r="I48" s="79"/>
      <c r="J48" s="29"/>
    </row>
    <row r="49" spans="1:10" ht="20.25" customHeight="1" x14ac:dyDescent="0.35">
      <c r="A49" s="29"/>
      <c r="B49" s="135" t="s">
        <v>20</v>
      </c>
      <c r="C49" s="137"/>
      <c r="D49" s="86">
        <v>0</v>
      </c>
      <c r="E49" s="91">
        <f>D49*0.005</f>
        <v>0</v>
      </c>
      <c r="F49" s="87"/>
      <c r="G49" s="87"/>
      <c r="H49" s="87"/>
      <c r="I49" s="79"/>
      <c r="J49" s="29"/>
    </row>
    <row r="50" spans="1:10" ht="20.25" customHeight="1" x14ac:dyDescent="0.35">
      <c r="A50" s="29"/>
      <c r="B50" s="158" t="s">
        <v>21</v>
      </c>
      <c r="C50" s="159"/>
      <c r="D50" s="92">
        <f>SUM(E26:E49)</f>
        <v>0</v>
      </c>
      <c r="E50" s="91">
        <f>SUM(E26:E49)</f>
        <v>0</v>
      </c>
      <c r="F50" s="87"/>
      <c r="G50" s="87"/>
      <c r="H50" s="87"/>
      <c r="I50" s="79"/>
      <c r="J50" s="29"/>
    </row>
    <row r="51" spans="1:10" ht="13.95" customHeight="1" x14ac:dyDescent="0.25">
      <c r="A51" s="29"/>
      <c r="B51" s="93"/>
      <c r="C51" s="80"/>
      <c r="D51" s="81"/>
      <c r="E51" s="81"/>
      <c r="F51" s="81"/>
      <c r="G51" s="81"/>
      <c r="H51" s="81"/>
      <c r="I51" s="81"/>
      <c r="J51" s="29"/>
    </row>
    <row r="52" spans="1:10" ht="16.5" customHeight="1" x14ac:dyDescent="0.25">
      <c r="A52" s="29"/>
      <c r="B52" s="129" t="s">
        <v>22</v>
      </c>
      <c r="C52" s="129"/>
      <c r="D52" s="129"/>
      <c r="E52" s="129"/>
      <c r="F52" s="129"/>
      <c r="G52" s="129"/>
      <c r="H52" s="129"/>
      <c r="I52" s="129"/>
      <c r="J52" s="29"/>
    </row>
    <row r="53" spans="1:10" ht="16.5" customHeight="1" x14ac:dyDescent="0.25">
      <c r="A53" s="29"/>
      <c r="B53" s="129"/>
      <c r="C53" s="129"/>
      <c r="D53" s="129"/>
      <c r="E53" s="129"/>
      <c r="F53" s="129"/>
      <c r="G53" s="129"/>
      <c r="H53" s="129"/>
      <c r="I53" s="129"/>
      <c r="J53" s="29"/>
    </row>
    <row r="54" spans="1:10" ht="16.5" customHeight="1" x14ac:dyDescent="0.25">
      <c r="A54" s="29"/>
      <c r="B54" s="129"/>
      <c r="C54" s="129"/>
      <c r="D54" s="129"/>
      <c r="E54" s="129"/>
      <c r="F54" s="129"/>
      <c r="G54" s="129"/>
      <c r="H54" s="129"/>
      <c r="I54" s="129"/>
      <c r="J54" s="29"/>
    </row>
    <row r="55" spans="1:10" ht="16.5" customHeight="1" x14ac:dyDescent="0.25">
      <c r="A55" s="29"/>
      <c r="B55" s="129"/>
      <c r="C55" s="129"/>
      <c r="D55" s="129"/>
      <c r="E55" s="129"/>
      <c r="F55" s="129"/>
      <c r="G55" s="129"/>
      <c r="H55" s="129"/>
      <c r="I55" s="129"/>
      <c r="J55" s="29"/>
    </row>
    <row r="56" spans="1:10" ht="16.5" customHeight="1" x14ac:dyDescent="0.25">
      <c r="A56" s="29"/>
      <c r="B56" s="129"/>
      <c r="C56" s="129"/>
      <c r="D56" s="129"/>
      <c r="E56" s="129"/>
      <c r="F56" s="129"/>
      <c r="G56" s="129"/>
      <c r="H56" s="129"/>
      <c r="I56" s="129"/>
      <c r="J56" s="29"/>
    </row>
    <row r="57" spans="1:10" ht="16.5" customHeight="1" x14ac:dyDescent="0.25">
      <c r="A57" s="29"/>
      <c r="B57" s="129"/>
      <c r="C57" s="129"/>
      <c r="D57" s="129"/>
      <c r="E57" s="129"/>
      <c r="F57" s="129"/>
      <c r="G57" s="129"/>
      <c r="H57" s="129"/>
      <c r="I57" s="129"/>
      <c r="J57" s="29"/>
    </row>
    <row r="58" spans="1:10" ht="16.5" customHeight="1" x14ac:dyDescent="0.25">
      <c r="A58" s="29"/>
      <c r="B58" s="129"/>
      <c r="C58" s="129"/>
      <c r="D58" s="129"/>
      <c r="E58" s="129"/>
      <c r="F58" s="129"/>
      <c r="G58" s="129"/>
      <c r="H58" s="129"/>
      <c r="I58" s="129"/>
      <c r="J58" s="29"/>
    </row>
    <row r="59" spans="1:10" ht="16.5" customHeight="1" x14ac:dyDescent="0.35">
      <c r="A59" s="29"/>
      <c r="B59" s="79"/>
      <c r="C59" s="79"/>
      <c r="D59" s="79"/>
      <c r="E59" s="79"/>
      <c r="F59" s="79"/>
      <c r="G59" s="79"/>
      <c r="H59" s="79"/>
      <c r="I59" s="79"/>
      <c r="J59" s="29"/>
    </row>
    <row r="60" spans="1:10" ht="16.5" customHeight="1" x14ac:dyDescent="0.35">
      <c r="A60" s="29"/>
      <c r="B60" s="79"/>
      <c r="C60" s="79"/>
      <c r="D60" s="79"/>
      <c r="E60" s="79"/>
      <c r="F60" s="79"/>
      <c r="G60" s="79"/>
      <c r="H60" s="79"/>
      <c r="I60" s="79"/>
      <c r="J60" s="29"/>
    </row>
    <row r="61" spans="1:10" ht="16.5" customHeight="1" x14ac:dyDescent="0.35">
      <c r="A61" s="29"/>
      <c r="B61" s="156"/>
      <c r="C61" s="156"/>
      <c r="D61" s="156"/>
      <c r="E61" s="156"/>
      <c r="F61" s="156"/>
      <c r="G61" s="156"/>
      <c r="H61" s="156"/>
      <c r="I61" s="156"/>
      <c r="J61" s="29"/>
    </row>
    <row r="62" spans="1:10" ht="16.5" customHeight="1" x14ac:dyDescent="0.25">
      <c r="A62" s="29"/>
      <c r="B62" s="155" t="s">
        <v>23</v>
      </c>
      <c r="C62" s="155"/>
      <c r="D62" s="155"/>
      <c r="E62" s="155"/>
      <c r="F62" s="155"/>
      <c r="G62" s="155"/>
      <c r="H62" s="155"/>
      <c r="I62" s="155"/>
      <c r="J62" s="29"/>
    </row>
    <row r="63" spans="1:10" ht="16.5" customHeight="1" x14ac:dyDescent="0.4">
      <c r="A63" s="29"/>
      <c r="B63" s="94"/>
      <c r="C63" s="95"/>
      <c r="D63" s="94"/>
      <c r="E63" s="94"/>
      <c r="F63" s="94"/>
      <c r="G63" s="96"/>
      <c r="H63" s="96"/>
      <c r="I63" s="96"/>
      <c r="J63" s="29"/>
    </row>
    <row r="64" spans="1:10" ht="16.5" customHeight="1" x14ac:dyDescent="0.4">
      <c r="A64" s="29"/>
      <c r="B64" s="94"/>
      <c r="C64" s="95"/>
      <c r="D64" s="94"/>
      <c r="E64" s="94"/>
      <c r="F64" s="94"/>
      <c r="G64" s="96"/>
      <c r="H64" s="96"/>
      <c r="I64" s="96"/>
      <c r="J64" s="29"/>
    </row>
    <row r="65" spans="1:17" ht="16.5" customHeight="1" x14ac:dyDescent="0.35">
      <c r="A65" s="29"/>
      <c r="B65" s="156"/>
      <c r="C65" s="156"/>
      <c r="D65" s="156"/>
      <c r="E65" s="156"/>
      <c r="F65" s="156"/>
      <c r="G65" s="156"/>
      <c r="H65" s="156"/>
      <c r="I65" s="156"/>
      <c r="J65" s="29"/>
    </row>
    <row r="66" spans="1:17" ht="16.5" customHeight="1" x14ac:dyDescent="0.25">
      <c r="A66" s="29"/>
      <c r="B66" s="157" t="s">
        <v>265</v>
      </c>
      <c r="C66" s="157"/>
      <c r="D66" s="157"/>
      <c r="E66" s="157"/>
      <c r="F66" s="157"/>
      <c r="G66" s="157"/>
      <c r="H66" s="157"/>
      <c r="I66" s="157"/>
      <c r="J66" s="29"/>
    </row>
    <row r="67" spans="1:17" ht="16.5" customHeight="1" x14ac:dyDescent="0.25">
      <c r="A67" s="29"/>
      <c r="B67" s="96"/>
      <c r="C67" s="96"/>
      <c r="D67" s="96"/>
      <c r="E67" s="96"/>
      <c r="F67" s="96"/>
      <c r="G67" s="96"/>
      <c r="H67" s="96"/>
      <c r="I67" s="96"/>
      <c r="J67" s="29"/>
      <c r="Q67" s="74"/>
    </row>
    <row r="68" spans="1:17" ht="16.05" customHeight="1" x14ac:dyDescent="0.25">
      <c r="A68" s="29"/>
      <c r="B68" s="81"/>
      <c r="C68" s="81"/>
      <c r="D68" s="81"/>
      <c r="E68" s="81"/>
      <c r="F68" s="81"/>
      <c r="G68" s="81"/>
      <c r="H68" s="81"/>
      <c r="I68" s="81"/>
      <c r="J68" s="29"/>
      <c r="Q68" s="74"/>
    </row>
    <row r="69" spans="1:17" ht="22.05" customHeight="1" x14ac:dyDescent="0.25">
      <c r="A69" s="29"/>
      <c r="B69" s="124" t="s">
        <v>266</v>
      </c>
      <c r="C69" s="124"/>
      <c r="D69" s="124"/>
      <c r="E69" s="124"/>
      <c r="F69" s="124"/>
      <c r="G69" s="125">
        <f>AVERAGE(I72,I95)</f>
        <v>0.89513888888888893</v>
      </c>
      <c r="H69" s="125"/>
      <c r="I69" s="125"/>
      <c r="J69" s="29"/>
      <c r="Q69" s="31">
        <f>G69*50%</f>
        <v>0.44756944444444446</v>
      </c>
    </row>
    <row r="70" spans="1:17" ht="22.05" customHeight="1" x14ac:dyDescent="0.25">
      <c r="A70" s="29"/>
      <c r="B70" s="124" t="s">
        <v>267</v>
      </c>
      <c r="C70" s="124"/>
      <c r="D70" s="124"/>
      <c r="E70" s="124"/>
      <c r="F70" s="124"/>
      <c r="G70" s="125">
        <f>'VERIFICACIÓN EN TERRENO'!F46</f>
        <v>1</v>
      </c>
      <c r="H70" s="125"/>
      <c r="I70" s="125"/>
      <c r="J70" s="29"/>
      <c r="Q70" s="31">
        <f>G70*50%</f>
        <v>0.5</v>
      </c>
    </row>
    <row r="71" spans="1:17" ht="25.95" customHeight="1" x14ac:dyDescent="0.25">
      <c r="A71" s="29"/>
      <c r="B71" s="147" t="s">
        <v>24</v>
      </c>
      <c r="C71" s="148"/>
      <c r="D71" s="148"/>
      <c r="E71" s="148"/>
      <c r="F71" s="148"/>
      <c r="G71" s="148"/>
      <c r="H71" s="148"/>
      <c r="I71" s="149"/>
      <c r="J71" s="29"/>
      <c r="Q71" s="74"/>
    </row>
    <row r="72" spans="1:17" ht="25.95" customHeight="1" x14ac:dyDescent="0.25">
      <c r="A72" s="29"/>
      <c r="B72" s="145" t="s">
        <v>25</v>
      </c>
      <c r="C72" s="145"/>
      <c r="D72" s="145"/>
      <c r="E72" s="145"/>
      <c r="F72" s="145"/>
      <c r="G72" s="152">
        <f>IF((1-COUNTIF('Implementacion SIGO'!D8:F8,"N/A"))=0,"N/A",((COUNTIF('Implementacion SIGO'!D8:F8,"SÍ")+SUM('Implementacion SIGO'!D8:F8))/(IF((1-COUNTIF('Implementacion SIGO'!D8:F8,"N/A"))=0,1,(1-COUNTIF('Implementacion SIGO'!D8:F8,"N/A"))))))</f>
        <v>1</v>
      </c>
      <c r="H72" s="152"/>
      <c r="I72" s="151">
        <f>AVERAGE(G72,G73,G80,G88,G91,G93)</f>
        <v>0.79027777777777786</v>
      </c>
      <c r="J72" s="29"/>
      <c r="Q72" s="74"/>
    </row>
    <row r="73" spans="1:17" ht="25.95" customHeight="1" x14ac:dyDescent="0.25">
      <c r="A73" s="29"/>
      <c r="B73" s="145" t="s">
        <v>26</v>
      </c>
      <c r="C73" s="145"/>
      <c r="D73" s="145"/>
      <c r="E73" s="145"/>
      <c r="F73" s="145"/>
      <c r="G73" s="143">
        <f>AVERAGE(G74:H79)</f>
        <v>0.7416666666666667</v>
      </c>
      <c r="H73" s="143"/>
      <c r="I73" s="151"/>
      <c r="J73" s="29"/>
    </row>
    <row r="74" spans="1:17" ht="25.95" customHeight="1" x14ac:dyDescent="0.25">
      <c r="A74" s="29"/>
      <c r="B74" s="142" t="s">
        <v>27</v>
      </c>
      <c r="C74" s="142"/>
      <c r="D74" s="142"/>
      <c r="E74" s="142"/>
      <c r="F74" s="142"/>
      <c r="G74" s="144">
        <f>IF((2-COUNTIF('Implementacion SIGO'!D16:F17,"N/A"))=0,"N/A",((COUNTIF('Implementacion SIGO'!D16:F17,"SÍ")+SUM('Implementacion SIGO'!D16:F17))/(IF((2-COUNTIF('Implementacion SIGO'!D16:F17,"N/A"))=0,1,(2-COUNTIF('Implementacion SIGO'!D16:F17,"N/A"))))))</f>
        <v>0.75</v>
      </c>
      <c r="H74" s="144"/>
      <c r="I74" s="151"/>
      <c r="J74" s="29"/>
    </row>
    <row r="75" spans="1:17" ht="25.95" customHeight="1" x14ac:dyDescent="0.25">
      <c r="A75" s="29"/>
      <c r="B75" s="141" t="s">
        <v>28</v>
      </c>
      <c r="C75" s="141"/>
      <c r="D75" s="141"/>
      <c r="E75" s="141"/>
      <c r="F75" s="141"/>
      <c r="G75" s="144">
        <f>IF((1-COUNTIF('Implementacion SIGO'!D19,"N/A"))=0,"N/A",((COUNTIF('Implementacion SIGO'!D19,"SÍ")+SUM('Implementacion SIGO'!D19))/(IF((1-COUNTIF('Implementacion SIGO'!D19,"N/A"))=0,1,(1-COUNTIF('Implementacion SIGO'!D19,"N/A"))))))</f>
        <v>1</v>
      </c>
      <c r="H75" s="144"/>
      <c r="I75" s="151"/>
      <c r="J75" s="29"/>
    </row>
    <row r="76" spans="1:17" ht="30" customHeight="1" x14ac:dyDescent="0.25">
      <c r="A76" s="29"/>
      <c r="B76" s="142" t="s">
        <v>29</v>
      </c>
      <c r="C76" s="142"/>
      <c r="D76" s="142"/>
      <c r="E76" s="142"/>
      <c r="F76" s="142"/>
      <c r="G76" s="144">
        <f>IF((1-COUNTIF('Implementacion SIGO'!D21,"N/A"))=0,"N/A",((COUNTIF('Implementacion SIGO'!D21,"SÍ")+SUM('Implementacion SIGO'!D21))/(IF((1-COUNTIF('Implementacion SIGO'!D21,"N/A"))=0,1,(1-COUNTIF('Implementacion SIGO'!D21:F21,"N/A"))))))</f>
        <v>1</v>
      </c>
      <c r="H76" s="144"/>
      <c r="I76" s="151"/>
      <c r="J76" s="29"/>
    </row>
    <row r="77" spans="1:17" ht="30" customHeight="1" x14ac:dyDescent="0.25">
      <c r="A77" s="29"/>
      <c r="B77" s="141" t="s">
        <v>30</v>
      </c>
      <c r="C77" s="141"/>
      <c r="D77" s="141"/>
      <c r="E77" s="141"/>
      <c r="F77" s="141"/>
      <c r="G77" s="144">
        <f>IF((4-COUNTIF('Implementacion SIGO'!D23:F26,"N/A"))=0,"N/A",((COUNTIF('Implementacion SIGO'!D23:F26,"SÍ")+SUM('Implementacion SIGO'!D23:F26))/(IF((4-COUNTIF('Implementacion SIGO'!D23:F26,"N/A"))=0,1,(4-COUNTIF('Implementacion SIGO'!D23:F26,"N/A"))))))</f>
        <v>0.5</v>
      </c>
      <c r="H77" s="144"/>
      <c r="I77" s="151"/>
      <c r="J77" s="29"/>
    </row>
    <row r="78" spans="1:17" ht="25.95" customHeight="1" x14ac:dyDescent="0.25">
      <c r="A78" s="29"/>
      <c r="B78" s="142" t="s">
        <v>31</v>
      </c>
      <c r="C78" s="142"/>
      <c r="D78" s="142"/>
      <c r="E78" s="142"/>
      <c r="F78" s="142"/>
      <c r="G78" s="144">
        <f>IF((6-COUNTIF('Implementacion SIGO'!D28:F33,"N/A"))=0,"N/A",((COUNTIF('Implementacion SIGO'!D28:F33,"SÍ")+SUM('Implementacion SIGO'!D28:F33))/(IF((6-COUNTIF('Implementacion SIGO'!D28:F33,"N/A"))=0,1,(6-COUNTIF('Implementacion SIGO'!D28:F33,"N/A"))))))</f>
        <v>0.7</v>
      </c>
      <c r="H78" s="144"/>
      <c r="I78" s="151"/>
      <c r="J78" s="29"/>
    </row>
    <row r="79" spans="1:17" ht="25.95" customHeight="1" x14ac:dyDescent="0.25">
      <c r="A79" s="29"/>
      <c r="B79" s="141" t="s">
        <v>32</v>
      </c>
      <c r="C79" s="141"/>
      <c r="D79" s="141"/>
      <c r="E79" s="141"/>
      <c r="F79" s="141"/>
      <c r="G79" s="144">
        <f>IF((4-COUNTIF('Implementacion SIGO'!D35:F38,"N/A"))=0,"N/A",((COUNTIF('Implementacion SIGO'!D35:F38,"SÍ")+SUM('Implementacion SIGO'!D35:F38))/(IF((4-COUNTIF('Implementacion SIGO'!D35:F38,"N/A"))=0,1,(4-COUNTIF('Implementacion SIGO'!D35:F38,"N/A"))))))</f>
        <v>0.5</v>
      </c>
      <c r="H79" s="144"/>
      <c r="I79" s="151"/>
      <c r="J79" s="29"/>
    </row>
    <row r="80" spans="1:17" ht="25.95" customHeight="1" x14ac:dyDescent="0.25">
      <c r="A80" s="29"/>
      <c r="B80" s="145" t="s">
        <v>33</v>
      </c>
      <c r="C80" s="145"/>
      <c r="D80" s="145"/>
      <c r="E80" s="145"/>
      <c r="F80" s="145"/>
      <c r="G80" s="143">
        <f>AVERAGE(G81:H87)</f>
        <v>1</v>
      </c>
      <c r="H80" s="143"/>
      <c r="I80" s="151"/>
      <c r="J80" s="29"/>
    </row>
    <row r="81" spans="1:10" ht="25.95" customHeight="1" x14ac:dyDescent="0.25">
      <c r="A81" s="29"/>
      <c r="B81" s="141" t="s">
        <v>246</v>
      </c>
      <c r="C81" s="141"/>
      <c r="D81" s="141"/>
      <c r="E81" s="141"/>
      <c r="F81" s="141"/>
      <c r="G81" s="144">
        <f>IF((2-COUNTIF('Implementacion SIGO'!D46:F47,"N/A"))=0,"N/A",((COUNTIF('Implementacion SIGO'!D46:F47,"SÍ")+SUM('Implementacion SIGO'!D46:F47))/(IF((2-COUNTIF('Implementacion SIGO'!D46:F47,"N/A"))=0,1,(2-COUNTIF('Implementacion SIGO'!D46:F47,"N/A"))))))</f>
        <v>1</v>
      </c>
      <c r="H81" s="144"/>
      <c r="I81" s="151"/>
      <c r="J81" s="29"/>
    </row>
    <row r="82" spans="1:10" ht="25.95" customHeight="1" x14ac:dyDescent="0.25">
      <c r="A82" s="29"/>
      <c r="B82" s="142" t="s">
        <v>34</v>
      </c>
      <c r="C82" s="142"/>
      <c r="D82" s="142"/>
      <c r="E82" s="142"/>
      <c r="F82" s="142"/>
      <c r="G82" s="144">
        <f>IF((2-COUNTIF('Implementacion SIGO'!D49:F50,"N/A"))=0,"N/A",((COUNTIF('Implementacion SIGO'!D49:F50,"SÍ")+SUM('Implementacion SIGO'!D49:F50))/(IF((2-COUNTIF('Implementacion SIGO'!D49:F50,"N/A"))=0,1,(2-COUNTIF('Implementacion SIGO'!D49:F50,"N/A"))))))</f>
        <v>1</v>
      </c>
      <c r="H82" s="144"/>
      <c r="I82" s="151"/>
      <c r="J82" s="29"/>
    </row>
    <row r="83" spans="1:10" ht="25.95" customHeight="1" x14ac:dyDescent="0.25">
      <c r="A83" s="29"/>
      <c r="B83" s="141" t="s">
        <v>35</v>
      </c>
      <c r="C83" s="141"/>
      <c r="D83" s="141"/>
      <c r="E83" s="141"/>
      <c r="F83" s="141"/>
      <c r="G83" s="144">
        <f>IF((1-COUNTIF('Implementacion SIGO'!D52:F52,"N/A"))=0,"N/A",((COUNTIF('Implementacion SIGO'!D52:F52,"SÍ")+SUM('Implementacion SIGO'!D52:F52))/(IF((1-COUNTIF('Implementacion SIGO'!D52:F52,"N/A"))=0,1,(1-COUNTIF('Implementacion SIGO'!D52:F52,"N/A"))))))</f>
        <v>1</v>
      </c>
      <c r="H83" s="144"/>
      <c r="I83" s="151"/>
      <c r="J83" s="29"/>
    </row>
    <row r="84" spans="1:10" ht="25.95" customHeight="1" x14ac:dyDescent="0.25">
      <c r="A84" s="29"/>
      <c r="B84" s="142" t="s">
        <v>36</v>
      </c>
      <c r="C84" s="142"/>
      <c r="D84" s="142"/>
      <c r="E84" s="142"/>
      <c r="F84" s="142"/>
      <c r="G84" s="144">
        <f>IF((1-COUNTIF('Implementacion SIGO'!D54:F54,"N/A"))=0,"N/A",((COUNTIF('Implementacion SIGO'!D54:F54,"SÍ")+SUM('Implementacion SIGO'!D54:F54))/(IF((1-COUNTIF('Implementacion SIGO'!D54:F54,"N/A"))=0,1,(1-COUNTIF('Implementacion SIGO'!D54:F54,"N/A"))))))</f>
        <v>1</v>
      </c>
      <c r="H84" s="144"/>
      <c r="I84" s="151"/>
      <c r="J84" s="29"/>
    </row>
    <row r="85" spans="1:10" ht="25.95" customHeight="1" x14ac:dyDescent="0.25">
      <c r="A85" s="29"/>
      <c r="B85" s="141" t="s">
        <v>37</v>
      </c>
      <c r="C85" s="141"/>
      <c r="D85" s="141"/>
      <c r="E85" s="141"/>
      <c r="F85" s="141"/>
      <c r="G85" s="144">
        <f>IF((1-COUNTIF('Implementacion SIGO'!D56:F56,"N/A"))=0,"N/A",((COUNTIF('Implementacion SIGO'!D56:F56,"SÍ")+SUM('Implementacion SIGO'!D56:F56))/(IF((1-COUNTIF('Implementacion SIGO'!D56:F56,"N/A"))=0,1,(1-COUNTIF('Implementacion SIGO'!D56:F56,"N/A"))))))</f>
        <v>1</v>
      </c>
      <c r="H85" s="144"/>
      <c r="I85" s="151"/>
      <c r="J85" s="29"/>
    </row>
    <row r="86" spans="1:10" ht="25.95" customHeight="1" x14ac:dyDescent="0.25">
      <c r="A86" s="29"/>
      <c r="B86" s="142" t="s">
        <v>38</v>
      </c>
      <c r="C86" s="142"/>
      <c r="D86" s="142"/>
      <c r="E86" s="142"/>
      <c r="F86" s="142"/>
      <c r="G86" s="144">
        <f>IF((2-COUNTIF('Implementacion SIGO'!D58:F59,"N/A"))=0,"N/A",((COUNTIF('Implementacion SIGO'!D58:F59,"SÍ")+SUM('Implementacion SIGO'!D58:F59))/(IF((2-COUNTIF('Implementacion SIGO'!D58:F59,"N/A"))=0,1,(2-COUNTIF('Implementacion SIGO'!D58:F59,"N/A"))))))</f>
        <v>1</v>
      </c>
      <c r="H86" s="144"/>
      <c r="I86" s="151"/>
      <c r="J86" s="29"/>
    </row>
    <row r="87" spans="1:10" ht="25.95" customHeight="1" x14ac:dyDescent="0.25">
      <c r="A87" s="29"/>
      <c r="B87" s="141" t="s">
        <v>39</v>
      </c>
      <c r="C87" s="141"/>
      <c r="D87" s="141"/>
      <c r="E87" s="141"/>
      <c r="F87" s="141"/>
      <c r="G87" s="144">
        <f>IF((2-COUNTIF('Implementacion SIGO'!D61:F62,"N/A"))=0,"N/A",((COUNTIF('Implementacion SIGO'!D61:F62,"SÍ")+SUM('Implementacion SIGO'!D61:F62))/(IF((2-COUNTIF('Implementacion SIGO'!D61:F62,"N/A"))=0,1,(2-COUNTIF('Implementacion SIGO'!D61:F62,"N/A"))))))</f>
        <v>1</v>
      </c>
      <c r="H87" s="144"/>
      <c r="I87" s="151"/>
      <c r="J87" s="29"/>
    </row>
    <row r="88" spans="1:10" ht="25.95" customHeight="1" x14ac:dyDescent="0.25">
      <c r="A88" s="29"/>
      <c r="B88" s="145" t="s">
        <v>40</v>
      </c>
      <c r="C88" s="145"/>
      <c r="D88" s="145"/>
      <c r="E88" s="145"/>
      <c r="F88" s="145"/>
      <c r="G88" s="143">
        <f>AVERAGE(G89:H90)</f>
        <v>1</v>
      </c>
      <c r="H88" s="143"/>
      <c r="I88" s="151"/>
      <c r="J88" s="29"/>
    </row>
    <row r="89" spans="1:10" ht="25.95" customHeight="1" x14ac:dyDescent="0.25">
      <c r="A89" s="29"/>
      <c r="B89" s="141" t="s">
        <v>41</v>
      </c>
      <c r="C89" s="141"/>
      <c r="D89" s="141"/>
      <c r="E89" s="141"/>
      <c r="F89" s="141"/>
      <c r="G89" s="144">
        <f>IF((2-COUNTIF('Implementacion SIGO'!D70:F71,"N/A"))=0,"N/A",((COUNTIF('Implementacion SIGO'!D70:F71,"SÍ")+SUM('Implementacion SIGO'!D70:F71))/(IF((2-COUNTIF('Implementacion SIGO'!D70:F71,"N/A"))=0,1,(2-COUNTIF('Implementacion SIGO'!D70:F71,"N/A"))))))</f>
        <v>1</v>
      </c>
      <c r="H89" s="144"/>
      <c r="I89" s="151"/>
      <c r="J89" s="29"/>
    </row>
    <row r="90" spans="1:10" ht="25.95" customHeight="1" x14ac:dyDescent="0.25">
      <c r="A90" s="29"/>
      <c r="B90" s="142" t="s">
        <v>247</v>
      </c>
      <c r="C90" s="142"/>
      <c r="D90" s="142"/>
      <c r="E90" s="142"/>
      <c r="F90" s="142"/>
      <c r="G90" s="144">
        <f>IF((1-COUNTIF('Implementacion SIGO'!D73:F73,"N/A"))=0,"N/A",((COUNTIF('Implementacion SIGO'!D73:F73,"SÍ")+SUM('Implementacion SIGO'!D73:F73))/(IF((1-COUNTIF('Implementacion SIGO'!D73:F73,"N/A"))=0,1,(1-COUNTIF('Implementacion SIGO'!D73:F73,"N/A"))))))</f>
        <v>1</v>
      </c>
      <c r="H90" s="144"/>
      <c r="I90" s="151"/>
      <c r="J90" s="29"/>
    </row>
    <row r="91" spans="1:10" ht="25.95" customHeight="1" x14ac:dyDescent="0.25">
      <c r="A91" s="29"/>
      <c r="B91" s="145" t="s">
        <v>43</v>
      </c>
      <c r="C91" s="145"/>
      <c r="D91" s="145"/>
      <c r="E91" s="145"/>
      <c r="F91" s="145"/>
      <c r="G91" s="143">
        <f>G92</f>
        <v>0</v>
      </c>
      <c r="H91" s="143"/>
      <c r="I91" s="151"/>
      <c r="J91" s="29"/>
    </row>
    <row r="92" spans="1:10" ht="25.95" customHeight="1" x14ac:dyDescent="0.25">
      <c r="A92" s="29"/>
      <c r="B92" s="141" t="s">
        <v>44</v>
      </c>
      <c r="C92" s="141"/>
      <c r="D92" s="141"/>
      <c r="E92" s="141"/>
      <c r="F92" s="141"/>
      <c r="G92" s="144">
        <f>IF((2-COUNTIF('Implementacion SIGO'!D81:D82,"N/A"))=0,"N/A",((COUNTIF('Implementacion SIGO'!D81:D82,"SÍ")+SUM('Implementacion SIGO'!D81:D82))/(IF((2-COUNTIF('Implementacion SIGO'!D81:D82,"N/A"))=0,1,(2-COUNTIF('Implementacion SIGO'!D81:D82,"N/A"))))))</f>
        <v>0</v>
      </c>
      <c r="H92" s="144"/>
      <c r="I92" s="151"/>
      <c r="J92" s="29"/>
    </row>
    <row r="93" spans="1:10" ht="25.95" customHeight="1" x14ac:dyDescent="0.25">
      <c r="A93" s="29"/>
      <c r="B93" s="146" t="s">
        <v>248</v>
      </c>
      <c r="C93" s="146"/>
      <c r="D93" s="146"/>
      <c r="E93" s="146"/>
      <c r="F93" s="146"/>
      <c r="G93" s="143">
        <f>IF((3-COUNTIF('Implementacion SIGO'!D89:D91,"N/A"))=0,"N/A",((COUNTIF('Implementacion SIGO'!D89:D91,"SÍ")+SUM('Implementacion SIGO'!D89:D91))/(IF((3-COUNTIF('Implementacion SIGO'!D89:D91,"N/A"))=0,1,(3-COUNTIF('Implementacion SIGO'!D89:D91,"N/A"))))))</f>
        <v>1</v>
      </c>
      <c r="H93" s="143"/>
      <c r="I93" s="151"/>
      <c r="J93" s="29"/>
    </row>
    <row r="94" spans="1:10" ht="25.95" customHeight="1" x14ac:dyDescent="0.25">
      <c r="A94" s="29"/>
      <c r="B94" s="154" t="s">
        <v>45</v>
      </c>
      <c r="C94" s="154"/>
      <c r="D94" s="154"/>
      <c r="E94" s="154"/>
      <c r="F94" s="154"/>
      <c r="G94" s="154"/>
      <c r="H94" s="154"/>
      <c r="I94" s="154"/>
      <c r="J94" s="29"/>
    </row>
    <row r="95" spans="1:10" ht="25.95" customHeight="1" x14ac:dyDescent="0.25">
      <c r="A95" s="29"/>
      <c r="B95" s="145" t="s">
        <v>46</v>
      </c>
      <c r="C95" s="145"/>
      <c r="D95" s="145"/>
      <c r="E95" s="145"/>
      <c r="F95" s="145"/>
      <c r="G95" s="143">
        <f>AVERAGE(G96)</f>
        <v>1</v>
      </c>
      <c r="H95" s="143"/>
      <c r="I95" s="151">
        <f>AVERAGE(G95:H102)</f>
        <v>1</v>
      </c>
      <c r="J95" s="29"/>
    </row>
    <row r="96" spans="1:10" ht="25.95" customHeight="1" x14ac:dyDescent="0.25">
      <c r="A96" s="29"/>
      <c r="B96" s="142" t="s">
        <v>47</v>
      </c>
      <c r="C96" s="142"/>
      <c r="D96" s="142"/>
      <c r="E96" s="142"/>
      <c r="F96" s="142"/>
      <c r="G96" s="144">
        <f>IF((1-COUNTIF('Implementacion y Operacion'!D9:F9,"N/A"))=0,"N/A",((COUNTIF('Implementacion y Operacion'!D9:F9,"SÍ")+SUM('Implementacion y Operacion'!D9:F9))/(IF((1-COUNTIF('Implementacion y Operacion'!D9:F9,"N/A"))=0,1,(1-COUNTIF('Implementacion y Operacion'!D9:F9,"N/A"))))))</f>
        <v>1</v>
      </c>
      <c r="H96" s="144"/>
      <c r="I96" s="151"/>
      <c r="J96" s="29"/>
    </row>
    <row r="97" spans="1:10" ht="25.95" customHeight="1" x14ac:dyDescent="0.25">
      <c r="A97" s="29"/>
      <c r="B97" s="145" t="s">
        <v>48</v>
      </c>
      <c r="C97" s="145"/>
      <c r="D97" s="145"/>
      <c r="E97" s="145"/>
      <c r="F97" s="145"/>
      <c r="G97" s="143">
        <f>IF((2-COUNTIF('Implementacion y Operacion'!D17:F18,"N/A"))=0,"N/A",((COUNTIF('Implementacion y Operacion'!D17:F18,"SÍ")+SUM('Implementacion y Operacion'!D17:F18))/(IF((2-COUNTIF('Implementacion y Operacion'!D17:F18,"N/A"))=0,1,(2-COUNTIF('Implementacion y Operacion'!D17:F18,"N/A"))))))</f>
        <v>1</v>
      </c>
      <c r="H97" s="143"/>
      <c r="I97" s="151"/>
      <c r="J97" s="29"/>
    </row>
    <row r="98" spans="1:10" ht="25.95" customHeight="1" x14ac:dyDescent="0.25">
      <c r="A98" s="29"/>
      <c r="B98" s="142" t="s">
        <v>49</v>
      </c>
      <c r="C98" s="142"/>
      <c r="D98" s="142"/>
      <c r="E98" s="142"/>
      <c r="F98" s="142"/>
      <c r="G98" s="144">
        <f>IF((2-COUNTIF('Implementacion y Operacion'!D17:F18,"N/A"))=0,"N/A",((COUNTIF('Implementacion y Operacion'!D17:F18,"SÍ")+SUM('Implementacion y Operacion'!D17:F18))/(IF((2-COUNTIF('Implementacion y Operacion'!D17:F18,"N/A"))=0,1,(2-COUNTIF('Implementacion y Operacion'!D17:F18,"N/A"))))))</f>
        <v>1</v>
      </c>
      <c r="H98" s="144"/>
      <c r="I98" s="151"/>
      <c r="J98" s="29"/>
    </row>
    <row r="99" spans="1:10" ht="25.95" customHeight="1" x14ac:dyDescent="0.25">
      <c r="A99" s="29"/>
      <c r="B99" s="145" t="s">
        <v>50</v>
      </c>
      <c r="C99" s="145"/>
      <c r="D99" s="145"/>
      <c r="E99" s="145"/>
      <c r="F99" s="145"/>
      <c r="G99" s="143" t="str">
        <f>IF((1-COUNTIF('Implementacion y Operacion'!D26:F26,"N/A"))=0,"N/A",((COUNTIF('Implementacion y Operacion'!D26:F26,"SÍ")+SUM('Implementacion y Operacion'!D26:F26))/(IF((1-COUNTIF('Implementacion y Operacion'!D26:F26,"N/A"))=0,1,(1-COUNTIF('Implementacion y Operacion'!D26:F26,"N/A"))))))</f>
        <v>N/A</v>
      </c>
      <c r="H99" s="143"/>
      <c r="I99" s="151"/>
      <c r="J99" s="29"/>
    </row>
    <row r="100" spans="1:10" ht="28.05" customHeight="1" x14ac:dyDescent="0.25">
      <c r="A100" s="29"/>
      <c r="B100" s="142" t="s">
        <v>51</v>
      </c>
      <c r="C100" s="142"/>
      <c r="D100" s="142"/>
      <c r="E100" s="142"/>
      <c r="F100" s="142"/>
      <c r="G100" s="144" t="str">
        <f>IF((1-COUNTIF('Implementacion y Operacion'!D26,"N/A"))=0,"N/A",((COUNTIF('Implementacion y Operacion'!D26,"SÍ")+SUM('Implementacion y Operacion'!D26))/(IF((1-COUNTIF('Implementacion y Operacion'!D26,"N/A"))=0,1,(1-COUNTIF('Implementacion y Operacion'!D26,"N/A"))))))</f>
        <v>N/A</v>
      </c>
      <c r="H100" s="144"/>
      <c r="I100" s="151"/>
      <c r="J100" s="29"/>
    </row>
    <row r="101" spans="1:10" ht="25.95" customHeight="1" x14ac:dyDescent="0.25">
      <c r="A101" s="29"/>
      <c r="B101" s="145" t="s">
        <v>52</v>
      </c>
      <c r="C101" s="145"/>
      <c r="D101" s="145"/>
      <c r="E101" s="145"/>
      <c r="F101" s="145"/>
      <c r="G101" s="143">
        <f>IF((2-COUNTIF('Implementacion y Operacion'!D34:F35,"N/A"))=0,"N/A",((COUNTIF('Implementacion y Operacion'!D34:F35,"SÍ")+SUM('Implementacion y Operacion'!D34:F35))/(IF((2-COUNTIF('Implementacion y Operacion'!D34:F35,"N/A"))=0,1,(2-COUNTIF('Implementacion y Operacion'!D34:F35,"N/A"))))))</f>
        <v>1</v>
      </c>
      <c r="H101" s="143"/>
      <c r="I101" s="151"/>
      <c r="J101" s="29"/>
    </row>
    <row r="102" spans="1:10" ht="25.95" customHeight="1" x14ac:dyDescent="0.25">
      <c r="A102" s="29"/>
      <c r="B102" s="153" t="s">
        <v>53</v>
      </c>
      <c r="C102" s="153"/>
      <c r="D102" s="153"/>
      <c r="E102" s="153"/>
      <c r="F102" s="153"/>
      <c r="G102" s="143">
        <f>IF((1-COUNTIF('Implementacion y Operacion'!D42:F42,"N/A"))=0,"N/A",((COUNTIF('Implementacion y Operacion'!D42:F42,"SÍ")+SUM('Implementacion y Operacion'!D42:F42))/(IF((1-COUNTIF('Implementacion y Operacion'!D42:F42,"N/A"))=0,1,(1-COUNTIF('Implementacion y Operacion'!D42:F42,"N/A"))))))</f>
        <v>1</v>
      </c>
      <c r="H102" s="143"/>
      <c r="I102" s="151"/>
      <c r="J102" s="29"/>
    </row>
    <row r="103" spans="1:10" ht="10.050000000000001" customHeight="1" x14ac:dyDescent="0.35">
      <c r="A103" s="29"/>
      <c r="B103" s="97"/>
      <c r="C103" s="97"/>
      <c r="D103" s="97"/>
      <c r="E103" s="97"/>
      <c r="F103" s="97"/>
      <c r="G103" s="97"/>
      <c r="H103" s="97"/>
      <c r="I103" s="97"/>
      <c r="J103" s="29"/>
    </row>
    <row r="104" spans="1:10" ht="22.05" customHeight="1" x14ac:dyDescent="0.35">
      <c r="B104" s="97"/>
      <c r="C104" s="97"/>
      <c r="D104" s="97"/>
      <c r="E104" s="97"/>
      <c r="F104" s="97"/>
      <c r="G104" s="97"/>
      <c r="H104" s="97"/>
      <c r="I104" s="97"/>
    </row>
    <row r="105" spans="1:10" ht="22.05" customHeight="1" x14ac:dyDescent="0.35">
      <c r="B105" s="97"/>
      <c r="C105" s="97"/>
      <c r="D105" s="97"/>
      <c r="E105" s="97"/>
      <c r="F105" s="97"/>
      <c r="G105" s="97"/>
      <c r="H105" s="97"/>
      <c r="I105" s="97"/>
    </row>
    <row r="106" spans="1:10" ht="22.05" customHeight="1" x14ac:dyDescent="0.35">
      <c r="B106" s="97"/>
      <c r="C106" s="97"/>
      <c r="D106" s="97"/>
      <c r="E106" s="97"/>
      <c r="F106" s="97"/>
      <c r="G106" s="97"/>
      <c r="H106" s="97"/>
      <c r="I106" s="97"/>
    </row>
    <row r="107" spans="1:10" ht="22.05" customHeight="1" x14ac:dyDescent="0.35">
      <c r="B107" s="97"/>
      <c r="C107" s="97"/>
      <c r="D107" s="97"/>
      <c r="E107" s="97"/>
      <c r="F107" s="97"/>
      <c r="G107" s="97"/>
      <c r="H107" s="97"/>
      <c r="I107" s="97"/>
    </row>
    <row r="108" spans="1:10" ht="22.05" customHeight="1" x14ac:dyDescent="0.35">
      <c r="B108" s="97"/>
      <c r="C108" s="97"/>
      <c r="D108" s="97"/>
      <c r="E108" s="97"/>
      <c r="F108" s="97"/>
      <c r="G108" s="97"/>
      <c r="H108" s="97"/>
      <c r="I108" s="97"/>
    </row>
    <row r="109" spans="1:10" ht="22.05" customHeight="1" x14ac:dyDescent="0.35">
      <c r="B109" s="97"/>
      <c r="C109" s="97"/>
      <c r="D109" s="97"/>
      <c r="E109" s="97"/>
      <c r="F109" s="97"/>
      <c r="G109" s="97"/>
      <c r="H109" s="97"/>
      <c r="I109" s="97"/>
    </row>
    <row r="110" spans="1:10" ht="22.05" customHeight="1" x14ac:dyDescent="0.35">
      <c r="B110" s="97"/>
      <c r="C110" s="97"/>
      <c r="D110" s="97"/>
      <c r="E110" s="97"/>
      <c r="F110" s="97"/>
      <c r="G110" s="97"/>
      <c r="H110" s="97"/>
      <c r="I110" s="97"/>
    </row>
    <row r="111" spans="1:10" ht="22.05" customHeight="1" x14ac:dyDescent="0.35">
      <c r="B111" s="97"/>
      <c r="C111" s="97"/>
      <c r="D111" s="97"/>
      <c r="E111" s="97"/>
      <c r="F111" s="97"/>
      <c r="G111" s="97"/>
      <c r="H111" s="97"/>
      <c r="I111" s="97"/>
    </row>
    <row r="112" spans="1:10" ht="22.05" customHeight="1" x14ac:dyDescent="0.35">
      <c r="B112" s="97"/>
      <c r="C112" s="97"/>
      <c r="D112" s="97"/>
      <c r="E112" s="97"/>
      <c r="F112" s="97"/>
      <c r="G112" s="97"/>
      <c r="H112" s="97"/>
      <c r="I112" s="97"/>
    </row>
    <row r="113" spans="2:9" ht="22.05" customHeight="1" x14ac:dyDescent="0.35">
      <c r="B113" s="97"/>
      <c r="C113" s="97"/>
      <c r="D113" s="97"/>
      <c r="E113" s="97"/>
      <c r="F113" s="97"/>
      <c r="G113" s="97"/>
      <c r="H113" s="97"/>
      <c r="I113" s="97"/>
    </row>
    <row r="114" spans="2:9" ht="22.05" customHeight="1" x14ac:dyDescent="0.35">
      <c r="B114" s="97"/>
      <c r="C114" s="97"/>
      <c r="D114" s="97"/>
      <c r="E114" s="97"/>
      <c r="F114" s="97"/>
      <c r="G114" s="97"/>
      <c r="H114" s="97"/>
      <c r="I114" s="97"/>
    </row>
    <row r="115" spans="2:9" ht="22.05" customHeight="1" x14ac:dyDescent="0.35">
      <c r="B115" s="97"/>
      <c r="C115" s="97"/>
      <c r="D115" s="97"/>
      <c r="E115" s="97"/>
      <c r="F115" s="97"/>
      <c r="G115" s="97"/>
      <c r="H115" s="97"/>
      <c r="I115" s="97"/>
    </row>
    <row r="116" spans="2:9" ht="22.05" customHeight="1" x14ac:dyDescent="0.35">
      <c r="B116" s="97"/>
      <c r="C116" s="97"/>
      <c r="D116" s="97"/>
      <c r="E116" s="97"/>
      <c r="F116" s="97"/>
      <c r="G116" s="97"/>
      <c r="H116" s="97"/>
      <c r="I116" s="97"/>
    </row>
    <row r="117" spans="2:9" ht="22.05" customHeight="1" x14ac:dyDescent="0.35">
      <c r="B117" s="97"/>
      <c r="C117" s="97"/>
      <c r="D117" s="97"/>
      <c r="E117" s="97"/>
      <c r="F117" s="97"/>
      <c r="G117" s="97"/>
      <c r="H117" s="97"/>
      <c r="I117" s="97"/>
    </row>
    <row r="118" spans="2:9" ht="22.05" customHeight="1" x14ac:dyDescent="0.35">
      <c r="B118" s="97"/>
      <c r="C118" s="97"/>
      <c r="D118" s="97"/>
      <c r="E118" s="97"/>
      <c r="F118" s="97"/>
      <c r="G118" s="97"/>
      <c r="H118" s="97"/>
      <c r="I118" s="97"/>
    </row>
    <row r="119" spans="2:9" ht="22.05" customHeight="1" x14ac:dyDescent="0.35">
      <c r="B119" s="97"/>
      <c r="C119" s="97"/>
      <c r="D119" s="97"/>
      <c r="E119" s="97"/>
      <c r="F119" s="97"/>
      <c r="G119" s="97"/>
      <c r="H119" s="97"/>
      <c r="I119" s="97"/>
    </row>
    <row r="120" spans="2:9" ht="22.05" customHeight="1" x14ac:dyDescent="0.35">
      <c r="B120" s="97"/>
      <c r="C120" s="97"/>
      <c r="D120" s="97"/>
      <c r="E120" s="97"/>
      <c r="F120" s="97"/>
      <c r="G120" s="97"/>
      <c r="H120" s="97"/>
      <c r="I120" s="97"/>
    </row>
    <row r="121" spans="2:9" ht="22.05" customHeight="1" x14ac:dyDescent="0.35">
      <c r="B121" s="97"/>
      <c r="C121" s="97"/>
      <c r="D121" s="97"/>
      <c r="E121" s="97"/>
      <c r="F121" s="97"/>
      <c r="G121" s="97"/>
      <c r="H121" s="97"/>
      <c r="I121" s="97"/>
    </row>
    <row r="122" spans="2:9" ht="22.05" customHeight="1" x14ac:dyDescent="0.35">
      <c r="B122" s="97"/>
      <c r="C122" s="97"/>
      <c r="D122" s="97"/>
      <c r="E122" s="97"/>
      <c r="F122" s="97"/>
      <c r="G122" s="97"/>
      <c r="H122" s="97"/>
      <c r="I122" s="97"/>
    </row>
    <row r="123" spans="2:9" ht="22.05" customHeight="1" x14ac:dyDescent="0.35">
      <c r="B123" s="97"/>
      <c r="C123" s="97"/>
      <c r="D123" s="97"/>
      <c r="E123" s="97"/>
      <c r="F123" s="97"/>
      <c r="G123" s="97"/>
      <c r="H123" s="97"/>
      <c r="I123" s="97"/>
    </row>
    <row r="124" spans="2:9" ht="22.05" customHeight="1" x14ac:dyDescent="0.35">
      <c r="B124" s="97"/>
      <c r="C124" s="97"/>
      <c r="D124" s="97"/>
      <c r="E124" s="97"/>
      <c r="F124" s="97"/>
      <c r="G124" s="97"/>
      <c r="H124" s="97"/>
      <c r="I124" s="97"/>
    </row>
    <row r="125" spans="2:9" ht="22.05" customHeight="1" x14ac:dyDescent="0.35">
      <c r="B125" s="97"/>
      <c r="C125" s="97"/>
      <c r="D125" s="97"/>
      <c r="E125" s="97"/>
      <c r="F125" s="97"/>
      <c r="G125" s="97"/>
      <c r="H125" s="97"/>
      <c r="I125" s="97"/>
    </row>
    <row r="126" spans="2:9" ht="22.05" customHeight="1" x14ac:dyDescent="0.35">
      <c r="B126" s="97"/>
      <c r="C126" s="97"/>
      <c r="D126" s="97"/>
      <c r="E126" s="97"/>
      <c r="F126" s="97"/>
      <c r="G126" s="97"/>
      <c r="H126" s="97"/>
      <c r="I126" s="97"/>
    </row>
    <row r="127" spans="2:9" ht="22.05" customHeight="1" x14ac:dyDescent="0.35">
      <c r="B127" s="97"/>
      <c r="C127" s="97"/>
      <c r="D127" s="97"/>
      <c r="E127" s="97"/>
      <c r="F127" s="97"/>
      <c r="G127" s="97"/>
      <c r="H127" s="97"/>
      <c r="I127" s="97"/>
    </row>
    <row r="128" spans="2:9" ht="22.05" customHeight="1" x14ac:dyDescent="0.35">
      <c r="B128" s="97"/>
      <c r="C128" s="97"/>
      <c r="D128" s="97"/>
      <c r="E128" s="97"/>
      <c r="F128" s="97"/>
      <c r="G128" s="97"/>
      <c r="H128" s="97"/>
      <c r="I128" s="97"/>
    </row>
    <row r="129" spans="2:22" ht="22.05" customHeight="1" x14ac:dyDescent="0.35">
      <c r="B129" s="97"/>
      <c r="C129" s="97"/>
      <c r="D129" s="97"/>
      <c r="E129" s="97"/>
      <c r="F129" s="97"/>
      <c r="G129" s="97"/>
      <c r="H129" s="97"/>
      <c r="I129" s="97"/>
    </row>
    <row r="130" spans="2:22" ht="22.05" customHeight="1" x14ac:dyDescent="0.35">
      <c r="B130" s="97"/>
      <c r="C130" s="97"/>
      <c r="D130" s="97"/>
      <c r="E130" s="97"/>
      <c r="F130" s="97"/>
      <c r="G130" s="97"/>
      <c r="H130" s="97"/>
      <c r="I130" s="97"/>
    </row>
    <row r="131" spans="2:22" ht="22.05" customHeight="1" x14ac:dyDescent="0.35">
      <c r="B131" s="97"/>
      <c r="C131" s="97"/>
      <c r="D131" s="97"/>
      <c r="E131" s="97"/>
      <c r="F131" s="97"/>
      <c r="G131" s="97"/>
      <c r="H131" s="97"/>
      <c r="I131" s="97"/>
    </row>
    <row r="132" spans="2:22" ht="22.05" customHeight="1" x14ac:dyDescent="0.35">
      <c r="B132" s="97"/>
      <c r="C132" s="97"/>
      <c r="D132" s="97"/>
      <c r="E132" s="97"/>
      <c r="F132" s="97"/>
      <c r="G132" s="97"/>
      <c r="H132" s="97"/>
      <c r="I132" s="97"/>
    </row>
    <row r="133" spans="2:22" ht="22.05" customHeight="1" x14ac:dyDescent="0.35">
      <c r="B133" s="97"/>
      <c r="C133" s="97"/>
      <c r="D133" s="97"/>
      <c r="E133" s="97"/>
      <c r="F133" s="97"/>
      <c r="G133" s="97"/>
      <c r="H133" s="97"/>
      <c r="I133" s="97"/>
    </row>
    <row r="134" spans="2:22" ht="22.05" customHeight="1" x14ac:dyDescent="0.35">
      <c r="B134" s="97"/>
      <c r="C134" s="97"/>
      <c r="D134" s="97"/>
      <c r="E134" s="97"/>
      <c r="F134" s="97"/>
      <c r="G134" s="97"/>
      <c r="H134" s="97"/>
      <c r="I134" s="97"/>
    </row>
    <row r="135" spans="2:22" ht="22.05" customHeight="1" x14ac:dyDescent="0.35">
      <c r="B135" s="97"/>
      <c r="C135" s="97"/>
      <c r="D135" s="97"/>
      <c r="E135" s="97"/>
      <c r="F135" s="97"/>
      <c r="G135" s="97"/>
      <c r="H135" s="97"/>
      <c r="I135" s="97"/>
    </row>
    <row r="136" spans="2:22" ht="22.05" customHeight="1" x14ac:dyDescent="0.35">
      <c r="B136" s="97"/>
      <c r="C136" s="97"/>
      <c r="D136" s="97"/>
      <c r="E136" s="97"/>
      <c r="F136" s="97"/>
      <c r="G136" s="97"/>
      <c r="H136" s="97"/>
      <c r="I136" s="97"/>
    </row>
    <row r="137" spans="2:22" ht="22.05" customHeight="1" x14ac:dyDescent="0.35">
      <c r="B137" s="97"/>
      <c r="C137" s="97"/>
      <c r="D137" s="97"/>
      <c r="E137" s="97"/>
      <c r="F137" s="97"/>
      <c r="G137" s="97"/>
      <c r="H137" s="97"/>
      <c r="I137" s="97"/>
    </row>
    <row r="138" spans="2:22" ht="22.05" customHeight="1" x14ac:dyDescent="0.35">
      <c r="B138" s="97"/>
      <c r="C138" s="97"/>
      <c r="D138" s="97"/>
      <c r="E138" s="97"/>
      <c r="F138" s="97"/>
      <c r="G138" s="97"/>
      <c r="H138" s="97"/>
      <c r="I138" s="97"/>
    </row>
    <row r="139" spans="2:22" ht="22.05" customHeight="1" x14ac:dyDescent="0.35">
      <c r="B139" s="97"/>
      <c r="C139" s="97"/>
      <c r="D139" s="97"/>
      <c r="E139" s="97"/>
      <c r="F139" s="97"/>
      <c r="G139" s="97"/>
      <c r="H139" s="97"/>
      <c r="I139" s="97"/>
    </row>
    <row r="140" spans="2:22" ht="22.05" customHeight="1" x14ac:dyDescent="0.35">
      <c r="B140" s="84"/>
      <c r="C140" s="84"/>
      <c r="D140" s="84"/>
      <c r="E140" s="84"/>
      <c r="F140" s="84"/>
      <c r="G140" s="84"/>
      <c r="H140" s="84"/>
      <c r="I140" s="84"/>
    </row>
    <row r="141" spans="2:22" ht="16.2" customHeight="1" x14ac:dyDescent="0.35">
      <c r="B141" s="98"/>
      <c r="C141" s="98"/>
      <c r="D141" s="98"/>
      <c r="E141" s="98"/>
      <c r="F141" s="98"/>
      <c r="G141" s="98"/>
      <c r="H141" s="98"/>
      <c r="I141" s="98"/>
      <c r="M141" s="109" t="s">
        <v>294</v>
      </c>
      <c r="P141" s="7" t="s">
        <v>268</v>
      </c>
      <c r="Q141" s="73"/>
      <c r="R141" s="73"/>
      <c r="S141" s="73"/>
      <c r="T141" s="73"/>
      <c r="U141" s="73"/>
      <c r="V141" s="73"/>
    </row>
    <row r="142" spans="2:22" ht="16.2" customHeight="1" x14ac:dyDescent="0.35">
      <c r="B142" s="98"/>
      <c r="C142" s="98"/>
      <c r="D142" s="98"/>
      <c r="E142" s="98"/>
      <c r="F142" s="98"/>
      <c r="G142" s="98"/>
      <c r="H142" s="98"/>
      <c r="I142" s="98"/>
      <c r="M142" s="110" t="s">
        <v>268</v>
      </c>
      <c r="P142" s="7" t="s">
        <v>269</v>
      </c>
      <c r="Q142" s="73"/>
      <c r="R142" s="73"/>
      <c r="S142" s="73"/>
      <c r="T142" s="73"/>
      <c r="U142" s="73"/>
      <c r="V142" s="73"/>
    </row>
    <row r="143" spans="2:22" ht="16.2" customHeight="1" x14ac:dyDescent="0.35">
      <c r="B143" s="98"/>
      <c r="C143" s="98"/>
      <c r="D143" s="98"/>
      <c r="E143" s="98"/>
      <c r="F143" s="98"/>
      <c r="G143" s="98"/>
      <c r="H143" s="98"/>
      <c r="I143" s="98"/>
      <c r="M143" s="110" t="s">
        <v>295</v>
      </c>
      <c r="P143" s="7" t="s">
        <v>270</v>
      </c>
      <c r="Q143" s="73"/>
      <c r="R143" s="73"/>
      <c r="S143" s="73"/>
      <c r="T143" s="73"/>
      <c r="U143" s="73"/>
      <c r="V143" s="73"/>
    </row>
    <row r="144" spans="2:22" ht="16.2" customHeight="1" x14ac:dyDescent="0.35">
      <c r="B144" s="98"/>
      <c r="C144" s="98"/>
      <c r="D144" s="98"/>
      <c r="E144" s="98"/>
      <c r="F144" s="98"/>
      <c r="G144" s="98"/>
      <c r="H144" s="98"/>
      <c r="I144" s="98"/>
      <c r="M144" s="110" t="s">
        <v>269</v>
      </c>
      <c r="P144" s="7" t="s">
        <v>271</v>
      </c>
      <c r="Q144" s="73"/>
      <c r="R144" s="73"/>
      <c r="S144" s="73"/>
      <c r="T144" s="73"/>
      <c r="U144" s="73"/>
      <c r="V144" s="73"/>
    </row>
    <row r="145" spans="2:22" ht="16.2" customHeight="1" x14ac:dyDescent="0.55000000000000004">
      <c r="B145" s="84"/>
      <c r="C145" s="150"/>
      <c r="D145" s="150"/>
      <c r="E145" s="150"/>
      <c r="F145" s="150"/>
      <c r="G145" s="150"/>
      <c r="H145" s="150"/>
      <c r="I145" s="150"/>
      <c r="M145" s="110" t="s">
        <v>270</v>
      </c>
      <c r="P145" s="7" t="s">
        <v>272</v>
      </c>
      <c r="Q145" s="73"/>
      <c r="R145" s="73"/>
      <c r="S145" s="73"/>
      <c r="T145" s="73"/>
      <c r="U145" s="73"/>
      <c r="V145" s="73"/>
    </row>
    <row r="146" spans="2:22" ht="16.2" customHeight="1" x14ac:dyDescent="0.55000000000000004">
      <c r="B146" s="84"/>
      <c r="C146" s="99"/>
      <c r="D146" s="99"/>
      <c r="E146" s="99"/>
      <c r="F146" s="99"/>
      <c r="G146" s="99"/>
      <c r="H146" s="99"/>
      <c r="I146" s="99"/>
      <c r="M146" s="110" t="s">
        <v>271</v>
      </c>
      <c r="P146" s="7" t="s">
        <v>273</v>
      </c>
      <c r="Q146" s="73"/>
      <c r="R146" s="73"/>
      <c r="S146" s="73"/>
      <c r="T146" s="73"/>
      <c r="U146" s="73"/>
      <c r="V146" s="73"/>
    </row>
    <row r="147" spans="2:22" ht="16.2" customHeight="1" x14ac:dyDescent="0.35">
      <c r="B147" s="84"/>
      <c r="C147" s="140"/>
      <c r="D147" s="140"/>
      <c r="E147" s="140"/>
      <c r="F147" s="140"/>
      <c r="G147" s="140"/>
      <c r="H147" s="84"/>
      <c r="I147" s="84"/>
      <c r="M147" s="110" t="s">
        <v>272</v>
      </c>
      <c r="P147" s="7" t="s">
        <v>274</v>
      </c>
      <c r="Q147" s="73"/>
      <c r="R147" s="73"/>
      <c r="S147" s="73"/>
      <c r="T147" s="73"/>
      <c r="U147" s="73"/>
      <c r="V147" s="73"/>
    </row>
    <row r="148" spans="2:22" ht="16.2" customHeight="1" x14ac:dyDescent="0.35">
      <c r="B148" s="84"/>
      <c r="C148" s="100"/>
      <c r="D148" s="100"/>
      <c r="E148" s="100"/>
      <c r="F148" s="100"/>
      <c r="G148" s="100"/>
      <c r="H148" s="100"/>
      <c r="I148" s="100"/>
      <c r="M148" s="110" t="s">
        <v>278</v>
      </c>
      <c r="P148" s="7" t="s">
        <v>275</v>
      </c>
      <c r="Q148" s="73"/>
      <c r="R148" s="73"/>
      <c r="S148" s="73"/>
      <c r="T148" s="73"/>
      <c r="U148" s="73"/>
      <c r="V148" s="73"/>
    </row>
    <row r="149" spans="2:22" ht="16.2" customHeight="1" x14ac:dyDescent="0.35">
      <c r="B149" s="84"/>
      <c r="C149" s="100"/>
      <c r="D149" s="100"/>
      <c r="E149" s="100"/>
      <c r="F149" s="100"/>
      <c r="G149" s="100"/>
      <c r="H149" s="100"/>
      <c r="I149" s="100"/>
      <c r="M149" s="110" t="s">
        <v>275</v>
      </c>
      <c r="P149" s="7" t="s">
        <v>276</v>
      </c>
      <c r="Q149" s="73"/>
      <c r="R149" s="73"/>
      <c r="S149" s="73"/>
      <c r="T149" s="73"/>
      <c r="U149" s="73"/>
      <c r="V149" s="73"/>
    </row>
    <row r="150" spans="2:22" ht="16.2" customHeight="1" x14ac:dyDescent="0.35">
      <c r="B150" s="84"/>
      <c r="C150" s="100"/>
      <c r="D150" s="100"/>
      <c r="E150" s="100"/>
      <c r="F150" s="100"/>
      <c r="G150" s="100"/>
      <c r="H150" s="100"/>
      <c r="I150" s="100"/>
      <c r="M150" s="110" t="s">
        <v>276</v>
      </c>
      <c r="P150" s="7" t="s">
        <v>277</v>
      </c>
      <c r="Q150" s="73"/>
      <c r="R150" s="73"/>
      <c r="S150" s="73"/>
      <c r="T150" s="73"/>
      <c r="U150" s="73"/>
      <c r="V150" s="73"/>
    </row>
    <row r="151" spans="2:22" ht="16.2" customHeight="1" x14ac:dyDescent="0.35">
      <c r="B151" s="84"/>
      <c r="C151" s="84"/>
      <c r="D151" s="84"/>
      <c r="E151" s="84"/>
      <c r="F151" s="84"/>
      <c r="G151" s="84"/>
      <c r="H151" s="84"/>
      <c r="I151" s="84"/>
      <c r="M151" s="110" t="s">
        <v>279</v>
      </c>
      <c r="P151" s="7" t="s">
        <v>278</v>
      </c>
      <c r="Q151" s="73"/>
      <c r="R151" s="73"/>
      <c r="S151" s="73"/>
      <c r="T151" s="73"/>
      <c r="U151" s="73"/>
      <c r="V151" s="73"/>
    </row>
    <row r="152" spans="2:22" ht="16.2" customHeight="1" x14ac:dyDescent="0.35">
      <c r="B152" s="84"/>
      <c r="C152" s="84"/>
      <c r="D152" s="84"/>
      <c r="E152" s="84"/>
      <c r="F152" s="84"/>
      <c r="G152" s="84"/>
      <c r="H152" s="84"/>
      <c r="I152" s="84"/>
      <c r="M152" s="110" t="s">
        <v>280</v>
      </c>
      <c r="P152" s="7" t="s">
        <v>279</v>
      </c>
      <c r="Q152" s="73"/>
      <c r="R152" s="73"/>
      <c r="S152" s="73"/>
      <c r="T152" s="73"/>
      <c r="U152" s="73"/>
      <c r="V152" s="73"/>
    </row>
    <row r="153" spans="2:22" ht="16.2" customHeight="1" x14ac:dyDescent="0.35">
      <c r="B153" s="84"/>
      <c r="C153" s="84"/>
      <c r="D153" s="84"/>
      <c r="E153" s="84"/>
      <c r="F153" s="84"/>
      <c r="G153" s="84"/>
      <c r="H153" s="84"/>
      <c r="I153" s="84"/>
      <c r="M153" s="110" t="s">
        <v>281</v>
      </c>
      <c r="P153" s="7" t="s">
        <v>280</v>
      </c>
      <c r="Q153" s="73"/>
      <c r="R153" s="73"/>
      <c r="S153" s="73"/>
      <c r="T153" s="73"/>
      <c r="U153" s="73"/>
      <c r="V153" s="73"/>
    </row>
    <row r="154" spans="2:22" ht="16.2" customHeight="1" x14ac:dyDescent="0.35">
      <c r="B154" s="84"/>
      <c r="C154" s="84"/>
      <c r="D154" s="84"/>
      <c r="E154" s="84"/>
      <c r="F154" s="84"/>
      <c r="G154" s="84"/>
      <c r="H154" s="84"/>
      <c r="I154" s="84"/>
      <c r="M154" s="110" t="s">
        <v>282</v>
      </c>
      <c r="P154" s="7" t="s">
        <v>281</v>
      </c>
      <c r="Q154" s="73"/>
      <c r="R154" s="73"/>
      <c r="S154" s="73"/>
      <c r="T154" s="73"/>
      <c r="U154" s="73"/>
      <c r="V154" s="73"/>
    </row>
    <row r="155" spans="2:22" ht="16.2" customHeight="1" x14ac:dyDescent="0.35">
      <c r="B155" s="84"/>
      <c r="C155" s="84"/>
      <c r="D155" s="84"/>
      <c r="E155" s="84"/>
      <c r="F155" s="84"/>
      <c r="G155" s="84"/>
      <c r="H155" s="84"/>
      <c r="I155" s="84"/>
      <c r="M155" s="110" t="s">
        <v>283</v>
      </c>
      <c r="P155" s="7" t="s">
        <v>282</v>
      </c>
      <c r="Q155" s="73"/>
      <c r="R155" s="73"/>
      <c r="S155" s="73"/>
      <c r="T155" s="73"/>
      <c r="U155" s="73"/>
      <c r="V155" s="73"/>
    </row>
    <row r="156" spans="2:22" ht="16.2" customHeight="1" x14ac:dyDescent="0.35">
      <c r="B156" s="84"/>
      <c r="C156" s="84"/>
      <c r="D156" s="84"/>
      <c r="E156" s="84"/>
      <c r="F156" s="84"/>
      <c r="G156" s="84"/>
      <c r="H156" s="84"/>
      <c r="I156" s="84"/>
      <c r="M156" s="110" t="s">
        <v>284</v>
      </c>
      <c r="P156" s="7" t="s">
        <v>283</v>
      </c>
      <c r="Q156" s="73"/>
      <c r="R156" s="73"/>
      <c r="S156" s="73"/>
      <c r="T156" s="73"/>
      <c r="U156" s="73"/>
      <c r="V156" s="73"/>
    </row>
    <row r="157" spans="2:22" ht="16.2" customHeight="1" x14ac:dyDescent="0.35">
      <c r="B157" s="84"/>
      <c r="C157" s="84"/>
      <c r="D157" s="84"/>
      <c r="E157" s="84"/>
      <c r="F157" s="84"/>
      <c r="G157" s="84"/>
      <c r="H157" s="84"/>
      <c r="I157" s="84"/>
      <c r="M157" s="110" t="s">
        <v>285</v>
      </c>
      <c r="P157" s="7" t="s">
        <v>272</v>
      </c>
      <c r="Q157" s="73"/>
      <c r="R157" s="73"/>
      <c r="S157" s="73"/>
      <c r="T157" s="73"/>
      <c r="U157" s="73"/>
      <c r="V157" s="73"/>
    </row>
    <row r="158" spans="2:22" ht="16.2" customHeight="1" x14ac:dyDescent="0.35">
      <c r="B158" s="84"/>
      <c r="C158" s="84"/>
      <c r="D158" s="84"/>
      <c r="E158" s="84"/>
      <c r="F158" s="84"/>
      <c r="G158" s="84"/>
      <c r="H158" s="84"/>
      <c r="I158" s="84"/>
      <c r="M158" s="110" t="s">
        <v>296</v>
      </c>
      <c r="P158" s="7" t="s">
        <v>284</v>
      </c>
      <c r="Q158" s="73"/>
      <c r="R158" s="73"/>
      <c r="S158" s="73"/>
      <c r="T158" s="73"/>
      <c r="U158" s="73"/>
      <c r="V158" s="73"/>
    </row>
    <row r="159" spans="2:22" ht="16.2" customHeight="1" x14ac:dyDescent="0.35">
      <c r="B159" s="84"/>
      <c r="C159" s="84"/>
      <c r="D159" s="84"/>
      <c r="E159" s="84"/>
      <c r="F159" s="84"/>
      <c r="G159" s="84"/>
      <c r="H159" s="84"/>
      <c r="I159" s="84"/>
      <c r="M159" s="110" t="s">
        <v>290</v>
      </c>
      <c r="P159" s="7" t="s">
        <v>285</v>
      </c>
      <c r="Q159" s="73"/>
      <c r="R159" s="73"/>
      <c r="S159" s="73"/>
      <c r="T159" s="73"/>
      <c r="U159" s="73"/>
      <c r="V159" s="73"/>
    </row>
    <row r="160" spans="2:22" ht="16.2" customHeight="1" x14ac:dyDescent="0.35">
      <c r="B160" s="84"/>
      <c r="C160" s="84"/>
      <c r="D160" s="84"/>
      <c r="E160" s="84"/>
      <c r="F160" s="84"/>
      <c r="G160" s="84"/>
      <c r="H160" s="84"/>
      <c r="I160" s="84"/>
      <c r="M160" s="110" t="s">
        <v>287</v>
      </c>
      <c r="P160" s="7" t="s">
        <v>286</v>
      </c>
      <c r="Q160" s="73"/>
      <c r="R160" s="73"/>
      <c r="S160" s="73"/>
      <c r="T160" s="73"/>
      <c r="U160" s="73"/>
      <c r="V160" s="73"/>
    </row>
    <row r="161" spans="2:22" ht="16.2" customHeight="1" x14ac:dyDescent="0.35">
      <c r="B161" s="84"/>
      <c r="C161" s="84"/>
      <c r="D161" s="84"/>
      <c r="E161" s="84"/>
      <c r="F161" s="84"/>
      <c r="G161" s="84"/>
      <c r="H161" s="84"/>
      <c r="I161" s="84"/>
      <c r="M161" s="111"/>
      <c r="P161" s="7" t="s">
        <v>290</v>
      </c>
      <c r="Q161" s="73"/>
      <c r="R161" s="73"/>
      <c r="S161" s="73"/>
      <c r="T161" s="73"/>
      <c r="U161" s="73"/>
      <c r="V161" s="73"/>
    </row>
    <row r="162" spans="2:22" ht="16.2" customHeight="1" x14ac:dyDescent="0.35">
      <c r="B162" s="84"/>
      <c r="C162" s="84"/>
      <c r="D162" s="84"/>
      <c r="E162" s="84"/>
      <c r="F162" s="84"/>
      <c r="G162" s="84"/>
      <c r="H162" s="84"/>
      <c r="I162" s="84"/>
      <c r="M162" s="109" t="s">
        <v>268</v>
      </c>
      <c r="P162" s="7" t="s">
        <v>287</v>
      </c>
      <c r="Q162" s="73"/>
      <c r="R162" s="73"/>
      <c r="S162" s="73"/>
      <c r="T162" s="73"/>
      <c r="U162" s="73"/>
      <c r="V162" s="73"/>
    </row>
    <row r="163" spans="2:22" ht="16.2" customHeight="1" x14ac:dyDescent="0.35">
      <c r="B163" s="84"/>
      <c r="C163" s="84"/>
      <c r="D163" s="84"/>
      <c r="E163" s="84"/>
      <c r="F163" s="84"/>
      <c r="G163" s="84"/>
      <c r="H163" s="84"/>
      <c r="I163" s="84"/>
      <c r="M163" s="109" t="s">
        <v>295</v>
      </c>
      <c r="P163" s="7" t="s">
        <v>288</v>
      </c>
      <c r="Q163" s="73"/>
      <c r="R163" s="73"/>
      <c r="S163" s="73"/>
      <c r="T163" s="73"/>
      <c r="U163" s="73"/>
      <c r="V163" s="73"/>
    </row>
    <row r="164" spans="2:22" ht="16.2" customHeight="1" x14ac:dyDescent="0.35">
      <c r="B164" s="84"/>
      <c r="C164" s="101"/>
      <c r="D164" s="101"/>
      <c r="E164" s="101"/>
      <c r="F164" s="101"/>
      <c r="G164" s="101"/>
      <c r="H164" s="101"/>
      <c r="I164" s="101"/>
      <c r="M164" s="109" t="s">
        <v>269</v>
      </c>
      <c r="P164" s="7" t="s">
        <v>270</v>
      </c>
      <c r="Q164" s="73"/>
      <c r="R164" s="73"/>
      <c r="S164" s="73"/>
      <c r="T164" s="73"/>
      <c r="U164" s="73"/>
      <c r="V164" s="73"/>
    </row>
    <row r="165" spans="2:22" ht="16.2" customHeight="1" x14ac:dyDescent="0.35">
      <c r="B165" s="84"/>
      <c r="C165" s="84"/>
      <c r="D165" s="84"/>
      <c r="E165" s="84"/>
      <c r="F165" s="84"/>
      <c r="G165" s="84"/>
      <c r="H165" s="84"/>
      <c r="I165" s="84"/>
      <c r="M165" s="109" t="s">
        <v>270</v>
      </c>
      <c r="P165" s="7" t="s">
        <v>289</v>
      </c>
      <c r="Q165" s="73"/>
      <c r="R165" s="73"/>
      <c r="S165" s="73"/>
      <c r="T165" s="73"/>
      <c r="U165" s="73"/>
      <c r="V165" s="73"/>
    </row>
    <row r="166" spans="2:22" ht="16.2" customHeight="1" x14ac:dyDescent="0.35">
      <c r="B166" s="84"/>
      <c r="C166" s="84"/>
      <c r="D166" s="84"/>
      <c r="E166" s="84"/>
      <c r="F166" s="84"/>
      <c r="G166" s="84"/>
      <c r="H166" s="84"/>
      <c r="I166" s="84"/>
      <c r="M166" s="109" t="s">
        <v>271</v>
      </c>
      <c r="P166" s="73"/>
      <c r="Q166" s="73"/>
      <c r="R166" s="73"/>
      <c r="S166" s="73"/>
      <c r="T166" s="73"/>
      <c r="U166" s="73"/>
      <c r="V166" s="73"/>
    </row>
    <row r="167" spans="2:22" ht="16.2" customHeight="1" x14ac:dyDescent="0.35">
      <c r="B167" s="84"/>
      <c r="C167" s="84"/>
      <c r="D167" s="84"/>
      <c r="E167" s="84"/>
      <c r="F167" s="84"/>
      <c r="G167" s="84"/>
      <c r="H167" s="84"/>
      <c r="I167" s="84"/>
      <c r="M167" s="109" t="s">
        <v>272</v>
      </c>
      <c r="P167" s="73"/>
      <c r="Q167" s="73"/>
      <c r="R167" s="73"/>
      <c r="S167" s="73"/>
      <c r="T167" s="73"/>
      <c r="U167" s="73"/>
      <c r="V167" s="73"/>
    </row>
    <row r="168" spans="2:22" ht="16.2" customHeight="1" x14ac:dyDescent="0.35">
      <c r="B168" s="84"/>
      <c r="C168" s="84"/>
      <c r="D168" s="84"/>
      <c r="E168" s="84"/>
      <c r="F168" s="84"/>
      <c r="G168" s="84"/>
      <c r="H168" s="84"/>
      <c r="I168" s="84"/>
      <c r="M168" s="112" t="s">
        <v>297</v>
      </c>
      <c r="P168" s="73"/>
      <c r="Q168" s="73"/>
      <c r="R168" s="73"/>
      <c r="S168" s="73"/>
      <c r="T168" s="73"/>
      <c r="U168" s="73"/>
      <c r="V168" s="73"/>
    </row>
    <row r="169" spans="2:22" ht="16.2" customHeight="1" x14ac:dyDescent="0.35">
      <c r="B169" s="84"/>
      <c r="C169" s="84"/>
      <c r="D169" s="84"/>
      <c r="E169" s="84"/>
      <c r="F169" s="84"/>
      <c r="G169" s="84"/>
      <c r="H169" s="84"/>
      <c r="I169" s="84"/>
      <c r="M169" s="112" t="s">
        <v>298</v>
      </c>
      <c r="P169" s="73"/>
      <c r="Q169" s="73"/>
      <c r="R169" s="73"/>
      <c r="S169" s="73"/>
      <c r="T169" s="73"/>
      <c r="U169" s="73"/>
      <c r="V169" s="73"/>
    </row>
    <row r="170" spans="2:22" ht="16.2" customHeight="1" x14ac:dyDescent="0.35">
      <c r="B170" s="84"/>
      <c r="C170" s="84"/>
      <c r="D170" s="84"/>
      <c r="E170" s="84"/>
      <c r="F170" s="84"/>
      <c r="G170" s="84"/>
      <c r="H170" s="84"/>
      <c r="I170" s="84"/>
      <c r="M170" s="112" t="s">
        <v>299</v>
      </c>
      <c r="P170" s="73"/>
      <c r="Q170" s="73"/>
      <c r="R170" s="73"/>
      <c r="S170" s="73"/>
      <c r="T170" s="73"/>
      <c r="U170" s="73"/>
      <c r="V170" s="73"/>
    </row>
    <row r="171" spans="2:22" ht="16.2" customHeight="1" x14ac:dyDescent="0.35">
      <c r="B171" s="84"/>
      <c r="C171" s="84"/>
      <c r="D171" s="84"/>
      <c r="E171" s="84"/>
      <c r="F171" s="84"/>
      <c r="G171" s="84"/>
      <c r="H171" s="84"/>
      <c r="I171" s="84"/>
      <c r="M171" s="112" t="s">
        <v>300</v>
      </c>
      <c r="P171" s="73"/>
      <c r="Q171" s="73"/>
      <c r="R171" s="73"/>
      <c r="S171" s="73"/>
      <c r="T171" s="73"/>
      <c r="U171" s="73"/>
      <c r="V171" s="73"/>
    </row>
    <row r="172" spans="2:22" ht="16.2" customHeight="1" x14ac:dyDescent="0.35">
      <c r="B172" s="84"/>
      <c r="C172" s="84"/>
      <c r="D172" s="84"/>
      <c r="E172" s="84"/>
      <c r="F172" s="84"/>
      <c r="G172" s="84"/>
      <c r="H172" s="84"/>
      <c r="I172" s="84"/>
      <c r="M172" s="109" t="s">
        <v>278</v>
      </c>
      <c r="P172" s="73"/>
      <c r="Q172" s="73"/>
      <c r="R172" s="73"/>
      <c r="S172" s="73"/>
      <c r="T172" s="73"/>
      <c r="U172" s="73"/>
      <c r="V172" s="73"/>
    </row>
    <row r="173" spans="2:22" ht="16.2" customHeight="1" x14ac:dyDescent="0.35">
      <c r="B173" s="84"/>
      <c r="C173" s="84"/>
      <c r="D173" s="84"/>
      <c r="E173" s="84"/>
      <c r="F173" s="84"/>
      <c r="G173" s="84"/>
      <c r="H173" s="84"/>
      <c r="I173" s="84"/>
      <c r="M173" s="110" t="s">
        <v>301</v>
      </c>
      <c r="P173" s="73"/>
      <c r="Q173" s="73"/>
      <c r="R173" s="73"/>
      <c r="S173" s="73"/>
      <c r="T173" s="73"/>
      <c r="U173" s="73"/>
      <c r="V173" s="73"/>
    </row>
    <row r="174" spans="2:22" ht="16.2" customHeight="1" x14ac:dyDescent="0.35">
      <c r="B174" s="84"/>
      <c r="C174" s="84"/>
      <c r="D174" s="84"/>
      <c r="E174" s="84"/>
      <c r="F174" s="84"/>
      <c r="G174" s="84"/>
      <c r="H174" s="84"/>
      <c r="I174" s="84"/>
      <c r="M174" s="110" t="s">
        <v>302</v>
      </c>
      <c r="P174" s="73"/>
      <c r="Q174" s="73"/>
      <c r="R174" s="73"/>
      <c r="S174" s="73"/>
      <c r="T174" s="73"/>
      <c r="U174" s="73"/>
      <c r="V174" s="73"/>
    </row>
    <row r="175" spans="2:22" ht="16.2" customHeight="1" x14ac:dyDescent="0.35">
      <c r="B175" s="84"/>
      <c r="C175" s="84"/>
      <c r="D175" s="84"/>
      <c r="E175" s="84"/>
      <c r="F175" s="84"/>
      <c r="G175" s="84"/>
      <c r="H175" s="84"/>
      <c r="I175" s="84"/>
      <c r="M175" s="110" t="s">
        <v>303</v>
      </c>
      <c r="P175" s="73"/>
      <c r="Q175" s="73"/>
      <c r="R175" s="73"/>
      <c r="S175" s="73"/>
      <c r="T175" s="73"/>
      <c r="U175" s="73"/>
      <c r="V175" s="73"/>
    </row>
    <row r="176" spans="2:22" ht="16.2" customHeight="1" x14ac:dyDescent="0.35">
      <c r="B176" s="84"/>
      <c r="C176" s="84"/>
      <c r="D176" s="84"/>
      <c r="E176" s="84"/>
      <c r="F176" s="84"/>
      <c r="G176" s="84"/>
      <c r="H176" s="84"/>
      <c r="I176" s="84"/>
      <c r="M176" s="110" t="s">
        <v>304</v>
      </c>
      <c r="P176" s="73"/>
      <c r="Q176" s="73"/>
      <c r="R176" s="73"/>
      <c r="S176" s="73"/>
      <c r="T176" s="73"/>
      <c r="U176" s="73"/>
      <c r="V176" s="73"/>
    </row>
    <row r="177" spans="2:22" ht="16.2" customHeight="1" x14ac:dyDescent="0.35">
      <c r="B177" s="84"/>
      <c r="C177" s="84"/>
      <c r="D177" s="84"/>
      <c r="E177" s="84"/>
      <c r="F177" s="84"/>
      <c r="G177" s="84"/>
      <c r="H177" s="84"/>
      <c r="I177" s="84"/>
      <c r="M177" s="110" t="s">
        <v>305</v>
      </c>
      <c r="P177" s="73"/>
      <c r="Q177" s="73"/>
      <c r="R177" s="73"/>
      <c r="S177" s="73"/>
      <c r="T177" s="73"/>
      <c r="U177" s="73"/>
      <c r="V177" s="73"/>
    </row>
    <row r="178" spans="2:22" ht="16.2" customHeight="1" x14ac:dyDescent="0.35">
      <c r="B178" s="84"/>
      <c r="C178" s="84"/>
      <c r="D178" s="84"/>
      <c r="E178" s="84"/>
      <c r="F178" s="84"/>
      <c r="G178" s="84"/>
      <c r="H178" s="84"/>
      <c r="I178" s="84"/>
      <c r="M178" s="110" t="s">
        <v>306</v>
      </c>
      <c r="P178" s="73"/>
      <c r="Q178" s="73"/>
      <c r="R178" s="73"/>
      <c r="S178" s="73"/>
      <c r="T178" s="73"/>
      <c r="U178" s="73"/>
      <c r="V178" s="73"/>
    </row>
    <row r="179" spans="2:22" ht="16.2" customHeight="1" x14ac:dyDescent="0.35">
      <c r="B179" s="84"/>
      <c r="C179" s="84"/>
      <c r="D179" s="84"/>
      <c r="E179" s="84"/>
      <c r="F179" s="84"/>
      <c r="G179" s="84"/>
      <c r="H179" s="84"/>
      <c r="I179" s="84"/>
      <c r="M179" s="109" t="s">
        <v>275</v>
      </c>
      <c r="P179" s="73"/>
      <c r="Q179" s="73"/>
      <c r="R179" s="73"/>
      <c r="S179" s="73"/>
      <c r="T179" s="73"/>
      <c r="U179" s="73"/>
      <c r="V179" s="73"/>
    </row>
    <row r="180" spans="2:22" ht="16.2" customHeight="1" x14ac:dyDescent="0.35">
      <c r="B180" s="84"/>
      <c r="C180" s="84"/>
      <c r="D180" s="84"/>
      <c r="E180" s="84"/>
      <c r="F180" s="84"/>
      <c r="G180" s="84"/>
      <c r="H180" s="84"/>
      <c r="I180" s="84"/>
      <c r="M180" s="112" t="s">
        <v>307</v>
      </c>
      <c r="P180" s="73"/>
      <c r="Q180" s="73"/>
      <c r="R180" s="73"/>
      <c r="S180" s="73"/>
      <c r="T180" s="73"/>
      <c r="U180" s="73"/>
      <c r="V180" s="73"/>
    </row>
    <row r="181" spans="2:22" ht="16.2" customHeight="1" x14ac:dyDescent="0.35">
      <c r="B181" s="84"/>
      <c r="C181" s="84"/>
      <c r="D181" s="84"/>
      <c r="E181" s="84"/>
      <c r="F181" s="84"/>
      <c r="G181" s="84"/>
      <c r="H181" s="84"/>
      <c r="I181" s="84"/>
      <c r="M181" s="112" t="s">
        <v>308</v>
      </c>
      <c r="P181" s="73"/>
      <c r="Q181" s="73"/>
      <c r="R181" s="73"/>
      <c r="S181" s="73"/>
      <c r="T181" s="73"/>
      <c r="U181" s="73"/>
      <c r="V181" s="73"/>
    </row>
    <row r="182" spans="2:22" ht="16.2" customHeight="1" x14ac:dyDescent="0.35">
      <c r="B182" s="84"/>
      <c r="C182" s="102"/>
      <c r="D182" s="84"/>
      <c r="E182" s="84"/>
      <c r="F182" s="84"/>
      <c r="G182" s="84"/>
      <c r="H182" s="84"/>
      <c r="I182" s="84"/>
      <c r="M182" s="112" t="s">
        <v>309</v>
      </c>
      <c r="P182" s="73"/>
      <c r="Q182" s="73"/>
      <c r="R182" s="73"/>
      <c r="S182" s="73"/>
      <c r="T182" s="73"/>
      <c r="U182" s="73"/>
      <c r="V182" s="73"/>
    </row>
    <row r="183" spans="2:22" ht="16.2" customHeight="1" x14ac:dyDescent="0.35">
      <c r="B183" s="84"/>
      <c r="C183" s="84"/>
      <c r="D183" s="84"/>
      <c r="E183" s="84"/>
      <c r="F183" s="84"/>
      <c r="G183" s="84"/>
      <c r="H183" s="84"/>
      <c r="I183" s="84"/>
      <c r="M183" s="112" t="s">
        <v>310</v>
      </c>
      <c r="P183" s="73"/>
      <c r="Q183" s="73"/>
      <c r="R183" s="73"/>
      <c r="S183" s="73"/>
      <c r="T183" s="73"/>
      <c r="U183" s="73"/>
      <c r="V183" s="73"/>
    </row>
    <row r="184" spans="2:22" ht="16.2" customHeight="1" x14ac:dyDescent="0.35">
      <c r="B184" s="84"/>
      <c r="C184" s="140"/>
      <c r="D184" s="140"/>
      <c r="E184" s="140"/>
      <c r="F184" s="140"/>
      <c r="G184" s="140"/>
      <c r="H184" s="84"/>
      <c r="I184" s="84"/>
      <c r="M184" s="112" t="s">
        <v>311</v>
      </c>
      <c r="P184" s="73"/>
      <c r="Q184" s="73"/>
      <c r="R184" s="73"/>
      <c r="S184" s="73"/>
      <c r="T184" s="73"/>
      <c r="U184" s="73"/>
      <c r="V184" s="73"/>
    </row>
    <row r="185" spans="2:22" ht="16.2" customHeight="1" x14ac:dyDescent="0.35">
      <c r="B185" s="84"/>
      <c r="C185" s="103"/>
      <c r="D185" s="104"/>
      <c r="E185" s="104"/>
      <c r="F185" s="104"/>
      <c r="G185" s="104"/>
      <c r="H185" s="104"/>
      <c r="I185" s="104"/>
      <c r="M185" s="109" t="s">
        <v>276</v>
      </c>
      <c r="P185" s="73"/>
      <c r="Q185" s="73"/>
      <c r="R185" s="73"/>
      <c r="S185" s="73"/>
      <c r="T185" s="73"/>
      <c r="U185" s="73"/>
      <c r="V185" s="73"/>
    </row>
    <row r="186" spans="2:22" ht="16.2" customHeight="1" x14ac:dyDescent="0.35">
      <c r="B186" s="84"/>
      <c r="C186" s="105"/>
      <c r="D186" s="84"/>
      <c r="E186" s="84"/>
      <c r="F186" s="84"/>
      <c r="G186" s="84"/>
      <c r="H186" s="84"/>
      <c r="I186" s="84"/>
      <c r="M186" s="112" t="s">
        <v>312</v>
      </c>
      <c r="P186" s="73"/>
      <c r="Q186" s="73"/>
      <c r="R186" s="73"/>
      <c r="S186" s="73"/>
      <c r="T186" s="73"/>
      <c r="U186" s="73"/>
      <c r="V186" s="73"/>
    </row>
    <row r="187" spans="2:22" ht="17.399999999999999" customHeight="1" x14ac:dyDescent="0.35">
      <c r="B187" s="84"/>
      <c r="C187" s="105"/>
      <c r="D187" s="106"/>
      <c r="E187" s="106"/>
      <c r="F187" s="106"/>
      <c r="G187" s="106"/>
      <c r="H187" s="106"/>
      <c r="I187" s="106"/>
      <c r="M187" s="112" t="s">
        <v>313</v>
      </c>
      <c r="P187" s="73"/>
      <c r="Q187" s="73"/>
      <c r="R187" s="73"/>
      <c r="S187" s="73"/>
      <c r="T187" s="73"/>
      <c r="U187" s="73"/>
      <c r="V187" s="73"/>
    </row>
    <row r="188" spans="2:22" ht="18.600000000000001" customHeight="1" x14ac:dyDescent="0.35">
      <c r="B188" s="84"/>
      <c r="C188" s="84"/>
      <c r="D188" s="84"/>
      <c r="E188" s="84"/>
      <c r="F188" s="84"/>
      <c r="G188" s="84"/>
      <c r="H188" s="84"/>
      <c r="I188" s="84"/>
      <c r="M188" s="112" t="s">
        <v>314</v>
      </c>
      <c r="P188" s="73"/>
      <c r="Q188" s="73"/>
      <c r="R188" s="73"/>
      <c r="S188" s="73"/>
      <c r="T188" s="73"/>
      <c r="U188" s="73"/>
      <c r="V188" s="73"/>
    </row>
    <row r="189" spans="2:22" ht="16.2" customHeight="1" x14ac:dyDescent="0.35">
      <c r="B189" s="84"/>
      <c r="C189" s="84"/>
      <c r="D189" s="84"/>
      <c r="E189" s="84"/>
      <c r="F189" s="84"/>
      <c r="G189" s="84"/>
      <c r="H189" s="84"/>
      <c r="I189" s="84"/>
      <c r="M189" s="112" t="s">
        <v>315</v>
      </c>
      <c r="P189" s="73"/>
      <c r="Q189" s="73"/>
      <c r="R189" s="73"/>
      <c r="S189" s="73"/>
      <c r="T189" s="73"/>
      <c r="U189" s="73"/>
      <c r="V189" s="73"/>
    </row>
    <row r="190" spans="2:22" ht="16.2" customHeight="1" x14ac:dyDescent="0.35">
      <c r="B190" s="84"/>
      <c r="C190" s="84"/>
      <c r="D190" s="84"/>
      <c r="E190" s="84"/>
      <c r="F190" s="84"/>
      <c r="G190" s="84"/>
      <c r="H190" s="84"/>
      <c r="I190" s="84"/>
      <c r="M190" s="112" t="s">
        <v>316</v>
      </c>
      <c r="P190" s="73"/>
      <c r="Q190" s="73"/>
      <c r="R190" s="73"/>
      <c r="S190" s="73"/>
      <c r="T190" s="73"/>
      <c r="U190" s="73"/>
      <c r="V190" s="73"/>
    </row>
    <row r="191" spans="2:22" ht="16.2" customHeight="1" x14ac:dyDescent="0.35">
      <c r="B191" s="84"/>
      <c r="C191" s="84"/>
      <c r="D191" s="84"/>
      <c r="E191" s="84"/>
      <c r="F191" s="84"/>
      <c r="G191" s="84"/>
      <c r="H191" s="84"/>
      <c r="I191" s="84"/>
      <c r="M191" s="109" t="s">
        <v>279</v>
      </c>
      <c r="P191" s="73"/>
      <c r="Q191" s="73"/>
      <c r="R191" s="73"/>
      <c r="S191" s="73"/>
      <c r="T191" s="73"/>
      <c r="U191" s="73"/>
      <c r="V191" s="73"/>
    </row>
    <row r="192" spans="2:22" ht="16.2" customHeight="1" x14ac:dyDescent="0.35">
      <c r="B192" s="84"/>
      <c r="C192" s="84"/>
      <c r="D192" s="84"/>
      <c r="E192" s="84"/>
      <c r="F192" s="84"/>
      <c r="G192" s="84"/>
      <c r="H192" s="84"/>
      <c r="I192" s="84"/>
      <c r="M192" s="112" t="s">
        <v>317</v>
      </c>
      <c r="P192" s="73"/>
      <c r="Q192" s="73"/>
      <c r="R192" s="73"/>
      <c r="S192" s="73"/>
      <c r="T192" s="73"/>
      <c r="U192" s="73"/>
      <c r="V192" s="73"/>
    </row>
    <row r="193" spans="2:22" ht="16.2" customHeight="1" x14ac:dyDescent="0.35">
      <c r="B193" s="84"/>
      <c r="C193" s="84"/>
      <c r="D193" s="84"/>
      <c r="E193" s="84"/>
      <c r="F193" s="84"/>
      <c r="G193" s="84"/>
      <c r="H193" s="84"/>
      <c r="I193" s="84"/>
      <c r="M193" s="112" t="s">
        <v>318</v>
      </c>
      <c r="P193" s="73"/>
      <c r="Q193" s="73"/>
      <c r="R193" s="73"/>
      <c r="S193" s="73"/>
      <c r="T193" s="73"/>
      <c r="U193" s="73"/>
      <c r="V193" s="73"/>
    </row>
    <row r="194" spans="2:22" ht="16.2" customHeight="1" x14ac:dyDescent="0.35">
      <c r="B194" s="84"/>
      <c r="C194" s="84"/>
      <c r="D194" s="84"/>
      <c r="E194" s="84"/>
      <c r="F194" s="84"/>
      <c r="G194" s="84"/>
      <c r="H194" s="84"/>
      <c r="I194" s="84"/>
      <c r="M194" s="112" t="s">
        <v>319</v>
      </c>
      <c r="P194" s="73"/>
      <c r="Q194" s="73"/>
      <c r="R194" s="73"/>
      <c r="S194" s="73"/>
      <c r="T194" s="73"/>
      <c r="U194" s="73"/>
      <c r="V194" s="73"/>
    </row>
    <row r="195" spans="2:22" ht="16.2" customHeight="1" x14ac:dyDescent="0.35">
      <c r="B195" s="84"/>
      <c r="C195" s="84"/>
      <c r="D195" s="84"/>
      <c r="E195" s="84"/>
      <c r="F195" s="84"/>
      <c r="G195" s="84"/>
      <c r="H195" s="84"/>
      <c r="I195" s="84"/>
      <c r="M195" s="112" t="s">
        <v>320</v>
      </c>
      <c r="P195" s="73"/>
      <c r="Q195" s="73"/>
      <c r="R195" s="73"/>
      <c r="S195" s="73"/>
      <c r="T195" s="73"/>
      <c r="U195" s="73"/>
      <c r="V195" s="73"/>
    </row>
    <row r="196" spans="2:22" ht="16.2" customHeight="1" x14ac:dyDescent="0.35">
      <c r="B196" s="84"/>
      <c r="C196" s="84"/>
      <c r="D196" s="84"/>
      <c r="E196" s="84"/>
      <c r="F196" s="84"/>
      <c r="G196" s="84"/>
      <c r="H196" s="84"/>
      <c r="I196" s="84"/>
      <c r="M196" s="112" t="s">
        <v>321</v>
      </c>
      <c r="P196" s="73"/>
      <c r="Q196" s="73"/>
      <c r="R196" s="73"/>
      <c r="S196" s="73"/>
      <c r="T196" s="73"/>
      <c r="U196" s="73"/>
      <c r="V196" s="73"/>
    </row>
    <row r="197" spans="2:22" ht="16.2" customHeight="1" x14ac:dyDescent="0.35">
      <c r="B197" s="84"/>
      <c r="C197" s="84"/>
      <c r="D197" s="84"/>
      <c r="E197" s="84"/>
      <c r="F197" s="84"/>
      <c r="G197" s="84"/>
      <c r="H197" s="84"/>
      <c r="I197" s="84"/>
      <c r="M197" s="112" t="s">
        <v>322</v>
      </c>
      <c r="P197" s="73"/>
      <c r="Q197" s="73"/>
      <c r="R197" s="73"/>
      <c r="S197" s="73"/>
      <c r="T197" s="73"/>
      <c r="U197" s="73"/>
      <c r="V197" s="73"/>
    </row>
    <row r="198" spans="2:22" ht="16.2" customHeight="1" x14ac:dyDescent="0.35">
      <c r="B198" s="84"/>
      <c r="C198" s="84"/>
      <c r="D198" s="84"/>
      <c r="E198" s="84"/>
      <c r="F198" s="84"/>
      <c r="G198" s="84"/>
      <c r="H198" s="84"/>
      <c r="I198" s="84"/>
      <c r="M198" s="112" t="s">
        <v>323</v>
      </c>
      <c r="P198" s="73"/>
      <c r="Q198" s="73"/>
      <c r="R198" s="73"/>
      <c r="S198" s="73"/>
      <c r="T198" s="73"/>
      <c r="U198" s="73"/>
      <c r="V198" s="73"/>
    </row>
    <row r="199" spans="2:22" ht="16.2" customHeight="1" x14ac:dyDescent="0.35">
      <c r="B199" s="84"/>
      <c r="C199" s="84"/>
      <c r="D199" s="84"/>
      <c r="E199" s="84"/>
      <c r="F199" s="84"/>
      <c r="G199" s="84"/>
      <c r="H199" s="84"/>
      <c r="I199" s="84"/>
      <c r="M199" s="112" t="s">
        <v>324</v>
      </c>
      <c r="P199" s="73"/>
      <c r="Q199" s="73"/>
      <c r="R199" s="73"/>
      <c r="S199" s="73"/>
      <c r="T199" s="73"/>
      <c r="U199" s="73"/>
      <c r="V199" s="73"/>
    </row>
    <row r="200" spans="2:22" ht="16.2" customHeight="1" x14ac:dyDescent="0.35">
      <c r="B200" s="84"/>
      <c r="C200" s="84"/>
      <c r="D200" s="84"/>
      <c r="E200" s="84"/>
      <c r="F200" s="84"/>
      <c r="G200" s="84"/>
      <c r="H200" s="84"/>
      <c r="I200" s="84"/>
      <c r="M200" s="109" t="s">
        <v>280</v>
      </c>
      <c r="P200" s="73"/>
      <c r="Q200" s="73"/>
      <c r="R200" s="73"/>
      <c r="S200" s="73"/>
      <c r="T200" s="73"/>
      <c r="U200" s="73"/>
      <c r="V200" s="73"/>
    </row>
    <row r="201" spans="2:22" ht="16.2" customHeight="1" x14ac:dyDescent="0.35">
      <c r="B201" s="84"/>
      <c r="C201" s="84"/>
      <c r="D201" s="84"/>
      <c r="E201" s="84"/>
      <c r="F201" s="84"/>
      <c r="G201" s="84"/>
      <c r="H201" s="84"/>
      <c r="I201" s="84"/>
      <c r="M201" s="112" t="s">
        <v>325</v>
      </c>
      <c r="P201" s="73"/>
      <c r="Q201" s="73"/>
      <c r="R201" s="73"/>
      <c r="S201" s="73"/>
      <c r="T201" s="73"/>
      <c r="U201" s="73"/>
      <c r="V201" s="73"/>
    </row>
    <row r="202" spans="2:22" ht="16.2" customHeight="1" x14ac:dyDescent="0.35">
      <c r="B202" s="84"/>
      <c r="C202" s="84"/>
      <c r="D202" s="84"/>
      <c r="E202" s="84"/>
      <c r="F202" s="84"/>
      <c r="G202" s="84"/>
      <c r="H202" s="84"/>
      <c r="I202" s="84"/>
      <c r="M202" s="112" t="s">
        <v>326</v>
      </c>
      <c r="P202" s="73"/>
      <c r="Q202" s="73"/>
      <c r="R202" s="73"/>
      <c r="S202" s="73"/>
      <c r="T202" s="73"/>
      <c r="U202" s="73"/>
      <c r="V202" s="73"/>
    </row>
    <row r="203" spans="2:22" ht="16.2" customHeight="1" x14ac:dyDescent="0.35">
      <c r="B203" s="84"/>
      <c r="C203" s="84"/>
      <c r="D203" s="84"/>
      <c r="E203" s="84"/>
      <c r="F203" s="84"/>
      <c r="G203" s="84"/>
      <c r="H203" s="84"/>
      <c r="I203" s="84"/>
      <c r="M203" s="109" t="s">
        <v>281</v>
      </c>
      <c r="P203" s="73"/>
      <c r="Q203" s="73"/>
      <c r="R203" s="73"/>
      <c r="S203" s="73"/>
      <c r="T203" s="73"/>
      <c r="U203" s="73"/>
      <c r="V203" s="73"/>
    </row>
    <row r="204" spans="2:22" ht="16.2" customHeight="1" x14ac:dyDescent="0.35">
      <c r="B204" s="84"/>
      <c r="C204" s="84"/>
      <c r="D204" s="84"/>
      <c r="E204" s="84"/>
      <c r="F204" s="84"/>
      <c r="G204" s="84"/>
      <c r="H204" s="84"/>
      <c r="I204" s="84"/>
      <c r="M204" s="112" t="s">
        <v>327</v>
      </c>
      <c r="P204" s="73"/>
      <c r="Q204" s="73"/>
      <c r="R204" s="73"/>
      <c r="S204" s="73"/>
      <c r="T204" s="73"/>
      <c r="U204" s="73"/>
      <c r="V204" s="73"/>
    </row>
    <row r="205" spans="2:22" ht="16.2" customHeight="1" x14ac:dyDescent="0.35">
      <c r="B205" s="84"/>
      <c r="C205" s="84"/>
      <c r="D205" s="84"/>
      <c r="E205" s="84"/>
      <c r="F205" s="84"/>
      <c r="G205" s="84"/>
      <c r="H205" s="84"/>
      <c r="I205" s="84"/>
      <c r="M205" s="112" t="s">
        <v>313</v>
      </c>
      <c r="P205" s="73"/>
      <c r="Q205" s="73"/>
      <c r="R205" s="73"/>
      <c r="S205" s="73"/>
      <c r="T205" s="73"/>
      <c r="U205" s="73"/>
      <c r="V205" s="73"/>
    </row>
    <row r="206" spans="2:22" ht="16.2" customHeight="1" x14ac:dyDescent="0.35">
      <c r="B206" s="84"/>
      <c r="C206" s="84"/>
      <c r="D206" s="84"/>
      <c r="E206" s="84"/>
      <c r="F206" s="84"/>
      <c r="G206" s="84"/>
      <c r="H206" s="84"/>
      <c r="I206" s="84"/>
      <c r="M206" s="109" t="s">
        <v>282</v>
      </c>
      <c r="P206" s="73"/>
      <c r="Q206" s="73"/>
      <c r="R206" s="73"/>
      <c r="S206" s="73"/>
      <c r="T206" s="73"/>
      <c r="U206" s="73"/>
      <c r="V206" s="73"/>
    </row>
    <row r="207" spans="2:22" ht="16.2" customHeight="1" x14ac:dyDescent="0.35">
      <c r="B207" s="84"/>
      <c r="C207" s="84"/>
      <c r="D207" s="84"/>
      <c r="E207" s="84"/>
      <c r="F207" s="84"/>
      <c r="G207" s="84"/>
      <c r="H207" s="84"/>
      <c r="I207" s="84"/>
      <c r="M207" s="112" t="s">
        <v>328</v>
      </c>
      <c r="P207" s="73"/>
      <c r="Q207" s="73"/>
      <c r="R207" s="73"/>
      <c r="S207" s="73"/>
      <c r="T207" s="73"/>
      <c r="U207" s="73"/>
      <c r="V207" s="73"/>
    </row>
    <row r="208" spans="2:22" ht="16.2" customHeight="1" x14ac:dyDescent="0.35">
      <c r="B208" s="84"/>
      <c r="C208" s="84"/>
      <c r="D208" s="84"/>
      <c r="E208" s="84"/>
      <c r="F208" s="84"/>
      <c r="G208" s="84"/>
      <c r="H208" s="84"/>
      <c r="I208" s="84"/>
      <c r="M208" s="112" t="s">
        <v>329</v>
      </c>
      <c r="P208" s="73"/>
      <c r="Q208" s="73"/>
      <c r="R208" s="73"/>
      <c r="S208" s="73"/>
      <c r="T208" s="73"/>
      <c r="U208" s="73"/>
      <c r="V208" s="73"/>
    </row>
    <row r="209" spans="2:22" ht="16.2" customHeight="1" x14ac:dyDescent="0.35">
      <c r="B209" s="84"/>
      <c r="C209" s="84"/>
      <c r="D209" s="84"/>
      <c r="E209" s="84"/>
      <c r="F209" s="84"/>
      <c r="G209" s="84"/>
      <c r="H209" s="84"/>
      <c r="I209" s="84"/>
      <c r="M209" s="112" t="s">
        <v>330</v>
      </c>
      <c r="P209" s="73"/>
      <c r="Q209" s="73"/>
      <c r="R209" s="73"/>
      <c r="S209" s="73"/>
      <c r="T209" s="73"/>
      <c r="U209" s="73"/>
      <c r="V209" s="73"/>
    </row>
    <row r="210" spans="2:22" ht="16.2" customHeight="1" x14ac:dyDescent="0.35">
      <c r="B210" s="84"/>
      <c r="C210" s="84"/>
      <c r="D210" s="84"/>
      <c r="E210" s="84"/>
      <c r="F210" s="84"/>
      <c r="G210" s="84"/>
      <c r="H210" s="84"/>
      <c r="I210" s="84"/>
      <c r="M210" s="112" t="s">
        <v>331</v>
      </c>
      <c r="P210" s="73"/>
      <c r="Q210" s="73"/>
      <c r="R210" s="73"/>
      <c r="S210" s="73"/>
      <c r="T210" s="73"/>
      <c r="U210" s="73"/>
      <c r="V210" s="73"/>
    </row>
    <row r="211" spans="2:22" ht="16.2" customHeight="1" x14ac:dyDescent="0.35">
      <c r="B211" s="84"/>
      <c r="C211" s="84"/>
      <c r="D211" s="84"/>
      <c r="E211" s="84"/>
      <c r="F211" s="84"/>
      <c r="G211" s="84"/>
      <c r="H211" s="84"/>
      <c r="I211" s="84"/>
      <c r="M211" s="112" t="s">
        <v>332</v>
      </c>
      <c r="P211" s="73"/>
      <c r="Q211" s="73"/>
      <c r="R211" s="73"/>
      <c r="S211" s="73"/>
      <c r="T211" s="73"/>
      <c r="U211" s="73"/>
      <c r="V211" s="73"/>
    </row>
    <row r="212" spans="2:22" ht="16.2" customHeight="1" x14ac:dyDescent="0.35">
      <c r="B212" s="84"/>
      <c r="C212" s="84"/>
      <c r="D212" s="84"/>
      <c r="E212" s="84"/>
      <c r="F212" s="84"/>
      <c r="G212" s="84"/>
      <c r="H212" s="84"/>
      <c r="I212" s="84"/>
      <c r="M212" s="112" t="s">
        <v>333</v>
      </c>
      <c r="P212" s="73"/>
      <c r="Q212" s="73"/>
      <c r="R212" s="73"/>
      <c r="S212" s="73"/>
      <c r="T212" s="73"/>
      <c r="U212" s="73"/>
      <c r="V212" s="73"/>
    </row>
    <row r="213" spans="2:22" ht="16.2" customHeight="1" x14ac:dyDescent="0.35">
      <c r="B213" s="84"/>
      <c r="C213" s="84"/>
      <c r="D213" s="84"/>
      <c r="E213" s="84"/>
      <c r="F213" s="84"/>
      <c r="G213" s="84"/>
      <c r="H213" s="84"/>
      <c r="I213" s="84"/>
      <c r="M213" s="109" t="s">
        <v>283</v>
      </c>
      <c r="P213" s="73"/>
      <c r="Q213" s="73"/>
      <c r="R213" s="73"/>
      <c r="S213" s="73"/>
      <c r="T213" s="73"/>
      <c r="U213" s="73"/>
      <c r="V213" s="73"/>
    </row>
    <row r="214" spans="2:22" ht="16.2" customHeight="1" x14ac:dyDescent="0.35">
      <c r="B214" s="84"/>
      <c r="C214" s="84"/>
      <c r="D214" s="84"/>
      <c r="E214" s="84"/>
      <c r="F214" s="84"/>
      <c r="G214" s="84"/>
      <c r="H214" s="84"/>
      <c r="I214" s="84"/>
      <c r="M214" s="112" t="s">
        <v>334</v>
      </c>
      <c r="P214" s="73"/>
      <c r="Q214" s="73"/>
      <c r="R214" s="73"/>
      <c r="S214" s="73"/>
      <c r="T214" s="73"/>
      <c r="U214" s="73"/>
      <c r="V214" s="73"/>
    </row>
    <row r="215" spans="2:22" ht="16.2" customHeight="1" x14ac:dyDescent="0.35">
      <c r="B215" s="84"/>
      <c r="C215" s="84"/>
      <c r="D215" s="84"/>
      <c r="E215" s="84"/>
      <c r="F215" s="84"/>
      <c r="G215" s="84"/>
      <c r="H215" s="84"/>
      <c r="I215" s="84"/>
      <c r="M215" s="112" t="s">
        <v>335</v>
      </c>
      <c r="P215" s="73"/>
      <c r="Q215" s="73"/>
      <c r="R215" s="73"/>
      <c r="S215" s="73"/>
      <c r="T215" s="73"/>
      <c r="U215" s="73"/>
      <c r="V215" s="73"/>
    </row>
    <row r="216" spans="2:22" ht="16.2" customHeight="1" x14ac:dyDescent="0.35">
      <c r="B216" s="84"/>
      <c r="C216" s="84"/>
      <c r="D216" s="84"/>
      <c r="E216" s="84"/>
      <c r="F216" s="84"/>
      <c r="G216" s="84"/>
      <c r="H216" s="84"/>
      <c r="I216" s="84"/>
      <c r="M216" s="112" t="s">
        <v>336</v>
      </c>
      <c r="P216" s="73"/>
      <c r="Q216" s="73"/>
      <c r="R216" s="73"/>
      <c r="S216" s="73"/>
      <c r="T216" s="73"/>
      <c r="U216" s="73"/>
      <c r="V216" s="73"/>
    </row>
    <row r="217" spans="2:22" ht="16.2" customHeight="1" x14ac:dyDescent="0.35">
      <c r="B217" s="84"/>
      <c r="C217" s="84"/>
      <c r="D217" s="84"/>
      <c r="E217" s="84"/>
      <c r="F217" s="84"/>
      <c r="G217" s="84"/>
      <c r="H217" s="84"/>
      <c r="I217" s="84"/>
      <c r="M217" s="112" t="s">
        <v>337</v>
      </c>
      <c r="P217" s="73"/>
      <c r="Q217" s="73"/>
      <c r="R217" s="73"/>
      <c r="S217" s="73"/>
      <c r="T217" s="73"/>
      <c r="U217" s="73"/>
      <c r="V217" s="73"/>
    </row>
    <row r="218" spans="2:22" ht="16.2" customHeight="1" x14ac:dyDescent="0.35">
      <c r="B218" s="84"/>
      <c r="C218" s="84"/>
      <c r="D218" s="84"/>
      <c r="E218" s="84"/>
      <c r="F218" s="84"/>
      <c r="G218" s="84"/>
      <c r="H218" s="84"/>
      <c r="I218" s="84"/>
      <c r="M218" s="112" t="s">
        <v>338</v>
      </c>
      <c r="P218" s="73"/>
      <c r="Q218" s="73"/>
      <c r="R218" s="73"/>
      <c r="S218" s="73"/>
      <c r="T218" s="73"/>
      <c r="U218" s="73"/>
      <c r="V218" s="73"/>
    </row>
    <row r="219" spans="2:22" ht="16.2" customHeight="1" x14ac:dyDescent="0.35">
      <c r="B219" s="84"/>
      <c r="C219" s="84"/>
      <c r="D219" s="84"/>
      <c r="E219" s="84"/>
      <c r="F219" s="84"/>
      <c r="G219" s="84"/>
      <c r="H219" s="84"/>
      <c r="I219" s="84"/>
      <c r="M219" s="112" t="s">
        <v>339</v>
      </c>
      <c r="P219" s="73"/>
      <c r="Q219" s="73"/>
      <c r="R219" s="73"/>
      <c r="S219" s="73"/>
      <c r="T219" s="73"/>
      <c r="U219" s="73"/>
      <c r="V219" s="73"/>
    </row>
    <row r="220" spans="2:22" ht="16.2" customHeight="1" x14ac:dyDescent="0.35">
      <c r="B220" s="84"/>
      <c r="C220" s="84"/>
      <c r="D220" s="84"/>
      <c r="E220" s="84"/>
      <c r="F220" s="84"/>
      <c r="G220" s="84"/>
      <c r="H220" s="84"/>
      <c r="I220" s="84"/>
      <c r="M220" s="112" t="s">
        <v>312</v>
      </c>
      <c r="P220" s="73"/>
      <c r="Q220" s="73"/>
      <c r="R220" s="73"/>
      <c r="S220" s="73"/>
      <c r="T220" s="73"/>
      <c r="U220" s="73"/>
      <c r="V220" s="73"/>
    </row>
    <row r="221" spans="2:22" ht="16.2" customHeight="1" x14ac:dyDescent="0.35">
      <c r="B221" s="84"/>
      <c r="C221" s="84"/>
      <c r="D221" s="84"/>
      <c r="E221" s="84"/>
      <c r="F221" s="84"/>
      <c r="G221" s="84"/>
      <c r="H221" s="84"/>
      <c r="I221" s="84"/>
      <c r="M221" s="112" t="s">
        <v>340</v>
      </c>
      <c r="P221" s="73"/>
      <c r="Q221" s="73"/>
      <c r="R221" s="73"/>
      <c r="S221" s="73"/>
      <c r="T221" s="73"/>
      <c r="U221" s="73"/>
      <c r="V221" s="73"/>
    </row>
    <row r="222" spans="2:22" ht="16.2" customHeight="1" x14ac:dyDescent="0.35">
      <c r="B222" s="84"/>
      <c r="C222" s="84"/>
      <c r="D222" s="84"/>
      <c r="E222" s="84"/>
      <c r="F222" s="84"/>
      <c r="G222" s="84"/>
      <c r="H222" s="84"/>
      <c r="I222" s="84"/>
      <c r="M222" s="112" t="s">
        <v>341</v>
      </c>
      <c r="P222" s="73"/>
      <c r="Q222" s="73"/>
      <c r="R222" s="73"/>
      <c r="S222" s="73"/>
      <c r="T222" s="73"/>
      <c r="U222" s="73"/>
      <c r="V222" s="73"/>
    </row>
    <row r="223" spans="2:22" ht="16.2" customHeight="1" x14ac:dyDescent="0.35">
      <c r="B223" s="84"/>
      <c r="C223" s="84"/>
      <c r="D223" s="84"/>
      <c r="E223" s="84"/>
      <c r="F223" s="84"/>
      <c r="G223" s="84"/>
      <c r="H223" s="84"/>
      <c r="I223" s="84"/>
      <c r="M223" s="112" t="s">
        <v>342</v>
      </c>
      <c r="P223" s="73"/>
      <c r="Q223" s="73"/>
      <c r="R223" s="73"/>
      <c r="S223" s="73"/>
      <c r="T223" s="73"/>
      <c r="U223" s="73"/>
      <c r="V223" s="73"/>
    </row>
    <row r="224" spans="2:22" ht="16.2" customHeight="1" x14ac:dyDescent="0.35">
      <c r="B224" s="84"/>
      <c r="C224" s="84"/>
      <c r="D224" s="84"/>
      <c r="E224" s="84"/>
      <c r="F224" s="84"/>
      <c r="G224" s="84"/>
      <c r="H224" s="84"/>
      <c r="I224" s="84"/>
      <c r="M224" s="113" t="s">
        <v>343</v>
      </c>
      <c r="P224" s="73"/>
      <c r="Q224" s="73"/>
      <c r="R224" s="73"/>
      <c r="S224" s="73"/>
      <c r="T224" s="73"/>
      <c r="U224" s="73"/>
      <c r="V224" s="73"/>
    </row>
    <row r="225" spans="2:22" ht="16.2" customHeight="1" x14ac:dyDescent="0.35">
      <c r="B225" s="84"/>
      <c r="C225" s="84"/>
      <c r="D225" s="84"/>
      <c r="E225" s="84"/>
      <c r="F225" s="84"/>
      <c r="G225" s="84"/>
      <c r="H225" s="84"/>
      <c r="I225" s="84"/>
      <c r="M225" s="109" t="s">
        <v>284</v>
      </c>
      <c r="P225" s="73"/>
      <c r="Q225" s="73"/>
      <c r="R225" s="73"/>
      <c r="S225" s="73"/>
      <c r="T225" s="73"/>
      <c r="U225" s="73"/>
      <c r="V225" s="73"/>
    </row>
    <row r="226" spans="2:22" ht="16.2" customHeight="1" x14ac:dyDescent="0.25">
      <c r="M226" s="112" t="s">
        <v>344</v>
      </c>
      <c r="P226" s="73"/>
      <c r="Q226" s="73"/>
      <c r="R226" s="73"/>
      <c r="S226" s="73"/>
      <c r="T226" s="73"/>
      <c r="U226" s="73"/>
      <c r="V226" s="73"/>
    </row>
    <row r="227" spans="2:22" ht="16.2" customHeight="1" x14ac:dyDescent="0.25">
      <c r="M227" s="112" t="s">
        <v>345</v>
      </c>
      <c r="P227" s="73"/>
      <c r="Q227" s="73"/>
      <c r="R227" s="73"/>
      <c r="S227" s="73"/>
      <c r="T227" s="73"/>
      <c r="U227" s="73"/>
      <c r="V227" s="73"/>
    </row>
    <row r="228" spans="2:22" ht="16.2" customHeight="1" x14ac:dyDescent="0.3">
      <c r="M228" s="109" t="s">
        <v>285</v>
      </c>
      <c r="P228" s="73"/>
      <c r="Q228" s="73"/>
      <c r="R228" s="73"/>
      <c r="S228" s="73"/>
      <c r="T228" s="73"/>
      <c r="U228" s="73"/>
      <c r="V228" s="73"/>
    </row>
    <row r="229" spans="2:22" ht="16.2" customHeight="1" x14ac:dyDescent="0.25">
      <c r="M229" s="112" t="s">
        <v>346</v>
      </c>
      <c r="P229" s="73"/>
      <c r="Q229" s="73"/>
      <c r="R229" s="73"/>
      <c r="S229" s="73"/>
      <c r="T229" s="73"/>
      <c r="U229" s="73"/>
      <c r="V229" s="73"/>
    </row>
    <row r="230" spans="2:22" ht="16.2" customHeight="1" x14ac:dyDescent="0.25">
      <c r="M230" s="112" t="s">
        <v>347</v>
      </c>
      <c r="P230" s="73"/>
      <c r="Q230" s="73"/>
      <c r="R230" s="73"/>
      <c r="S230" s="73"/>
      <c r="T230" s="73"/>
      <c r="U230" s="73"/>
      <c r="V230" s="73"/>
    </row>
    <row r="231" spans="2:22" ht="16.2" customHeight="1" x14ac:dyDescent="0.25">
      <c r="M231" s="112" t="s">
        <v>348</v>
      </c>
      <c r="P231" s="73"/>
      <c r="Q231" s="73"/>
      <c r="R231" s="73"/>
      <c r="S231" s="73"/>
      <c r="T231" s="73"/>
      <c r="U231" s="73"/>
      <c r="V231" s="73"/>
    </row>
    <row r="232" spans="2:22" ht="16.2" customHeight="1" x14ac:dyDescent="0.3">
      <c r="M232" s="109" t="s">
        <v>296</v>
      </c>
      <c r="P232" s="73"/>
      <c r="Q232" s="73"/>
      <c r="R232" s="73"/>
      <c r="S232" s="73"/>
      <c r="T232" s="73"/>
      <c r="U232" s="73"/>
      <c r="V232" s="73"/>
    </row>
    <row r="233" spans="2:22" ht="16.2" customHeight="1" x14ac:dyDescent="0.25">
      <c r="M233" s="112" t="s">
        <v>349</v>
      </c>
      <c r="P233" s="73"/>
      <c r="Q233" s="73"/>
      <c r="R233" s="73"/>
      <c r="S233" s="73"/>
      <c r="T233" s="73"/>
      <c r="U233" s="73"/>
      <c r="V233" s="73"/>
    </row>
    <row r="234" spans="2:22" ht="16.2" customHeight="1" x14ac:dyDescent="0.25">
      <c r="M234" s="112" t="s">
        <v>350</v>
      </c>
      <c r="P234" s="73"/>
      <c r="Q234" s="73"/>
      <c r="R234" s="73"/>
      <c r="S234" s="73"/>
      <c r="T234" s="73"/>
      <c r="U234" s="73"/>
      <c r="V234" s="73"/>
    </row>
    <row r="235" spans="2:22" ht="16.2" customHeight="1" x14ac:dyDescent="0.25">
      <c r="M235" s="112" t="s">
        <v>351</v>
      </c>
      <c r="P235" s="73"/>
      <c r="Q235" s="73"/>
      <c r="R235" s="73"/>
      <c r="S235" s="73"/>
      <c r="T235" s="73"/>
      <c r="U235" s="73"/>
      <c r="V235" s="73"/>
    </row>
    <row r="236" spans="2:22" ht="16.2" customHeight="1" x14ac:dyDescent="0.3">
      <c r="M236" s="109" t="s">
        <v>290</v>
      </c>
      <c r="P236" s="73"/>
      <c r="Q236" s="73"/>
      <c r="R236" s="73"/>
      <c r="S236" s="73"/>
      <c r="T236" s="73"/>
      <c r="U236" s="73"/>
      <c r="V236" s="73"/>
    </row>
    <row r="237" spans="2:22" ht="16.2" customHeight="1" x14ac:dyDescent="0.3">
      <c r="M237" s="109" t="s">
        <v>287</v>
      </c>
      <c r="P237" s="73"/>
      <c r="Q237" s="73"/>
      <c r="R237" s="73"/>
      <c r="S237" s="73"/>
      <c r="T237" s="73"/>
      <c r="U237" s="73"/>
      <c r="V237" s="73"/>
    </row>
    <row r="238" spans="2:22" ht="16.2" customHeight="1" x14ac:dyDescent="0.25">
      <c r="P238" s="73"/>
      <c r="Q238" s="73"/>
      <c r="R238" s="73"/>
      <c r="S238" s="73"/>
      <c r="T238" s="73"/>
      <c r="U238" s="73"/>
      <c r="V238" s="73"/>
    </row>
    <row r="239" spans="2:22" ht="16.2" customHeight="1" x14ac:dyDescent="0.25">
      <c r="P239" s="73"/>
      <c r="Q239" s="73"/>
      <c r="R239" s="73"/>
      <c r="S239" s="73"/>
      <c r="T239" s="73"/>
      <c r="U239" s="73"/>
      <c r="V239" s="73"/>
    </row>
    <row r="240" spans="2:22" ht="16.2" customHeight="1" x14ac:dyDescent="0.25">
      <c r="P240" s="73"/>
      <c r="Q240" s="73"/>
      <c r="R240" s="73"/>
      <c r="S240" s="73"/>
      <c r="T240" s="73"/>
      <c r="U240" s="73"/>
      <c r="V240" s="73"/>
    </row>
    <row r="241" spans="16:22" ht="16.2" customHeight="1" x14ac:dyDescent="0.25">
      <c r="P241" s="73"/>
      <c r="Q241" s="73"/>
      <c r="R241" s="73"/>
      <c r="S241" s="73"/>
      <c r="T241" s="73"/>
      <c r="U241" s="73"/>
      <c r="V241" s="73"/>
    </row>
    <row r="242" spans="16:22" ht="16.2" customHeight="1" x14ac:dyDescent="0.25">
      <c r="P242" s="73"/>
      <c r="Q242" s="73"/>
      <c r="R242" s="73"/>
      <c r="S242" s="73"/>
      <c r="T242" s="73"/>
      <c r="U242" s="73"/>
      <c r="V242" s="73"/>
    </row>
    <row r="243" spans="16:22" ht="16.2" customHeight="1" x14ac:dyDescent="0.25">
      <c r="P243" s="73"/>
      <c r="Q243" s="73"/>
      <c r="R243" s="73"/>
      <c r="S243" s="73"/>
      <c r="T243" s="73"/>
      <c r="U243" s="73"/>
      <c r="V243" s="73"/>
    </row>
    <row r="244" spans="16:22" ht="16.2" customHeight="1" x14ac:dyDescent="0.25">
      <c r="P244" s="73"/>
      <c r="Q244" s="73"/>
      <c r="R244" s="73"/>
      <c r="S244" s="73"/>
      <c r="T244" s="73"/>
      <c r="U244" s="73"/>
      <c r="V244" s="73"/>
    </row>
    <row r="245" spans="16:22" ht="16.2" customHeight="1" x14ac:dyDescent="0.25">
      <c r="P245" s="73"/>
      <c r="Q245" s="73"/>
      <c r="R245" s="73"/>
      <c r="S245" s="73"/>
      <c r="T245" s="73"/>
      <c r="U245" s="73"/>
      <c r="V245" s="73"/>
    </row>
    <row r="246" spans="16:22" ht="16.2" customHeight="1" x14ac:dyDescent="0.25">
      <c r="P246" s="73"/>
      <c r="Q246" s="73"/>
      <c r="R246" s="73"/>
      <c r="S246" s="73"/>
      <c r="T246" s="73"/>
      <c r="U246" s="73"/>
      <c r="V246" s="73"/>
    </row>
    <row r="247" spans="16:22" ht="16.2" customHeight="1" x14ac:dyDescent="0.25">
      <c r="P247" s="73"/>
      <c r="Q247" s="73"/>
      <c r="R247" s="73"/>
      <c r="S247" s="73"/>
      <c r="T247" s="73"/>
      <c r="U247" s="73"/>
      <c r="V247" s="73"/>
    </row>
    <row r="248" spans="16:22" ht="16.2" customHeight="1" x14ac:dyDescent="0.25">
      <c r="P248" s="73"/>
      <c r="Q248" s="73"/>
      <c r="R248" s="73"/>
      <c r="S248" s="73"/>
      <c r="T248" s="73"/>
      <c r="U248" s="73"/>
      <c r="V248" s="73"/>
    </row>
    <row r="249" spans="16:22" ht="16.2" customHeight="1" x14ac:dyDescent="0.25">
      <c r="P249" s="73"/>
      <c r="Q249" s="73"/>
      <c r="R249" s="73"/>
      <c r="S249" s="73"/>
      <c r="T249" s="73"/>
      <c r="U249" s="73"/>
      <c r="V249" s="73"/>
    </row>
    <row r="250" spans="16:22" ht="16.2" customHeight="1" x14ac:dyDescent="0.25">
      <c r="P250" s="73"/>
      <c r="Q250" s="73"/>
      <c r="R250" s="73"/>
      <c r="S250" s="73"/>
      <c r="T250" s="73"/>
      <c r="U250" s="73"/>
      <c r="V250" s="73"/>
    </row>
    <row r="251" spans="16:22" ht="16.2" customHeight="1" x14ac:dyDescent="0.25">
      <c r="P251" s="73"/>
      <c r="Q251" s="73"/>
      <c r="R251" s="73"/>
      <c r="S251" s="73"/>
      <c r="T251" s="73"/>
      <c r="U251" s="73"/>
      <c r="V251" s="73"/>
    </row>
    <row r="252" spans="16:22" ht="16.2" customHeight="1" x14ac:dyDescent="0.25"/>
    <row r="253" spans="16:22" ht="16.2" customHeight="1" x14ac:dyDescent="0.25"/>
    <row r="254" spans="16:22" ht="16.2" customHeight="1" x14ac:dyDescent="0.25"/>
    <row r="255" spans="16:22" ht="16.2" customHeight="1" x14ac:dyDescent="0.25"/>
  </sheetData>
  <sheetProtection algorithmName="SHA-512" hashValue="ESmnQdk4k65o87OgjOZi0mwgtrdTcn353hMxHsAu5GMda+Fw4wFdHX9FJLJnIL/gyy7qBvEjM6ROzlcC2A5NkQ==" saltValue="mKgBJ7pfnSm5ZX0/zOrvpQ==" spinCount="100000" sheet="1" objects="1" scenarios="1"/>
  <protectedRanges>
    <protectedRange sqref="G68 D69:E69 F68:F69 F51:I51 H68:I70 F6:I17 D70:F70" name="Rango1"/>
  </protectedRanges>
  <mergeCells count="121">
    <mergeCell ref="B26:C26"/>
    <mergeCell ref="F26:H26"/>
    <mergeCell ref="B27:C27"/>
    <mergeCell ref="F27:H27"/>
    <mergeCell ref="B96:F96"/>
    <mergeCell ref="G96:H96"/>
    <mergeCell ref="B98:F98"/>
    <mergeCell ref="G98:H98"/>
    <mergeCell ref="B100:F100"/>
    <mergeCell ref="G100:H100"/>
    <mergeCell ref="G75:H75"/>
    <mergeCell ref="B76:F76"/>
    <mergeCell ref="G76:H76"/>
    <mergeCell ref="G77:H77"/>
    <mergeCell ref="B78:F78"/>
    <mergeCell ref="G78:H78"/>
    <mergeCell ref="G73:H73"/>
    <mergeCell ref="B62:I62"/>
    <mergeCell ref="B61:I61"/>
    <mergeCell ref="B66:I66"/>
    <mergeCell ref="B65:I65"/>
    <mergeCell ref="G69:I69"/>
    <mergeCell ref="B49:C49"/>
    <mergeCell ref="B50:C50"/>
    <mergeCell ref="B73:F73"/>
    <mergeCell ref="B102:F102"/>
    <mergeCell ref="B94:I94"/>
    <mergeCell ref="B101:F101"/>
    <mergeCell ref="B99:F99"/>
    <mergeCell ref="G99:H99"/>
    <mergeCell ref="B95:F95"/>
    <mergeCell ref="G95:H95"/>
    <mergeCell ref="B97:F97"/>
    <mergeCell ref="I95:I102"/>
    <mergeCell ref="B90:F90"/>
    <mergeCell ref="B92:F92"/>
    <mergeCell ref="G83:H83"/>
    <mergeCell ref="G84:H84"/>
    <mergeCell ref="B71:I71"/>
    <mergeCell ref="B74:F74"/>
    <mergeCell ref="C145:I145"/>
    <mergeCell ref="C147:G147"/>
    <mergeCell ref="G85:H85"/>
    <mergeCell ref="G86:H86"/>
    <mergeCell ref="G87:H87"/>
    <mergeCell ref="B88:F88"/>
    <mergeCell ref="G88:H88"/>
    <mergeCell ref="B85:F85"/>
    <mergeCell ref="B86:F86"/>
    <mergeCell ref="B87:F87"/>
    <mergeCell ref="I72:I93"/>
    <mergeCell ref="B75:F75"/>
    <mergeCell ref="B79:F79"/>
    <mergeCell ref="B77:F77"/>
    <mergeCell ref="G79:H79"/>
    <mergeCell ref="B80:F80"/>
    <mergeCell ref="G80:H80"/>
    <mergeCell ref="G81:H81"/>
    <mergeCell ref="G82:H82"/>
    <mergeCell ref="G74:H74"/>
    <mergeCell ref="B72:F72"/>
    <mergeCell ref="G72:H72"/>
    <mergeCell ref="B48:C48"/>
    <mergeCell ref="F48:H48"/>
    <mergeCell ref="B23:C23"/>
    <mergeCell ref="F23:H23"/>
    <mergeCell ref="B24:C24"/>
    <mergeCell ref="F24:H24"/>
    <mergeCell ref="B25:D25"/>
    <mergeCell ref="F25:H25"/>
    <mergeCell ref="C184:G184"/>
    <mergeCell ref="B81:F81"/>
    <mergeCell ref="B82:F82"/>
    <mergeCell ref="B83:F83"/>
    <mergeCell ref="B84:F84"/>
    <mergeCell ref="G97:H97"/>
    <mergeCell ref="G101:H101"/>
    <mergeCell ref="G102:H102"/>
    <mergeCell ref="G89:H89"/>
    <mergeCell ref="G90:H90"/>
    <mergeCell ref="B91:F91"/>
    <mergeCell ref="G91:H91"/>
    <mergeCell ref="G92:H92"/>
    <mergeCell ref="B93:F93"/>
    <mergeCell ref="G93:H93"/>
    <mergeCell ref="B89:F89"/>
    <mergeCell ref="B12:C12"/>
    <mergeCell ref="B16:C16"/>
    <mergeCell ref="D16:I16"/>
    <mergeCell ref="B20:D20"/>
    <mergeCell ref="F20:H20"/>
    <mergeCell ref="B21:C21"/>
    <mergeCell ref="F21:H21"/>
    <mergeCell ref="B22:C22"/>
    <mergeCell ref="F22:H22"/>
    <mergeCell ref="B15:C15"/>
    <mergeCell ref="B14:C14"/>
    <mergeCell ref="B70:F70"/>
    <mergeCell ref="G70:I70"/>
    <mergeCell ref="D11:I11"/>
    <mergeCell ref="B3:I4"/>
    <mergeCell ref="D6:I6"/>
    <mergeCell ref="D7:I7"/>
    <mergeCell ref="D8:I8"/>
    <mergeCell ref="D9:I9"/>
    <mergeCell ref="D10:I10"/>
    <mergeCell ref="B10:C10"/>
    <mergeCell ref="B9:C9"/>
    <mergeCell ref="B8:C8"/>
    <mergeCell ref="B7:C7"/>
    <mergeCell ref="B6:C6"/>
    <mergeCell ref="B11:C11"/>
    <mergeCell ref="B52:I58"/>
    <mergeCell ref="B69:F69"/>
    <mergeCell ref="D12:I12"/>
    <mergeCell ref="D13:I13"/>
    <mergeCell ref="D14:I14"/>
    <mergeCell ref="D15:I15"/>
    <mergeCell ref="B18:F18"/>
    <mergeCell ref="G18:I18"/>
    <mergeCell ref="B13:C13"/>
  </mergeCells>
  <conditionalFormatting sqref="G72:H102">
    <cfRule type="cellIs" dxfId="20" priority="1" stopIfTrue="1" operator="between">
      <formula>0</formula>
      <formula>0.49</formula>
    </cfRule>
    <cfRule type="cellIs" dxfId="19" priority="2" stopIfTrue="1" operator="equal">
      <formula>"N/A"</formula>
    </cfRule>
    <cfRule type="cellIs" dxfId="18" priority="3" stopIfTrue="1" operator="between">
      <formula>0.85</formula>
      <formula>1</formula>
    </cfRule>
    <cfRule type="cellIs" dxfId="17" priority="4" stopIfTrue="1" operator="between">
      <formula>0.5</formula>
      <formula>0.84</formula>
    </cfRule>
  </conditionalFormatting>
  <dataValidations count="2">
    <dataValidation type="list" allowBlank="1" showInputMessage="1" showErrorMessage="1" sqref="D7:I7" xr:uid="{ED38378D-5A8F-477E-9320-AEB8E4E8BF0D}">
      <formula1>$M$142:$M$160</formula1>
    </dataValidation>
    <dataValidation type="list" allowBlank="1" showInputMessage="1" showErrorMessage="1" sqref="D8:I8" xr:uid="{7C018189-5A2A-41AC-94C7-03FAD578BE4E}">
      <formula1>$M$162:$M$237</formula1>
    </dataValidation>
  </dataValidations>
  <printOptions horizontalCentered="1"/>
  <pageMargins left="0.19685039370078741" right="0.35433070866141736" top="0.74803149606299213" bottom="0.62992125984251968" header="0.31496062992125984" footer="0.31496062992125984"/>
  <pageSetup scale="70" orientation="portrait" r:id="rId1"/>
  <rowBreaks count="1" manualBreakCount="1">
    <brk id="67" max="9" man="1"/>
  </rowBreaks>
  <colBreaks count="1" manualBreakCount="1">
    <brk id="10" max="1048575" man="1"/>
  </colBreaks>
  <ignoredErrors>
    <ignoredError sqref="G83" formula="1"/>
    <ignoredError sqref="I95 I72 E26:E50 Q69:Q70"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3671-A03C-44BB-A4D4-9B19CD8276D7}">
  <dimension ref="A1:Q28"/>
  <sheetViews>
    <sheetView tabSelected="1" view="pageBreakPreview" zoomScale="60" zoomScaleNormal="60" workbookViewId="0">
      <selection activeCell="B3" sqref="B3:G3"/>
    </sheetView>
  </sheetViews>
  <sheetFormatPr baseColWidth="10" defaultColWidth="10.88671875" defaultRowHeight="10.199999999999999" x14ac:dyDescent="0.2"/>
  <cols>
    <col min="1" max="5" width="10.88671875" style="114"/>
    <col min="6" max="6" width="78.44140625" style="114" customWidth="1"/>
    <col min="7" max="7" width="10.88671875" style="114" hidden="1" customWidth="1"/>
    <col min="8" max="9" width="10.88671875" style="114"/>
    <col min="10" max="10" width="42.88671875" style="114" customWidth="1"/>
    <col min="11" max="11" width="31.21875" style="114" customWidth="1"/>
    <col min="12" max="12" width="21.33203125" style="114" customWidth="1"/>
    <col min="13" max="13" width="28.33203125" style="114" customWidth="1"/>
    <col min="14" max="16384" width="10.88671875" style="114"/>
  </cols>
  <sheetData>
    <row r="1" spans="1:17" ht="64.2" customHeight="1" x14ac:dyDescent="0.2">
      <c r="A1" s="178" t="s">
        <v>391</v>
      </c>
      <c r="B1" s="179"/>
      <c r="C1" s="179"/>
      <c r="D1" s="179"/>
      <c r="E1" s="179"/>
      <c r="F1" s="179"/>
      <c r="G1" s="179"/>
      <c r="H1" s="179"/>
      <c r="I1" s="179"/>
      <c r="J1" s="179"/>
      <c r="K1" s="179"/>
      <c r="L1" s="179"/>
      <c r="M1" s="179"/>
    </row>
    <row r="2" spans="1:17" ht="61.2" customHeight="1" x14ac:dyDescent="0.4">
      <c r="A2" s="120" t="s">
        <v>358</v>
      </c>
      <c r="B2" s="180" t="s">
        <v>359</v>
      </c>
      <c r="C2" s="180"/>
      <c r="D2" s="180"/>
      <c r="E2" s="180"/>
      <c r="F2" s="180"/>
      <c r="G2" s="181" t="s">
        <v>360</v>
      </c>
      <c r="H2" s="181"/>
      <c r="I2" s="181"/>
      <c r="J2" s="181"/>
      <c r="K2" s="121" t="s">
        <v>361</v>
      </c>
      <c r="L2" s="122" t="s">
        <v>362</v>
      </c>
      <c r="M2" s="123" t="s">
        <v>363</v>
      </c>
    </row>
    <row r="3" spans="1:17" ht="213" customHeight="1" x14ac:dyDescent="0.2">
      <c r="A3" s="115">
        <v>3</v>
      </c>
      <c r="B3" s="230" t="s">
        <v>364</v>
      </c>
      <c r="C3" s="230"/>
      <c r="D3" s="230"/>
      <c r="E3" s="230"/>
      <c r="F3" s="230"/>
      <c r="G3" s="230"/>
      <c r="H3" s="176" t="s">
        <v>365</v>
      </c>
      <c r="I3" s="177"/>
      <c r="J3" s="177"/>
      <c r="K3" s="116" t="s">
        <v>366</v>
      </c>
      <c r="L3" s="116" t="s">
        <v>367</v>
      </c>
      <c r="M3" s="117">
        <v>46111</v>
      </c>
    </row>
    <row r="4" spans="1:17" ht="115.05" customHeight="1" x14ac:dyDescent="0.2">
      <c r="A4" s="115">
        <v>8</v>
      </c>
      <c r="B4" s="166" t="s">
        <v>249</v>
      </c>
      <c r="C4" s="166"/>
      <c r="D4" s="166"/>
      <c r="E4" s="166"/>
      <c r="F4" s="166"/>
      <c r="G4" s="166"/>
      <c r="H4" s="176" t="s">
        <v>368</v>
      </c>
      <c r="I4" s="177"/>
      <c r="J4" s="177"/>
      <c r="K4" s="116" t="s">
        <v>369</v>
      </c>
      <c r="L4" s="116" t="s">
        <v>367</v>
      </c>
      <c r="M4" s="117">
        <v>46111</v>
      </c>
    </row>
    <row r="5" spans="1:17" ht="112.05" customHeight="1" x14ac:dyDescent="0.2">
      <c r="A5" s="115">
        <v>9</v>
      </c>
      <c r="B5" s="166" t="s">
        <v>370</v>
      </c>
      <c r="C5" s="166"/>
      <c r="D5" s="166"/>
      <c r="E5" s="166"/>
      <c r="F5" s="166"/>
      <c r="G5" s="166"/>
      <c r="H5" s="167" t="s">
        <v>371</v>
      </c>
      <c r="I5" s="167"/>
      <c r="J5" s="167"/>
      <c r="K5" s="116" t="s">
        <v>372</v>
      </c>
      <c r="L5" s="116" t="s">
        <v>367</v>
      </c>
      <c r="M5" s="117">
        <v>46111</v>
      </c>
    </row>
    <row r="6" spans="1:17" ht="100.95" customHeight="1" x14ac:dyDescent="0.2">
      <c r="A6" s="115">
        <v>11</v>
      </c>
      <c r="B6" s="175" t="s">
        <v>373</v>
      </c>
      <c r="C6" s="175"/>
      <c r="D6" s="175"/>
      <c r="E6" s="175"/>
      <c r="F6" s="175"/>
      <c r="G6" s="175"/>
      <c r="H6" s="167" t="s">
        <v>374</v>
      </c>
      <c r="I6" s="167"/>
      <c r="J6" s="167"/>
      <c r="K6" s="116" t="s">
        <v>375</v>
      </c>
      <c r="L6" s="116" t="s">
        <v>367</v>
      </c>
      <c r="M6" s="117">
        <v>46142</v>
      </c>
    </row>
    <row r="7" spans="1:17" ht="121.95" customHeight="1" x14ac:dyDescent="0.2">
      <c r="A7" s="115">
        <v>12</v>
      </c>
      <c r="B7" s="166" t="s">
        <v>376</v>
      </c>
      <c r="C7" s="166"/>
      <c r="D7" s="166"/>
      <c r="E7" s="166"/>
      <c r="F7" s="166"/>
      <c r="G7" s="166"/>
      <c r="H7" s="167" t="s">
        <v>377</v>
      </c>
      <c r="I7" s="167"/>
      <c r="J7" s="167"/>
      <c r="K7" s="116" t="s">
        <v>378</v>
      </c>
      <c r="L7" s="116" t="s">
        <v>367</v>
      </c>
      <c r="M7" s="117">
        <v>46068</v>
      </c>
    </row>
    <row r="8" spans="1:17" ht="154.94999999999999" customHeight="1" x14ac:dyDescent="0.2">
      <c r="A8" s="115">
        <v>13</v>
      </c>
      <c r="B8" s="166" t="s">
        <v>379</v>
      </c>
      <c r="C8" s="166"/>
      <c r="D8" s="166"/>
      <c r="E8" s="166"/>
      <c r="F8" s="166"/>
      <c r="G8" s="166"/>
      <c r="H8" s="167" t="s">
        <v>380</v>
      </c>
      <c r="I8" s="167"/>
      <c r="J8" s="167"/>
      <c r="K8" s="118" t="s">
        <v>381</v>
      </c>
      <c r="L8" s="116" t="s">
        <v>367</v>
      </c>
      <c r="M8" s="117" t="s">
        <v>382</v>
      </c>
    </row>
    <row r="9" spans="1:17" ht="154.94999999999999" customHeight="1" x14ac:dyDescent="0.2">
      <c r="A9" s="115">
        <v>16</v>
      </c>
      <c r="B9" s="170" t="s">
        <v>385</v>
      </c>
      <c r="C9" s="170"/>
      <c r="D9" s="170"/>
      <c r="E9" s="170"/>
      <c r="F9" s="170"/>
      <c r="G9" s="170"/>
      <c r="H9" s="171" t="s">
        <v>386</v>
      </c>
      <c r="I9" s="172"/>
      <c r="J9" s="173"/>
      <c r="K9" s="118" t="s">
        <v>387</v>
      </c>
      <c r="L9" s="116" t="s">
        <v>367</v>
      </c>
      <c r="M9" s="117">
        <v>46111</v>
      </c>
    </row>
    <row r="10" spans="1:17" ht="154.94999999999999" customHeight="1" x14ac:dyDescent="0.2">
      <c r="A10" s="115">
        <v>18</v>
      </c>
      <c r="B10" s="174" t="s">
        <v>88</v>
      </c>
      <c r="C10" s="174"/>
      <c r="D10" s="174"/>
      <c r="E10" s="174"/>
      <c r="F10" s="174"/>
      <c r="G10" s="174"/>
      <c r="H10" s="171" t="s">
        <v>386</v>
      </c>
      <c r="I10" s="172"/>
      <c r="J10" s="173"/>
      <c r="K10" s="118" t="s">
        <v>387</v>
      </c>
      <c r="L10" s="116" t="s">
        <v>367</v>
      </c>
      <c r="M10" s="117">
        <v>46111</v>
      </c>
    </row>
    <row r="11" spans="1:17" ht="154.94999999999999" customHeight="1" x14ac:dyDescent="0.2">
      <c r="A11" s="115">
        <v>19</v>
      </c>
      <c r="B11" s="174" t="s">
        <v>252</v>
      </c>
      <c r="C11" s="174"/>
      <c r="D11" s="174"/>
      <c r="E11" s="174"/>
      <c r="F11" s="174"/>
      <c r="G11" s="174"/>
      <c r="H11" s="171" t="s">
        <v>388</v>
      </c>
      <c r="I11" s="172"/>
      <c r="J11" s="173"/>
      <c r="K11" s="118" t="s">
        <v>389</v>
      </c>
      <c r="L11" s="116" t="s">
        <v>367</v>
      </c>
      <c r="M11" s="117">
        <v>46142</v>
      </c>
    </row>
    <row r="12" spans="1:17" ht="104.55" customHeight="1" x14ac:dyDescent="0.2">
      <c r="A12" s="115">
        <v>34</v>
      </c>
      <c r="B12" s="168" t="s">
        <v>255</v>
      </c>
      <c r="C12" s="168"/>
      <c r="D12" s="168"/>
      <c r="E12" s="168"/>
      <c r="F12" s="168"/>
      <c r="G12" s="168"/>
      <c r="H12" s="169" t="s">
        <v>383</v>
      </c>
      <c r="I12" s="169"/>
      <c r="J12" s="169"/>
      <c r="K12" s="119" t="s">
        <v>384</v>
      </c>
      <c r="L12" s="116" t="s">
        <v>367</v>
      </c>
      <c r="M12" s="117">
        <v>46142</v>
      </c>
    </row>
    <row r="13" spans="1:17" x14ac:dyDescent="0.2">
      <c r="B13" s="161"/>
      <c r="C13" s="161"/>
      <c r="D13" s="161"/>
      <c r="E13" s="161"/>
      <c r="F13" s="161"/>
      <c r="G13" s="161"/>
      <c r="H13" s="161"/>
      <c r="I13" s="161"/>
      <c r="J13" s="161"/>
    </row>
    <row r="14" spans="1:17" x14ac:dyDescent="0.2">
      <c r="B14" s="161"/>
      <c r="C14" s="161"/>
      <c r="D14" s="161"/>
      <c r="E14" s="161"/>
      <c r="F14" s="161"/>
      <c r="G14" s="161"/>
      <c r="H14" s="161"/>
      <c r="I14" s="161"/>
      <c r="J14" s="161"/>
      <c r="L14" s="162"/>
      <c r="M14" s="162"/>
      <c r="N14" s="162"/>
      <c r="O14" s="162"/>
      <c r="P14" s="162"/>
      <c r="Q14" s="162"/>
    </row>
    <row r="15" spans="1:17" x14ac:dyDescent="0.2">
      <c r="B15" s="161"/>
      <c r="C15" s="161"/>
      <c r="D15" s="161"/>
      <c r="E15" s="161"/>
      <c r="F15" s="161"/>
      <c r="G15" s="161"/>
      <c r="H15" s="161"/>
      <c r="I15" s="161"/>
      <c r="J15" s="161"/>
    </row>
    <row r="16" spans="1:17" x14ac:dyDescent="0.2">
      <c r="B16" s="161"/>
      <c r="C16" s="161"/>
      <c r="D16" s="161"/>
      <c r="E16" s="161"/>
      <c r="F16" s="161"/>
      <c r="G16" s="161"/>
      <c r="H16" s="161"/>
      <c r="I16" s="161"/>
      <c r="J16" s="161"/>
    </row>
    <row r="18" spans="2:17" x14ac:dyDescent="0.2">
      <c r="M18" s="160"/>
      <c r="N18" s="160"/>
    </row>
    <row r="19" spans="2:17" x14ac:dyDescent="0.2">
      <c r="B19" s="160"/>
      <c r="C19" s="160"/>
      <c r="D19" s="160"/>
      <c r="E19" s="160"/>
      <c r="F19" s="160"/>
      <c r="G19" s="160"/>
    </row>
    <row r="20" spans="2:17" x14ac:dyDescent="0.2">
      <c r="F20" s="160"/>
      <c r="G20" s="160"/>
      <c r="H20" s="160"/>
      <c r="I20" s="160"/>
      <c r="J20" s="160"/>
      <c r="K20" s="160"/>
      <c r="M20" s="160"/>
      <c r="N20" s="160"/>
    </row>
    <row r="21" spans="2:17" x14ac:dyDescent="0.2">
      <c r="F21" s="160"/>
      <c r="G21" s="160"/>
    </row>
    <row r="22" spans="2:17" x14ac:dyDescent="0.2">
      <c r="B22" s="162"/>
      <c r="C22" s="162"/>
      <c r="D22" s="162"/>
      <c r="E22" s="162"/>
      <c r="F22" s="162"/>
      <c r="G22" s="162"/>
    </row>
    <row r="23" spans="2:17" x14ac:dyDescent="0.2">
      <c r="E23" s="160"/>
      <c r="F23" s="160"/>
      <c r="G23" s="160"/>
      <c r="H23" s="160"/>
      <c r="I23" s="160"/>
      <c r="J23" s="160"/>
      <c r="L23" s="163"/>
      <c r="M23" s="164"/>
    </row>
    <row r="24" spans="2:17" x14ac:dyDescent="0.2">
      <c r="F24" s="165"/>
      <c r="G24" s="165"/>
      <c r="H24" s="165"/>
      <c r="I24" s="165"/>
      <c r="J24" s="165"/>
      <c r="K24" s="165"/>
      <c r="L24" s="160"/>
      <c r="M24" s="160"/>
      <c r="N24" s="160"/>
      <c r="O24" s="160"/>
      <c r="P24" s="160"/>
      <c r="Q24" s="160"/>
    </row>
    <row r="25" spans="2:17" x14ac:dyDescent="0.2">
      <c r="B25" s="160"/>
      <c r="C25" s="160"/>
    </row>
    <row r="26" spans="2:17" x14ac:dyDescent="0.2">
      <c r="M26" s="160"/>
      <c r="N26" s="160"/>
    </row>
    <row r="27" spans="2:17" x14ac:dyDescent="0.2">
      <c r="B27" s="160"/>
      <c r="C27" s="160"/>
      <c r="D27" s="160"/>
      <c r="E27" s="160"/>
      <c r="F27" s="160"/>
      <c r="G27" s="160"/>
    </row>
    <row r="28" spans="2:17" x14ac:dyDescent="0.2">
      <c r="I28" s="160"/>
      <c r="J28" s="160"/>
    </row>
  </sheetData>
  <mergeCells count="46">
    <mergeCell ref="B4:G4"/>
    <mergeCell ref="H4:J4"/>
    <mergeCell ref="A1:M1"/>
    <mergeCell ref="B2:F2"/>
    <mergeCell ref="G2:J2"/>
    <mergeCell ref="B3:G3"/>
    <mergeCell ref="H3:J3"/>
    <mergeCell ref="B5:G5"/>
    <mergeCell ref="H5:J5"/>
    <mergeCell ref="B6:G6"/>
    <mergeCell ref="H6:J6"/>
    <mergeCell ref="B7:G7"/>
    <mergeCell ref="H7:J7"/>
    <mergeCell ref="B8:G8"/>
    <mergeCell ref="H8:J8"/>
    <mergeCell ref="B12:G12"/>
    <mergeCell ref="H12:J12"/>
    <mergeCell ref="B9:G9"/>
    <mergeCell ref="H9:J9"/>
    <mergeCell ref="B10:G10"/>
    <mergeCell ref="H10:J10"/>
    <mergeCell ref="B11:G11"/>
    <mergeCell ref="H11:J11"/>
    <mergeCell ref="M26:N26"/>
    <mergeCell ref="B27:G27"/>
    <mergeCell ref="I28:J28"/>
    <mergeCell ref="B19:G19"/>
    <mergeCell ref="F20:K20"/>
    <mergeCell ref="M20:N20"/>
    <mergeCell ref="F21:G21"/>
    <mergeCell ref="B22:G22"/>
    <mergeCell ref="E23:J23"/>
    <mergeCell ref="L23:M23"/>
    <mergeCell ref="F24:K24"/>
    <mergeCell ref="L24:Q24"/>
    <mergeCell ref="B25:C25"/>
    <mergeCell ref="M18:N18"/>
    <mergeCell ref="B13:G13"/>
    <mergeCell ref="H13:J13"/>
    <mergeCell ref="B14:G14"/>
    <mergeCell ref="L14:Q14"/>
    <mergeCell ref="B15:G15"/>
    <mergeCell ref="H15:J15"/>
    <mergeCell ref="B16:G16"/>
    <mergeCell ref="H16:J16"/>
    <mergeCell ref="H14:J14"/>
  </mergeCells>
  <conditionalFormatting sqref="A1">
    <cfRule type="expression" dxfId="16" priority="29">
      <formula>CELL("DIRECCION")=ADDRESS(ROW(),COLUMN())</formula>
    </cfRule>
  </conditionalFormatting>
  <conditionalFormatting sqref="A3:G12">
    <cfRule type="expression" dxfId="15" priority="1">
      <formula>CELL("DIRECCION")=ADDRESS(ROW(),COLUMN())</formula>
    </cfRule>
  </conditionalFormatting>
  <conditionalFormatting sqref="B25">
    <cfRule type="expression" dxfId="14" priority="16">
      <formula>CELL("DIRECCION")=ADDRESS(ROW(),COLUMN())</formula>
    </cfRule>
  </conditionalFormatting>
  <conditionalFormatting sqref="B19:G19">
    <cfRule type="expression" dxfId="13" priority="23">
      <formula>CELL("DIRECCION")=ADDRESS(ROW(),COLUMN())</formula>
    </cfRule>
  </conditionalFormatting>
  <conditionalFormatting sqref="B22:G22">
    <cfRule type="expression" dxfId="12" priority="17">
      <formula>CELL("DIRECCION")=ADDRESS(ROW(),COLUMN())</formula>
    </cfRule>
  </conditionalFormatting>
  <conditionalFormatting sqref="B27:G27">
    <cfRule type="expression" dxfId="11" priority="21">
      <formula>CELL("DIRECCION")=ADDRESS(ROW(),COLUMN())</formula>
    </cfRule>
  </conditionalFormatting>
  <conditionalFormatting sqref="E23:J23">
    <cfRule type="expression" dxfId="10" priority="25">
      <formula>CELL("DIRECCION")=ADDRESS(ROW(),COLUMN())</formula>
    </cfRule>
  </conditionalFormatting>
  <conditionalFormatting sqref="F21">
    <cfRule type="expression" dxfId="9" priority="24">
      <formula>CELL("DIRECCION")=ADDRESS(ROW(),COLUMN())</formula>
    </cfRule>
  </conditionalFormatting>
  <conditionalFormatting sqref="F20:K20">
    <cfRule type="expression" dxfId="8" priority="28">
      <formula>CELL("DIRECCION")=ADDRESS(ROW(),COLUMN())</formula>
    </cfRule>
  </conditionalFormatting>
  <conditionalFormatting sqref="F24:Q24">
    <cfRule type="expression" dxfId="7" priority="14">
      <formula>CELL("DIRECCION")=ADDRESS(ROW(),COLUMN())</formula>
    </cfRule>
  </conditionalFormatting>
  <conditionalFormatting sqref="I28">
    <cfRule type="expression" dxfId="6" priority="20">
      <formula>CELL("DIRECCION")=ADDRESS(ROW(),COLUMN())</formula>
    </cfRule>
  </conditionalFormatting>
  <conditionalFormatting sqref="K12">
    <cfRule type="expression" dxfId="5" priority="26">
      <formula>CELL("DIRECCION")=ADDRESS(ROW(),COLUMN())</formula>
    </cfRule>
  </conditionalFormatting>
  <conditionalFormatting sqref="L23">
    <cfRule type="expression" dxfId="4" priority="12">
      <formula>CELL("DIRECCION")=ADDRESS(ROW(),COLUMN())</formula>
    </cfRule>
  </conditionalFormatting>
  <conditionalFormatting sqref="L14:Q14">
    <cfRule type="expression" dxfId="3" priority="27">
      <formula>CELL("DIRECCION")=ADDRESS(ROW(),COLUMN())</formula>
    </cfRule>
  </conditionalFormatting>
  <conditionalFormatting sqref="M18">
    <cfRule type="expression" dxfId="2" priority="15">
      <formula>CELL("DIRECCION")=ADDRESS(ROW(),COLUMN())</formula>
    </cfRule>
  </conditionalFormatting>
  <conditionalFormatting sqref="M20">
    <cfRule type="expression" dxfId="1" priority="22">
      <formula>CELL("DIRECCION")=ADDRESS(ROW(),COLUMN())</formula>
    </cfRule>
  </conditionalFormatting>
  <conditionalFormatting sqref="M26">
    <cfRule type="expression" dxfId="0" priority="18">
      <formula>CELL("DIRECCION")=ADDRESS(ROW(),COLUMN())</formula>
    </cfRule>
  </conditionalFormatting>
  <pageMargins left="0.7" right="0.7" top="0.75" bottom="0.75" header="0.3" footer="0.3"/>
  <pageSetup scale="32" orientation="portrait" r:id="rId1"/>
  <colBreaks count="1" manualBreakCount="1">
    <brk id="13"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theme="9" tint="-0.249977111117893"/>
  </sheetPr>
  <dimension ref="A1:AH96"/>
  <sheetViews>
    <sheetView showGridLines="0" view="pageBreakPreview" topLeftCell="A96" zoomScaleNormal="100" zoomScaleSheetLayoutView="100" workbookViewId="0">
      <selection activeCell="B92" sqref="B92:F95"/>
    </sheetView>
  </sheetViews>
  <sheetFormatPr baseColWidth="10" defaultColWidth="11.44140625" defaultRowHeight="13.2" x14ac:dyDescent="0.25"/>
  <cols>
    <col min="1" max="1" width="2.6640625" style="23" customWidth="1"/>
    <col min="2" max="2" width="4.109375" customWidth="1"/>
    <col min="3" max="3" width="69" style="2" customWidth="1"/>
    <col min="4" max="6" width="7.44140625" customWidth="1"/>
    <col min="7" max="7" width="2.6640625" style="7" customWidth="1"/>
    <col min="8" max="30" width="10.6640625" style="7" customWidth="1"/>
    <col min="31" max="31" width="18" style="7" customWidth="1"/>
    <col min="32" max="32" width="11.44140625" style="7"/>
  </cols>
  <sheetData>
    <row r="1" spans="1:34" ht="21.75" customHeight="1" x14ac:dyDescent="0.25">
      <c r="AE1" s="11"/>
    </row>
    <row r="2" spans="1:34" ht="13.8" x14ac:dyDescent="0.25">
      <c r="AE2" s="26">
        <v>1</v>
      </c>
    </row>
    <row r="3" spans="1:34" ht="14.4" x14ac:dyDescent="0.3">
      <c r="B3" s="3"/>
      <c r="C3" s="4"/>
      <c r="D3" s="186"/>
      <c r="E3" s="186"/>
      <c r="F3" s="3"/>
      <c r="AE3" s="27">
        <v>0.95</v>
      </c>
    </row>
    <row r="4" spans="1:34" ht="14.4" x14ac:dyDescent="0.3">
      <c r="A4" s="24"/>
      <c r="B4" s="3"/>
      <c r="C4" s="4"/>
      <c r="D4" s="3"/>
      <c r="E4" s="3"/>
      <c r="F4" s="3"/>
      <c r="AE4" s="27">
        <v>0.9</v>
      </c>
    </row>
    <row r="5" spans="1:34" ht="30" customHeight="1" x14ac:dyDescent="0.25">
      <c r="A5" s="24"/>
      <c r="B5" s="187" t="s">
        <v>54</v>
      </c>
      <c r="C5" s="187"/>
      <c r="D5" s="187"/>
      <c r="E5" s="187"/>
      <c r="F5" s="187"/>
      <c r="AE5" s="27">
        <v>0.85</v>
      </c>
    </row>
    <row r="6" spans="1:34" ht="10.050000000000001" customHeight="1" x14ac:dyDescent="0.3">
      <c r="A6" s="24"/>
      <c r="B6" s="17"/>
      <c r="C6" s="18"/>
      <c r="D6" s="17"/>
      <c r="E6" s="17"/>
      <c r="F6" s="17"/>
      <c r="AE6" s="27">
        <v>0.8</v>
      </c>
    </row>
    <row r="7" spans="1:34" ht="30" customHeight="1" x14ac:dyDescent="0.25">
      <c r="A7" s="24"/>
      <c r="B7" s="188" t="s">
        <v>25</v>
      </c>
      <c r="C7" s="188"/>
      <c r="D7" s="183" t="s">
        <v>55</v>
      </c>
      <c r="E7" s="183"/>
      <c r="F7" s="183"/>
      <c r="AE7" s="27">
        <v>0.75</v>
      </c>
      <c r="AG7" s="7"/>
      <c r="AH7" s="7"/>
    </row>
    <row r="8" spans="1:34" ht="52.5" customHeight="1" x14ac:dyDescent="0.25">
      <c r="B8" s="36" t="s">
        <v>56</v>
      </c>
      <c r="C8" s="37" t="s">
        <v>57</v>
      </c>
      <c r="D8" s="182">
        <v>1</v>
      </c>
      <c r="E8" s="182"/>
      <c r="F8" s="182"/>
      <c r="AE8" s="27">
        <v>0.7</v>
      </c>
      <c r="AG8" s="7"/>
      <c r="AH8" s="7"/>
    </row>
    <row r="9" spans="1:34" ht="13.05" customHeight="1" x14ac:dyDescent="0.25">
      <c r="B9" s="190" t="s">
        <v>58</v>
      </c>
      <c r="C9" s="190"/>
      <c r="D9" s="190"/>
      <c r="E9" s="190"/>
      <c r="F9" s="190"/>
      <c r="AE9" s="27">
        <v>0.65</v>
      </c>
      <c r="AG9" s="7"/>
      <c r="AH9" s="7"/>
    </row>
    <row r="10" spans="1:34" ht="13.05" customHeight="1" x14ac:dyDescent="0.25">
      <c r="B10" s="190"/>
      <c r="C10" s="190"/>
      <c r="D10" s="190"/>
      <c r="E10" s="190"/>
      <c r="F10" s="190"/>
      <c r="AE10" s="27">
        <v>0.6</v>
      </c>
      <c r="AG10" s="7"/>
      <c r="AH10" s="7"/>
    </row>
    <row r="11" spans="1:34" ht="13.05" customHeight="1" x14ac:dyDescent="0.25">
      <c r="B11" s="190"/>
      <c r="C11" s="190"/>
      <c r="D11" s="190"/>
      <c r="E11" s="190"/>
      <c r="F11" s="190"/>
      <c r="AE11" s="27">
        <v>0.55000000000000004</v>
      </c>
      <c r="AG11" s="7"/>
      <c r="AH11" s="7"/>
    </row>
    <row r="12" spans="1:34" ht="13.05" customHeight="1" x14ac:dyDescent="0.25">
      <c r="B12" s="190"/>
      <c r="C12" s="190"/>
      <c r="D12" s="190"/>
      <c r="E12" s="190"/>
      <c r="F12" s="190"/>
      <c r="AE12" s="27">
        <v>0.5</v>
      </c>
      <c r="AG12" s="7"/>
      <c r="AH12" s="7"/>
    </row>
    <row r="13" spans="1:34" ht="10.050000000000001" customHeight="1" x14ac:dyDescent="0.3">
      <c r="B13" s="5"/>
      <c r="C13" s="18"/>
      <c r="D13" s="189"/>
      <c r="E13" s="189"/>
      <c r="F13" s="189"/>
      <c r="AE13" s="27">
        <v>0.45</v>
      </c>
      <c r="AG13" s="7"/>
      <c r="AH13" s="7"/>
    </row>
    <row r="14" spans="1:34" ht="30" customHeight="1" x14ac:dyDescent="0.25">
      <c r="B14" s="188" t="s">
        <v>26</v>
      </c>
      <c r="C14" s="188"/>
      <c r="D14" s="183" t="s">
        <v>55</v>
      </c>
      <c r="E14" s="183"/>
      <c r="F14" s="183"/>
      <c r="AE14" s="27">
        <v>0.4</v>
      </c>
      <c r="AG14" s="7"/>
      <c r="AH14" s="7"/>
    </row>
    <row r="15" spans="1:34" ht="22.05" customHeight="1" x14ac:dyDescent="0.25">
      <c r="B15" s="191" t="s">
        <v>27</v>
      </c>
      <c r="C15" s="191"/>
      <c r="D15" s="191"/>
      <c r="E15" s="191"/>
      <c r="F15" s="191"/>
      <c r="AE15" s="27">
        <v>0.35</v>
      </c>
      <c r="AG15" s="7"/>
      <c r="AH15" s="7"/>
    </row>
    <row r="16" spans="1:34" ht="55.8" customHeight="1" x14ac:dyDescent="0.25">
      <c r="A16" s="25"/>
      <c r="B16" s="36" t="s">
        <v>59</v>
      </c>
      <c r="C16" s="37" t="s">
        <v>291</v>
      </c>
      <c r="D16" s="182">
        <v>1</v>
      </c>
      <c r="E16" s="182"/>
      <c r="F16" s="182"/>
      <c r="AE16" s="27">
        <v>0.3</v>
      </c>
      <c r="AG16" s="7"/>
      <c r="AH16" s="7"/>
    </row>
    <row r="17" spans="1:34" ht="37.799999999999997" customHeight="1" x14ac:dyDescent="0.25">
      <c r="A17" s="25"/>
      <c r="B17" s="38" t="s">
        <v>60</v>
      </c>
      <c r="C17" s="39" t="s">
        <v>61</v>
      </c>
      <c r="D17" s="184">
        <v>0.5</v>
      </c>
      <c r="E17" s="184"/>
      <c r="F17" s="184"/>
      <c r="AE17" s="27">
        <v>0.25</v>
      </c>
      <c r="AG17" s="7"/>
      <c r="AH17" s="7"/>
    </row>
    <row r="18" spans="1:34" ht="22.05" customHeight="1" x14ac:dyDescent="0.25">
      <c r="A18" s="25"/>
      <c r="B18" s="185" t="s">
        <v>28</v>
      </c>
      <c r="C18" s="185"/>
      <c r="D18" s="185"/>
      <c r="E18" s="185"/>
      <c r="F18" s="185"/>
      <c r="AE18" s="28">
        <v>0.2</v>
      </c>
      <c r="AG18" s="7"/>
      <c r="AH18" s="7"/>
    </row>
    <row r="19" spans="1:34" ht="71.400000000000006" customHeight="1" x14ac:dyDescent="0.25">
      <c r="A19" s="25"/>
      <c r="B19" s="36" t="s">
        <v>62</v>
      </c>
      <c r="C19" s="37" t="s">
        <v>292</v>
      </c>
      <c r="D19" s="182">
        <v>1</v>
      </c>
      <c r="E19" s="182"/>
      <c r="F19" s="182"/>
      <c r="AE19" s="28">
        <v>0.15</v>
      </c>
      <c r="AG19" s="7"/>
      <c r="AH19" s="7"/>
    </row>
    <row r="20" spans="1:34" ht="22.05" customHeight="1" x14ac:dyDescent="0.25">
      <c r="A20" s="25"/>
      <c r="B20" s="185" t="s">
        <v>29</v>
      </c>
      <c r="C20" s="185"/>
      <c r="D20" s="185"/>
      <c r="E20" s="185"/>
      <c r="F20" s="185"/>
      <c r="AE20" s="27">
        <v>0.1</v>
      </c>
      <c r="AG20" s="7"/>
      <c r="AH20" s="7"/>
    </row>
    <row r="21" spans="1:34" ht="40.049999999999997" customHeight="1" x14ac:dyDescent="0.25">
      <c r="A21" s="25"/>
      <c r="B21" s="38" t="s">
        <v>63</v>
      </c>
      <c r="C21" s="39" t="s">
        <v>64</v>
      </c>
      <c r="D21" s="184">
        <v>1</v>
      </c>
      <c r="E21" s="184"/>
      <c r="F21" s="184"/>
      <c r="AE21" s="27">
        <v>0.05</v>
      </c>
      <c r="AG21" s="7"/>
      <c r="AH21" s="7"/>
    </row>
    <row r="22" spans="1:34" ht="33" customHeight="1" x14ac:dyDescent="0.25">
      <c r="A22" s="25"/>
      <c r="B22" s="185" t="s">
        <v>30</v>
      </c>
      <c r="C22" s="185"/>
      <c r="D22" s="185"/>
      <c r="E22" s="185"/>
      <c r="F22" s="185"/>
      <c r="AE22" s="28">
        <v>0</v>
      </c>
      <c r="AG22" s="7"/>
      <c r="AH22" s="7"/>
    </row>
    <row r="23" spans="1:34" ht="40.049999999999997" customHeight="1" x14ac:dyDescent="0.25">
      <c r="A23" s="25"/>
      <c r="B23" s="36" t="s">
        <v>65</v>
      </c>
      <c r="C23" s="37" t="s">
        <v>66</v>
      </c>
      <c r="D23" s="182">
        <v>1</v>
      </c>
      <c r="E23" s="182"/>
      <c r="F23" s="182"/>
      <c r="AE23" s="27" t="s">
        <v>67</v>
      </c>
      <c r="AG23" s="7"/>
      <c r="AH23" s="7"/>
    </row>
    <row r="24" spans="1:34" ht="40.049999999999997" customHeight="1" x14ac:dyDescent="0.25">
      <c r="A24" s="25"/>
      <c r="B24" s="38" t="s">
        <v>68</v>
      </c>
      <c r="C24" s="39" t="s">
        <v>69</v>
      </c>
      <c r="D24" s="184">
        <v>1</v>
      </c>
      <c r="E24" s="184"/>
      <c r="F24" s="184"/>
      <c r="AG24" s="7"/>
      <c r="AH24" s="7"/>
    </row>
    <row r="25" spans="1:34" ht="71.25" customHeight="1" x14ac:dyDescent="0.25">
      <c r="A25" s="25"/>
      <c r="B25" s="36" t="s">
        <v>70</v>
      </c>
      <c r="C25" s="37" t="s">
        <v>249</v>
      </c>
      <c r="D25" s="182">
        <v>0</v>
      </c>
      <c r="E25" s="182"/>
      <c r="F25" s="182"/>
      <c r="AG25" s="7"/>
      <c r="AH25" s="7"/>
    </row>
    <row r="26" spans="1:34" ht="55.05" customHeight="1" x14ac:dyDescent="0.25">
      <c r="A26" s="25"/>
      <c r="B26" s="38" t="s">
        <v>71</v>
      </c>
      <c r="C26" s="39" t="s">
        <v>72</v>
      </c>
      <c r="D26" s="184">
        <v>0</v>
      </c>
      <c r="E26" s="184"/>
      <c r="F26" s="184"/>
      <c r="AG26" s="7"/>
      <c r="AH26" s="7"/>
    </row>
    <row r="27" spans="1:34" ht="22.05" customHeight="1" x14ac:dyDescent="0.25">
      <c r="A27" s="25"/>
      <c r="B27" s="185" t="s">
        <v>31</v>
      </c>
      <c r="C27" s="185"/>
      <c r="D27" s="185"/>
      <c r="E27" s="185"/>
      <c r="F27" s="185"/>
      <c r="AG27" s="7"/>
      <c r="AH27" s="7"/>
    </row>
    <row r="28" spans="1:34" ht="40.049999999999997" customHeight="1" x14ac:dyDescent="0.25">
      <c r="A28" s="25"/>
      <c r="B28" s="36" t="s">
        <v>73</v>
      </c>
      <c r="C28" s="37" t="s">
        <v>250</v>
      </c>
      <c r="D28" s="182">
        <v>1</v>
      </c>
      <c r="E28" s="182"/>
      <c r="F28" s="182"/>
      <c r="AG28" s="7"/>
      <c r="AH28" s="7"/>
    </row>
    <row r="29" spans="1:34" ht="30" customHeight="1" x14ac:dyDescent="0.25">
      <c r="A29" s="25"/>
      <c r="B29" s="38" t="s">
        <v>74</v>
      </c>
      <c r="C29" s="39" t="s">
        <v>75</v>
      </c>
      <c r="D29" s="184">
        <v>0.5</v>
      </c>
      <c r="E29" s="184"/>
      <c r="F29" s="184"/>
      <c r="AG29" s="7"/>
      <c r="AH29" s="7"/>
    </row>
    <row r="30" spans="1:34" ht="30" customHeight="1" x14ac:dyDescent="0.25">
      <c r="A30" s="25"/>
      <c r="B30" s="36" t="s">
        <v>76</v>
      </c>
      <c r="C30" s="37" t="s">
        <v>77</v>
      </c>
      <c r="D30" s="182">
        <v>0.5</v>
      </c>
      <c r="E30" s="182"/>
      <c r="F30" s="182"/>
      <c r="AG30" s="7"/>
      <c r="AH30" s="7"/>
    </row>
    <row r="31" spans="1:34" ht="48.75" customHeight="1" x14ac:dyDescent="0.25">
      <c r="A31" s="25"/>
      <c r="B31" s="38" t="s">
        <v>78</v>
      </c>
      <c r="C31" s="39" t="s">
        <v>79</v>
      </c>
      <c r="D31" s="184">
        <v>0.5</v>
      </c>
      <c r="E31" s="184"/>
      <c r="F31" s="184"/>
      <c r="AG31" s="7"/>
      <c r="AH31" s="7"/>
    </row>
    <row r="32" spans="1:34" ht="67.5" customHeight="1" x14ac:dyDescent="0.25">
      <c r="A32" s="25"/>
      <c r="B32" s="36" t="s">
        <v>80</v>
      </c>
      <c r="C32" s="37" t="s">
        <v>81</v>
      </c>
      <c r="D32" s="182">
        <v>1</v>
      </c>
      <c r="E32" s="182"/>
      <c r="F32" s="182"/>
      <c r="AG32" s="7"/>
      <c r="AH32" s="7"/>
    </row>
    <row r="33" spans="1:34" ht="68.25" customHeight="1" x14ac:dyDescent="0.25">
      <c r="A33" s="25"/>
      <c r="B33" s="38" t="s">
        <v>82</v>
      </c>
      <c r="C33" s="39" t="s">
        <v>251</v>
      </c>
      <c r="D33" s="184" t="s">
        <v>67</v>
      </c>
      <c r="E33" s="184"/>
      <c r="F33" s="184"/>
      <c r="AG33" s="7"/>
      <c r="AH33" s="7"/>
    </row>
    <row r="34" spans="1:34" ht="22.05" customHeight="1" x14ac:dyDescent="0.25">
      <c r="B34" s="185" t="s">
        <v>32</v>
      </c>
      <c r="C34" s="185"/>
      <c r="D34" s="185"/>
      <c r="E34" s="185"/>
      <c r="F34" s="185"/>
      <c r="AG34" s="7"/>
      <c r="AH34" s="7"/>
    </row>
    <row r="35" spans="1:34" ht="40.049999999999997" customHeight="1" x14ac:dyDescent="0.25">
      <c r="A35" s="25"/>
      <c r="B35" s="36" t="s">
        <v>83</v>
      </c>
      <c r="C35" s="37" t="s">
        <v>84</v>
      </c>
      <c r="D35" s="182">
        <v>0.5</v>
      </c>
      <c r="E35" s="182"/>
      <c r="F35" s="182"/>
      <c r="AG35" s="7"/>
      <c r="AH35" s="7"/>
    </row>
    <row r="36" spans="1:34" ht="30" customHeight="1" x14ac:dyDescent="0.25">
      <c r="A36" s="25"/>
      <c r="B36" s="38" t="s">
        <v>85</v>
      </c>
      <c r="C36" s="39" t="s">
        <v>86</v>
      </c>
      <c r="D36" s="184">
        <v>1</v>
      </c>
      <c r="E36" s="184"/>
      <c r="F36" s="184"/>
      <c r="AG36" s="7"/>
      <c r="AH36" s="7"/>
    </row>
    <row r="37" spans="1:34" ht="40.049999999999997" customHeight="1" x14ac:dyDescent="0.25">
      <c r="A37" s="25"/>
      <c r="B37" s="36" t="s">
        <v>87</v>
      </c>
      <c r="C37" s="37" t="s">
        <v>88</v>
      </c>
      <c r="D37" s="182">
        <v>0.5</v>
      </c>
      <c r="E37" s="182"/>
      <c r="F37" s="182"/>
      <c r="AG37" s="7"/>
      <c r="AH37" s="7"/>
    </row>
    <row r="38" spans="1:34" ht="67.2" customHeight="1" x14ac:dyDescent="0.25">
      <c r="A38" s="25"/>
      <c r="B38" s="38" t="s">
        <v>89</v>
      </c>
      <c r="C38" s="39" t="s">
        <v>252</v>
      </c>
      <c r="D38" s="184">
        <v>0</v>
      </c>
      <c r="E38" s="184"/>
      <c r="F38" s="184"/>
      <c r="AG38" s="7"/>
      <c r="AH38" s="7"/>
    </row>
    <row r="39" spans="1:34" ht="13.05" customHeight="1" x14ac:dyDescent="0.25">
      <c r="B39" s="192" t="s">
        <v>58</v>
      </c>
      <c r="C39" s="192"/>
      <c r="D39" s="192"/>
      <c r="E39" s="192"/>
      <c r="F39" s="192"/>
      <c r="AG39" s="7"/>
      <c r="AH39" s="7"/>
    </row>
    <row r="40" spans="1:34" ht="13.05" customHeight="1" x14ac:dyDescent="0.25">
      <c r="B40" s="192"/>
      <c r="C40" s="192"/>
      <c r="D40" s="192"/>
      <c r="E40" s="192"/>
      <c r="F40" s="192"/>
      <c r="AG40" s="7"/>
      <c r="AH40" s="7"/>
    </row>
    <row r="41" spans="1:34" ht="13.05" customHeight="1" x14ac:dyDescent="0.25">
      <c r="B41" s="192"/>
      <c r="C41" s="192"/>
      <c r="D41" s="192"/>
      <c r="E41" s="192"/>
      <c r="F41" s="192"/>
      <c r="AG41" s="7"/>
      <c r="AH41" s="7"/>
    </row>
    <row r="42" spans="1:34" ht="13.05" customHeight="1" x14ac:dyDescent="0.25">
      <c r="B42" s="192"/>
      <c r="C42" s="192"/>
      <c r="D42" s="192"/>
      <c r="E42" s="192"/>
      <c r="F42" s="192"/>
      <c r="AG42" s="7"/>
      <c r="AH42" s="7"/>
    </row>
    <row r="43" spans="1:34" ht="10.050000000000001" customHeight="1" x14ac:dyDescent="0.25">
      <c r="B43" s="10"/>
      <c r="C43" s="35"/>
      <c r="D43" s="9"/>
      <c r="E43" s="9"/>
      <c r="F43" s="9"/>
      <c r="AG43" s="7"/>
      <c r="AH43" s="7"/>
    </row>
    <row r="44" spans="1:34" ht="30" customHeight="1" x14ac:dyDescent="0.25">
      <c r="B44" s="188" t="s">
        <v>90</v>
      </c>
      <c r="C44" s="188"/>
      <c r="D44" s="183" t="s">
        <v>55</v>
      </c>
      <c r="E44" s="183"/>
      <c r="F44" s="183"/>
      <c r="AG44" s="7"/>
      <c r="AH44" s="7"/>
    </row>
    <row r="45" spans="1:34" ht="22.05" customHeight="1" x14ac:dyDescent="0.25">
      <c r="B45" s="185" t="s">
        <v>91</v>
      </c>
      <c r="C45" s="185"/>
      <c r="D45" s="185"/>
      <c r="E45" s="185"/>
      <c r="F45" s="185"/>
      <c r="AG45" s="7"/>
      <c r="AH45" s="7"/>
    </row>
    <row r="46" spans="1:34" ht="70.5" customHeight="1" x14ac:dyDescent="0.25">
      <c r="A46" s="25"/>
      <c r="B46" s="36" t="s">
        <v>92</v>
      </c>
      <c r="C46" s="37" t="s">
        <v>93</v>
      </c>
      <c r="D46" s="182">
        <v>1</v>
      </c>
      <c r="E46" s="182"/>
      <c r="F46" s="182"/>
      <c r="AG46" s="7"/>
      <c r="AH46" s="7"/>
    </row>
    <row r="47" spans="1:34" ht="30" customHeight="1" x14ac:dyDescent="0.25">
      <c r="A47" s="25"/>
      <c r="B47" s="38" t="s">
        <v>94</v>
      </c>
      <c r="C47" s="39" t="s">
        <v>95</v>
      </c>
      <c r="D47" s="184">
        <v>1</v>
      </c>
      <c r="E47" s="184"/>
      <c r="F47" s="184"/>
      <c r="AG47" s="7"/>
      <c r="AH47" s="7"/>
    </row>
    <row r="48" spans="1:34" ht="22.05" customHeight="1" x14ac:dyDescent="0.25">
      <c r="B48" s="185" t="s">
        <v>96</v>
      </c>
      <c r="C48" s="185"/>
      <c r="D48" s="185"/>
      <c r="E48" s="185"/>
      <c r="F48" s="185"/>
      <c r="AG48" s="7"/>
      <c r="AH48" s="7"/>
    </row>
    <row r="49" spans="1:34" ht="60" customHeight="1" x14ac:dyDescent="0.25">
      <c r="A49" s="25"/>
      <c r="B49" s="36" t="s">
        <v>97</v>
      </c>
      <c r="C49" s="37" t="s">
        <v>98</v>
      </c>
      <c r="D49" s="182">
        <v>1</v>
      </c>
      <c r="E49" s="182"/>
      <c r="F49" s="182"/>
      <c r="AG49" s="7"/>
      <c r="AH49" s="7"/>
    </row>
    <row r="50" spans="1:34" ht="40.049999999999997" customHeight="1" x14ac:dyDescent="0.25">
      <c r="A50" s="25"/>
      <c r="B50" s="38" t="s">
        <v>99</v>
      </c>
      <c r="C50" s="39" t="s">
        <v>100</v>
      </c>
      <c r="D50" s="184" t="s">
        <v>67</v>
      </c>
      <c r="E50" s="184"/>
      <c r="F50" s="184"/>
      <c r="AG50" s="7"/>
      <c r="AH50" s="7"/>
    </row>
    <row r="51" spans="1:34" ht="22.05" customHeight="1" x14ac:dyDescent="0.25">
      <c r="B51" s="185" t="s">
        <v>101</v>
      </c>
      <c r="C51" s="185"/>
      <c r="D51" s="185"/>
      <c r="E51" s="185"/>
      <c r="F51" s="185"/>
      <c r="AG51" s="7"/>
      <c r="AH51" s="7"/>
    </row>
    <row r="52" spans="1:34" ht="30" customHeight="1" x14ac:dyDescent="0.25">
      <c r="A52" s="25"/>
      <c r="B52" s="36" t="s">
        <v>102</v>
      </c>
      <c r="C52" s="37" t="s">
        <v>103</v>
      </c>
      <c r="D52" s="182">
        <v>1</v>
      </c>
      <c r="E52" s="182"/>
      <c r="F52" s="182"/>
      <c r="AG52" s="7"/>
      <c r="AH52" s="7"/>
    </row>
    <row r="53" spans="1:34" ht="22.05" customHeight="1" x14ac:dyDescent="0.25">
      <c r="B53" s="185" t="s">
        <v>104</v>
      </c>
      <c r="C53" s="185"/>
      <c r="D53" s="185"/>
      <c r="E53" s="185"/>
      <c r="F53" s="185"/>
      <c r="AG53" s="7"/>
      <c r="AH53" s="7"/>
    </row>
    <row r="54" spans="1:34" ht="30" customHeight="1" x14ac:dyDescent="0.25">
      <c r="A54" s="25"/>
      <c r="B54" s="38" t="s">
        <v>105</v>
      </c>
      <c r="C54" s="39" t="s">
        <v>106</v>
      </c>
      <c r="D54" s="184">
        <v>1</v>
      </c>
      <c r="E54" s="184"/>
      <c r="F54" s="184"/>
      <c r="AG54" s="7"/>
      <c r="AH54" s="7"/>
    </row>
    <row r="55" spans="1:34" ht="22.05" customHeight="1" x14ac:dyDescent="0.25">
      <c r="B55" s="185" t="s">
        <v>37</v>
      </c>
      <c r="C55" s="185"/>
      <c r="D55" s="185"/>
      <c r="E55" s="185"/>
      <c r="F55" s="185"/>
    </row>
    <row r="56" spans="1:34" ht="57.75" customHeight="1" x14ac:dyDescent="0.25">
      <c r="A56" s="25"/>
      <c r="B56" s="36" t="s">
        <v>107</v>
      </c>
      <c r="C56" s="76" t="s">
        <v>108</v>
      </c>
      <c r="D56" s="182">
        <v>1</v>
      </c>
      <c r="E56" s="182"/>
      <c r="F56" s="182"/>
    </row>
    <row r="57" spans="1:34" ht="22.05" customHeight="1" x14ac:dyDescent="0.25">
      <c r="B57" s="185" t="s">
        <v>38</v>
      </c>
      <c r="C57" s="185"/>
      <c r="D57" s="185"/>
      <c r="E57" s="185"/>
      <c r="F57" s="185"/>
    </row>
    <row r="58" spans="1:34" ht="40.049999999999997" customHeight="1" x14ac:dyDescent="0.25">
      <c r="A58" s="25"/>
      <c r="B58" s="38" t="s">
        <v>109</v>
      </c>
      <c r="C58" s="39" t="s">
        <v>110</v>
      </c>
      <c r="D58" s="184">
        <v>1</v>
      </c>
      <c r="E58" s="184"/>
      <c r="F58" s="184"/>
    </row>
    <row r="59" spans="1:34" ht="30" customHeight="1" x14ac:dyDescent="0.25">
      <c r="A59" s="25"/>
      <c r="B59" s="36" t="s">
        <v>111</v>
      </c>
      <c r="C59" s="37" t="s">
        <v>112</v>
      </c>
      <c r="D59" s="182">
        <v>1</v>
      </c>
      <c r="E59" s="182"/>
      <c r="F59" s="182"/>
    </row>
    <row r="60" spans="1:34" ht="22.05" customHeight="1" x14ac:dyDescent="0.25">
      <c r="B60" s="185" t="s">
        <v>39</v>
      </c>
      <c r="C60" s="185"/>
      <c r="D60" s="185"/>
      <c r="E60" s="185"/>
      <c r="F60" s="185"/>
    </row>
    <row r="61" spans="1:34" ht="40.049999999999997" customHeight="1" x14ac:dyDescent="0.25">
      <c r="A61" s="25"/>
      <c r="B61" s="38" t="s">
        <v>113</v>
      </c>
      <c r="C61" s="75" t="s">
        <v>253</v>
      </c>
      <c r="D61" s="184">
        <v>1</v>
      </c>
      <c r="E61" s="184"/>
      <c r="F61" s="184"/>
    </row>
    <row r="62" spans="1:34" ht="40.049999999999997" customHeight="1" x14ac:dyDescent="0.25">
      <c r="A62" s="25"/>
      <c r="B62" s="36" t="s">
        <v>114</v>
      </c>
      <c r="C62" s="76" t="s">
        <v>254</v>
      </c>
      <c r="D62" s="182">
        <v>1</v>
      </c>
      <c r="E62" s="182"/>
      <c r="F62" s="182"/>
    </row>
    <row r="63" spans="1:34" ht="13.05" customHeight="1" x14ac:dyDescent="0.25">
      <c r="B63" s="192" t="s">
        <v>58</v>
      </c>
      <c r="C63" s="192"/>
      <c r="D63" s="192"/>
      <c r="E63" s="192"/>
      <c r="F63" s="192"/>
    </row>
    <row r="64" spans="1:34" ht="13.05" customHeight="1" x14ac:dyDescent="0.25">
      <c r="B64" s="192"/>
      <c r="C64" s="192"/>
      <c r="D64" s="192"/>
      <c r="E64" s="192"/>
      <c r="F64" s="192"/>
    </row>
    <row r="65" spans="1:6" ht="13.05" customHeight="1" x14ac:dyDescent="0.25">
      <c r="B65" s="192"/>
      <c r="C65" s="192"/>
      <c r="D65" s="192"/>
      <c r="E65" s="192"/>
      <c r="F65" s="192"/>
    </row>
    <row r="66" spans="1:6" ht="13.05" customHeight="1" x14ac:dyDescent="0.25">
      <c r="B66" s="192"/>
      <c r="C66" s="192"/>
      <c r="D66" s="192"/>
      <c r="E66" s="192"/>
      <c r="F66" s="192"/>
    </row>
    <row r="67" spans="1:6" ht="10.050000000000001" customHeight="1" x14ac:dyDescent="0.25">
      <c r="B67" s="10"/>
      <c r="C67" s="35"/>
      <c r="D67" s="9"/>
      <c r="E67" s="9"/>
      <c r="F67" s="9"/>
    </row>
    <row r="68" spans="1:6" ht="30" customHeight="1" x14ac:dyDescent="0.25">
      <c r="B68" s="188" t="s">
        <v>115</v>
      </c>
      <c r="C68" s="188"/>
      <c r="D68" s="183"/>
      <c r="E68" s="183"/>
      <c r="F68" s="183"/>
    </row>
    <row r="69" spans="1:6" ht="22.05" customHeight="1" x14ac:dyDescent="0.25">
      <c r="B69" s="185" t="s">
        <v>41</v>
      </c>
      <c r="C69" s="185"/>
      <c r="D69" s="185"/>
      <c r="E69" s="185"/>
      <c r="F69" s="185"/>
    </row>
    <row r="70" spans="1:6" ht="55.05" customHeight="1" x14ac:dyDescent="0.25">
      <c r="A70" s="25"/>
      <c r="B70" s="38" t="s">
        <v>116</v>
      </c>
      <c r="C70" s="75" t="s">
        <v>117</v>
      </c>
      <c r="D70" s="184">
        <v>1</v>
      </c>
      <c r="E70" s="184"/>
      <c r="F70" s="184"/>
    </row>
    <row r="71" spans="1:6" ht="40.049999999999997" customHeight="1" x14ac:dyDescent="0.25">
      <c r="A71" s="25"/>
      <c r="B71" s="36" t="s">
        <v>118</v>
      </c>
      <c r="C71" s="76" t="s">
        <v>119</v>
      </c>
      <c r="D71" s="182">
        <v>1</v>
      </c>
      <c r="E71" s="182"/>
      <c r="F71" s="182"/>
    </row>
    <row r="72" spans="1:6" ht="22.05" customHeight="1" x14ac:dyDescent="0.25">
      <c r="B72" s="185" t="s">
        <v>42</v>
      </c>
      <c r="C72" s="185"/>
      <c r="D72" s="185"/>
      <c r="E72" s="185"/>
      <c r="F72" s="185"/>
    </row>
    <row r="73" spans="1:6" ht="40.049999999999997" customHeight="1" x14ac:dyDescent="0.25">
      <c r="A73" s="25"/>
      <c r="B73" s="36" t="s">
        <v>120</v>
      </c>
      <c r="C73" s="76" t="s">
        <v>121</v>
      </c>
      <c r="D73" s="182">
        <v>1</v>
      </c>
      <c r="E73" s="182"/>
      <c r="F73" s="182"/>
    </row>
    <row r="74" spans="1:6" ht="13.05" customHeight="1" x14ac:dyDescent="0.25">
      <c r="B74" s="194" t="s">
        <v>58</v>
      </c>
      <c r="C74" s="194"/>
      <c r="D74" s="194"/>
      <c r="E74" s="194"/>
      <c r="F74" s="194"/>
    </row>
    <row r="75" spans="1:6" ht="13.05" customHeight="1" x14ac:dyDescent="0.25">
      <c r="B75" s="194"/>
      <c r="C75" s="194"/>
      <c r="D75" s="194"/>
      <c r="E75" s="194"/>
      <c r="F75" s="194"/>
    </row>
    <row r="76" spans="1:6" ht="13.05" customHeight="1" x14ac:dyDescent="0.25">
      <c r="B76" s="194"/>
      <c r="C76" s="194"/>
      <c r="D76" s="194"/>
      <c r="E76" s="194"/>
      <c r="F76" s="194"/>
    </row>
    <row r="77" spans="1:6" ht="13.05" customHeight="1" x14ac:dyDescent="0.25">
      <c r="B77" s="194"/>
      <c r="C77" s="194"/>
      <c r="D77" s="194"/>
      <c r="E77" s="194"/>
      <c r="F77" s="194"/>
    </row>
    <row r="78" spans="1:6" ht="10.050000000000001" customHeight="1" x14ac:dyDescent="0.25">
      <c r="B78" s="10"/>
      <c r="C78" s="35"/>
      <c r="D78" s="9"/>
      <c r="E78" s="9"/>
      <c r="F78" s="9"/>
    </row>
    <row r="79" spans="1:6" ht="30" customHeight="1" x14ac:dyDescent="0.25">
      <c r="A79" s="25"/>
      <c r="B79" s="188" t="s">
        <v>122</v>
      </c>
      <c r="C79" s="188"/>
      <c r="D79" s="183" t="s">
        <v>55</v>
      </c>
      <c r="E79" s="183"/>
      <c r="F79" s="183"/>
    </row>
    <row r="80" spans="1:6" ht="22.05" customHeight="1" x14ac:dyDescent="0.25">
      <c r="A80" s="24"/>
      <c r="B80" s="185" t="s">
        <v>123</v>
      </c>
      <c r="C80" s="185"/>
      <c r="D80" s="185"/>
      <c r="E80" s="185"/>
      <c r="F80" s="185"/>
    </row>
    <row r="81" spans="1:6" ht="30" customHeight="1" x14ac:dyDescent="0.25">
      <c r="A81" s="25"/>
      <c r="B81" s="38" t="s">
        <v>124</v>
      </c>
      <c r="C81" s="75" t="s">
        <v>255</v>
      </c>
      <c r="D81" s="184">
        <v>0</v>
      </c>
      <c r="E81" s="184"/>
      <c r="F81" s="184"/>
    </row>
    <row r="82" spans="1:6" ht="30" customHeight="1" x14ac:dyDescent="0.25">
      <c r="A82" s="25"/>
      <c r="B82" s="36" t="s">
        <v>125</v>
      </c>
      <c r="C82" s="76" t="s">
        <v>126</v>
      </c>
      <c r="D82" s="182" t="s">
        <v>67</v>
      </c>
      <c r="E82" s="182"/>
      <c r="F82" s="182"/>
    </row>
    <row r="83" spans="1:6" ht="13.05" customHeight="1" x14ac:dyDescent="0.25">
      <c r="B83" s="192" t="s">
        <v>58</v>
      </c>
      <c r="C83" s="192"/>
      <c r="D83" s="192"/>
      <c r="E83" s="192"/>
      <c r="F83" s="192"/>
    </row>
    <row r="84" spans="1:6" ht="13.05" customHeight="1" x14ac:dyDescent="0.25">
      <c r="B84" s="192"/>
      <c r="C84" s="192"/>
      <c r="D84" s="192"/>
      <c r="E84" s="192"/>
      <c r="F84" s="192"/>
    </row>
    <row r="85" spans="1:6" ht="13.05" customHeight="1" x14ac:dyDescent="0.25">
      <c r="B85" s="192"/>
      <c r="C85" s="192"/>
      <c r="D85" s="192"/>
      <c r="E85" s="192"/>
      <c r="F85" s="192"/>
    </row>
    <row r="86" spans="1:6" ht="13.05" customHeight="1" x14ac:dyDescent="0.25">
      <c r="B86" s="192"/>
      <c r="C86" s="192"/>
      <c r="D86" s="192"/>
      <c r="E86" s="192"/>
      <c r="F86" s="192"/>
    </row>
    <row r="87" spans="1:6" ht="10.050000000000001" customHeight="1" x14ac:dyDescent="0.25">
      <c r="B87" s="10"/>
      <c r="C87" s="35"/>
      <c r="D87" s="9"/>
      <c r="E87" s="9"/>
      <c r="F87" s="9"/>
    </row>
    <row r="88" spans="1:6" ht="30" customHeight="1" x14ac:dyDescent="0.25">
      <c r="B88" s="188" t="s">
        <v>127</v>
      </c>
      <c r="C88" s="188"/>
      <c r="D88" s="193"/>
      <c r="E88" s="193"/>
      <c r="F88" s="193"/>
    </row>
    <row r="89" spans="1:6" ht="42.75" customHeight="1" x14ac:dyDescent="0.25">
      <c r="A89" s="25"/>
      <c r="B89" s="38" t="s">
        <v>128</v>
      </c>
      <c r="C89" s="75" t="s">
        <v>129</v>
      </c>
      <c r="D89" s="184">
        <v>1</v>
      </c>
      <c r="E89" s="184"/>
      <c r="F89" s="184"/>
    </row>
    <row r="90" spans="1:6" ht="39" customHeight="1" x14ac:dyDescent="0.25">
      <c r="A90" s="25"/>
      <c r="B90" s="36" t="s">
        <v>130</v>
      </c>
      <c r="C90" s="76" t="s">
        <v>131</v>
      </c>
      <c r="D90" s="182">
        <v>1</v>
      </c>
      <c r="E90" s="182"/>
      <c r="F90" s="182"/>
    </row>
    <row r="91" spans="1:6" ht="30" customHeight="1" x14ac:dyDescent="0.25">
      <c r="A91" s="25"/>
      <c r="B91" s="38" t="s">
        <v>132</v>
      </c>
      <c r="C91" s="75" t="s">
        <v>133</v>
      </c>
      <c r="D91" s="184">
        <v>1</v>
      </c>
      <c r="E91" s="184"/>
      <c r="F91" s="184"/>
    </row>
    <row r="92" spans="1:6" ht="12.75" customHeight="1" x14ac:dyDescent="0.25">
      <c r="B92" s="192" t="s">
        <v>134</v>
      </c>
      <c r="C92" s="192"/>
      <c r="D92" s="192"/>
      <c r="E92" s="192"/>
      <c r="F92" s="192"/>
    </row>
    <row r="93" spans="1:6" ht="12.75" customHeight="1" x14ac:dyDescent="0.25">
      <c r="B93" s="192"/>
      <c r="C93" s="192"/>
      <c r="D93" s="192"/>
      <c r="E93" s="192"/>
      <c r="F93" s="192"/>
    </row>
    <row r="94" spans="1:6" ht="12.75" customHeight="1" x14ac:dyDescent="0.25">
      <c r="B94" s="192"/>
      <c r="C94" s="192"/>
      <c r="D94" s="192"/>
      <c r="E94" s="192"/>
      <c r="F94" s="192"/>
    </row>
    <row r="95" spans="1:6" ht="12.75" customHeight="1" x14ac:dyDescent="0.25">
      <c r="B95" s="192"/>
      <c r="C95" s="192"/>
      <c r="D95" s="192"/>
      <c r="E95" s="192"/>
      <c r="F95" s="192"/>
    </row>
    <row r="96" spans="1:6" ht="14.4" x14ac:dyDescent="0.25">
      <c r="B96" s="32"/>
      <c r="C96" s="33"/>
      <c r="D96" s="34"/>
      <c r="E96" s="34"/>
      <c r="F96" s="34"/>
    </row>
  </sheetData>
  <sheetProtection algorithmName="SHA-512" hashValue="gHnBHuDMKswID4hJS+aZ/lnv1g/IsDVpFcOAaKxiKZfGPNvZygoSOKFzdmQakjN9H0LHjpMpDaNelBbm5gGf/w==" saltValue="e1KH/rKcykl36be3IeS7Rw==" spinCount="100000" sheet="1" selectLockedCells="1"/>
  <dataConsolidate/>
  <mergeCells count="75">
    <mergeCell ref="B92:F95"/>
    <mergeCell ref="B44:C44"/>
    <mergeCell ref="D49:F49"/>
    <mergeCell ref="D50:F50"/>
    <mergeCell ref="D52:F52"/>
    <mergeCell ref="B88:C88"/>
    <mergeCell ref="D89:F89"/>
    <mergeCell ref="D91:F91"/>
    <mergeCell ref="D88:F88"/>
    <mergeCell ref="D90:F90"/>
    <mergeCell ref="D73:F73"/>
    <mergeCell ref="B79:C79"/>
    <mergeCell ref="D79:F79"/>
    <mergeCell ref="B80:F80"/>
    <mergeCell ref="B63:F66"/>
    <mergeCell ref="B74:F77"/>
    <mergeCell ref="B83:F86"/>
    <mergeCell ref="D62:F62"/>
    <mergeCell ref="B51:F51"/>
    <mergeCell ref="B53:F53"/>
    <mergeCell ref="D81:F81"/>
    <mergeCell ref="B68:C68"/>
    <mergeCell ref="D68:F68"/>
    <mergeCell ref="B69:F69"/>
    <mergeCell ref="D70:F70"/>
    <mergeCell ref="B72:F72"/>
    <mergeCell ref="B60:F60"/>
    <mergeCell ref="D61:F61"/>
    <mergeCell ref="D82:F82"/>
    <mergeCell ref="D30:F30"/>
    <mergeCell ref="D31:F31"/>
    <mergeCell ref="D35:F35"/>
    <mergeCell ref="D56:F56"/>
    <mergeCell ref="B55:F55"/>
    <mergeCell ref="D46:F46"/>
    <mergeCell ref="D47:F47"/>
    <mergeCell ref="B45:F45"/>
    <mergeCell ref="D36:F36"/>
    <mergeCell ref="D37:F37"/>
    <mergeCell ref="B39:F42"/>
    <mergeCell ref="D24:F24"/>
    <mergeCell ref="D7:F7"/>
    <mergeCell ref="D13:F13"/>
    <mergeCell ref="D16:F16"/>
    <mergeCell ref="D8:F8"/>
    <mergeCell ref="B18:F18"/>
    <mergeCell ref="B9:F12"/>
    <mergeCell ref="B20:F20"/>
    <mergeCell ref="B22:F22"/>
    <mergeCell ref="B15:F15"/>
    <mergeCell ref="D23:F23"/>
    <mergeCell ref="D19:F19"/>
    <mergeCell ref="D21:F21"/>
    <mergeCell ref="D3:E3"/>
    <mergeCell ref="B5:F5"/>
    <mergeCell ref="B7:C7"/>
    <mergeCell ref="B14:C14"/>
    <mergeCell ref="D17:F17"/>
    <mergeCell ref="D14:F14"/>
    <mergeCell ref="D25:F25"/>
    <mergeCell ref="D44:F44"/>
    <mergeCell ref="D71:F71"/>
    <mergeCell ref="D54:F54"/>
    <mergeCell ref="D59:F59"/>
    <mergeCell ref="B57:F57"/>
    <mergeCell ref="D58:F58"/>
    <mergeCell ref="D28:F28"/>
    <mergeCell ref="B27:F27"/>
    <mergeCell ref="B34:F34"/>
    <mergeCell ref="D38:F38"/>
    <mergeCell ref="B48:F48"/>
    <mergeCell ref="D26:F26"/>
    <mergeCell ref="D32:F32"/>
    <mergeCell ref="D33:F33"/>
    <mergeCell ref="D29:F29"/>
  </mergeCells>
  <dataValidations count="2">
    <dataValidation type="list" allowBlank="1" showInputMessage="1" showErrorMessage="1" sqref="D83:F88 D63:F67 D92:F96 D80:F80 D39:F43 D48:F48 D53:F53 D78:F78" xr:uid="{00000000-0002-0000-0200-000001000000}">
      <formula1>$AE$3:$AE$23</formula1>
    </dataValidation>
    <dataValidation type="list" allowBlank="1" showInputMessage="1" showErrorMessage="1" sqref="D8:F8 D16:F17 D19:F19 D21:F21 D23:F26 D28:F33 D35:F38 D46:F47 D49:F50 D52:F52 D54:F54 D56:F56 D58:F59 D61:F62 D70:F71 D73:F73 D81:F82 D89:F91" xr:uid="{FBDFBE1F-EF12-4BBB-A127-9244384E6A4C}">
      <formula1>$AE$2:$AE$23</formula1>
    </dataValidation>
  </dataValidations>
  <printOptions horizontalCentered="1"/>
  <pageMargins left="0.19685039370078741" right="0.19685039370078741" top="0.35433070866141736" bottom="0.11811023622047245" header="0.31496062992125984" footer="0.19685039370078741"/>
  <pageSetup scale="90" orientation="portrait" horizontalDpi="300" verticalDpi="300" r:id="rId1"/>
  <rowBreaks count="4" manualBreakCount="4">
    <brk id="26" max="6" man="1"/>
    <brk id="47" max="6" man="1"/>
    <brk id="78" max="6" man="1"/>
    <brk id="87" max="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tabColor theme="9" tint="-0.249977111117893"/>
  </sheetPr>
  <dimension ref="A3:AG47"/>
  <sheetViews>
    <sheetView showGridLines="0" view="pageBreakPreview" zoomScale="95" zoomScaleNormal="100" zoomScaleSheetLayoutView="95" workbookViewId="0">
      <selection activeCell="D9" sqref="D9:F9"/>
    </sheetView>
  </sheetViews>
  <sheetFormatPr baseColWidth="10" defaultColWidth="11.44140625" defaultRowHeight="13.2" x14ac:dyDescent="0.25"/>
  <cols>
    <col min="1" max="1" width="2.6640625" customWidth="1"/>
    <col min="2" max="2" width="4.6640625" customWidth="1"/>
    <col min="3" max="3" width="73.33203125" customWidth="1"/>
    <col min="4" max="6" width="7" customWidth="1"/>
    <col min="7" max="7" width="2.6640625" style="7" customWidth="1"/>
    <col min="8" max="8" width="10.6640625" customWidth="1"/>
    <col min="9" max="31" width="10.6640625" style="7" customWidth="1"/>
    <col min="32" max="32" width="11.44140625" style="7" customWidth="1"/>
    <col min="33" max="33" width="11.44140625" style="7"/>
  </cols>
  <sheetData>
    <row r="3" spans="1:33" ht="13.8" x14ac:dyDescent="0.25">
      <c r="AF3" s="26">
        <v>1</v>
      </c>
    </row>
    <row r="4" spans="1:33" ht="18" customHeight="1" x14ac:dyDescent="0.25">
      <c r="AF4" s="27">
        <v>0.95</v>
      </c>
    </row>
    <row r="5" spans="1:33" ht="35.25" customHeight="1" x14ac:dyDescent="0.25">
      <c r="B5" s="203" t="s">
        <v>135</v>
      </c>
      <c r="C5" s="204"/>
      <c r="D5" s="204"/>
      <c r="E5" s="204"/>
      <c r="F5" s="205"/>
      <c r="AF5" s="27">
        <v>0.9</v>
      </c>
    </row>
    <row r="6" spans="1:33" ht="10.050000000000001" customHeight="1" x14ac:dyDescent="0.25">
      <c r="AF6" s="27">
        <v>0.85</v>
      </c>
    </row>
    <row r="7" spans="1:33" s="16" customFormat="1" ht="25.95" customHeight="1" x14ac:dyDescent="0.25">
      <c r="B7" s="188" t="s">
        <v>46</v>
      </c>
      <c r="C7" s="188"/>
      <c r="D7" s="183" t="s">
        <v>55</v>
      </c>
      <c r="E7" s="183"/>
      <c r="F7" s="183"/>
      <c r="G7" s="15"/>
      <c r="I7" s="15"/>
      <c r="J7" s="15"/>
      <c r="K7" s="15"/>
      <c r="L7" s="15"/>
      <c r="M7" s="15"/>
      <c r="N7" s="15"/>
      <c r="O7" s="15"/>
      <c r="P7" s="15"/>
      <c r="Q7" s="15"/>
      <c r="R7" s="15"/>
      <c r="S7" s="15"/>
      <c r="T7" s="15"/>
      <c r="U7" s="15"/>
      <c r="V7" s="15"/>
      <c r="W7" s="15"/>
      <c r="X7" s="15"/>
      <c r="Y7" s="15"/>
      <c r="Z7" s="15"/>
      <c r="AA7" s="15"/>
      <c r="AB7" s="15"/>
      <c r="AC7" s="15"/>
      <c r="AD7" s="15"/>
      <c r="AE7" s="15"/>
      <c r="AF7" s="27">
        <v>0.8</v>
      </c>
      <c r="AG7" s="15"/>
    </row>
    <row r="8" spans="1:33" s="16" customFormat="1" ht="15" customHeight="1" x14ac:dyDescent="0.25">
      <c r="B8" s="185" t="s">
        <v>136</v>
      </c>
      <c r="C8" s="185"/>
      <c r="D8" s="185"/>
      <c r="E8" s="185"/>
      <c r="F8" s="185"/>
      <c r="G8" s="15"/>
      <c r="I8" s="15"/>
      <c r="J8" s="15"/>
      <c r="K8" s="15"/>
      <c r="L8" s="15"/>
      <c r="M8" s="15"/>
      <c r="N8" s="15"/>
      <c r="O8" s="15"/>
      <c r="P8" s="15"/>
      <c r="Q8" s="15"/>
      <c r="R8" s="15"/>
      <c r="S8" s="15"/>
      <c r="T8" s="15"/>
      <c r="U8" s="15"/>
      <c r="V8" s="15"/>
      <c r="W8" s="15"/>
      <c r="X8" s="15"/>
      <c r="Y8" s="15"/>
      <c r="Z8" s="15"/>
      <c r="AA8" s="15"/>
      <c r="AB8" s="15"/>
      <c r="AC8" s="15"/>
      <c r="AD8" s="15"/>
      <c r="AE8" s="15"/>
      <c r="AF8" s="27">
        <v>0.75</v>
      </c>
      <c r="AG8" s="15"/>
    </row>
    <row r="9" spans="1:33" ht="57.75" customHeight="1" x14ac:dyDescent="0.25">
      <c r="A9" s="25"/>
      <c r="B9" s="36" t="s">
        <v>137</v>
      </c>
      <c r="C9" s="37" t="s">
        <v>138</v>
      </c>
      <c r="D9" s="182">
        <v>1</v>
      </c>
      <c r="E9" s="182"/>
      <c r="F9" s="182"/>
      <c r="AF9" s="27">
        <v>0.7</v>
      </c>
    </row>
    <row r="10" spans="1:33" ht="15" customHeight="1" x14ac:dyDescent="0.25">
      <c r="B10" s="192" t="s">
        <v>139</v>
      </c>
      <c r="C10" s="192"/>
      <c r="D10" s="192"/>
      <c r="E10" s="192"/>
      <c r="F10" s="192"/>
      <c r="AF10" s="27">
        <v>0.65</v>
      </c>
    </row>
    <row r="11" spans="1:33" ht="12.75" customHeight="1" x14ac:dyDescent="0.25">
      <c r="B11" s="192"/>
      <c r="C11" s="192"/>
      <c r="D11" s="192"/>
      <c r="E11" s="192"/>
      <c r="F11" s="192"/>
      <c r="AF11" s="27">
        <v>0.6</v>
      </c>
    </row>
    <row r="12" spans="1:33" ht="12.75" customHeight="1" x14ac:dyDescent="0.25">
      <c r="B12" s="192"/>
      <c r="C12" s="192"/>
      <c r="D12" s="192"/>
      <c r="E12" s="192"/>
      <c r="F12" s="192"/>
      <c r="AF12" s="27">
        <v>0.55000000000000004</v>
      </c>
    </row>
    <row r="13" spans="1:33" ht="12.75" customHeight="1" x14ac:dyDescent="0.25">
      <c r="B13" s="192"/>
      <c r="C13" s="192"/>
      <c r="D13" s="192"/>
      <c r="E13" s="192"/>
      <c r="F13" s="192"/>
      <c r="AF13" s="27">
        <v>0.5</v>
      </c>
    </row>
    <row r="14" spans="1:33" ht="10.050000000000001" customHeight="1" x14ac:dyDescent="0.25">
      <c r="B14" s="10"/>
      <c r="C14" s="8"/>
      <c r="D14" s="9"/>
      <c r="E14" s="9"/>
      <c r="F14" s="9"/>
      <c r="AF14" s="27">
        <v>0.45</v>
      </c>
    </row>
    <row r="15" spans="1:33" s="16" customFormat="1" ht="25.95" customHeight="1" x14ac:dyDescent="0.25">
      <c r="B15" s="188" t="s">
        <v>48</v>
      </c>
      <c r="C15" s="188"/>
      <c r="D15" s="183" t="s">
        <v>55</v>
      </c>
      <c r="E15" s="183"/>
      <c r="F15" s="183"/>
      <c r="G15" s="15"/>
      <c r="I15" s="15"/>
      <c r="J15" s="15"/>
      <c r="K15" s="15"/>
      <c r="L15" s="15"/>
      <c r="M15" s="15"/>
      <c r="N15" s="15"/>
      <c r="O15" s="15"/>
      <c r="P15" s="15"/>
      <c r="Q15" s="15"/>
      <c r="R15" s="15"/>
      <c r="S15" s="15"/>
      <c r="T15" s="15"/>
      <c r="U15" s="15"/>
      <c r="V15" s="15"/>
      <c r="W15" s="15"/>
      <c r="X15" s="15"/>
      <c r="Y15" s="15"/>
      <c r="Z15" s="15"/>
      <c r="AA15" s="15"/>
      <c r="AB15" s="15"/>
      <c r="AC15" s="15"/>
      <c r="AD15" s="15"/>
      <c r="AE15" s="15"/>
      <c r="AF15" s="27">
        <v>0.4</v>
      </c>
      <c r="AG15" s="15"/>
    </row>
    <row r="16" spans="1:33" ht="18" customHeight="1" x14ac:dyDescent="0.25">
      <c r="B16" s="185" t="s">
        <v>140</v>
      </c>
      <c r="C16" s="185"/>
      <c r="D16" s="185"/>
      <c r="E16" s="185"/>
      <c r="F16" s="185"/>
      <c r="AF16" s="27">
        <v>0.35</v>
      </c>
    </row>
    <row r="17" spans="1:32" ht="51.75" customHeight="1" x14ac:dyDescent="0.25">
      <c r="A17" s="25"/>
      <c r="B17" s="36" t="s">
        <v>141</v>
      </c>
      <c r="C17" s="40" t="s">
        <v>142</v>
      </c>
      <c r="D17" s="182">
        <v>1</v>
      </c>
      <c r="E17" s="182"/>
      <c r="F17" s="182"/>
      <c r="AF17" s="27">
        <v>0.3</v>
      </c>
    </row>
    <row r="18" spans="1:32" ht="55.05" customHeight="1" x14ac:dyDescent="0.25">
      <c r="A18" s="25"/>
      <c r="B18" s="36" t="s">
        <v>143</v>
      </c>
      <c r="C18" s="40" t="s">
        <v>144</v>
      </c>
      <c r="D18" s="182">
        <v>1</v>
      </c>
      <c r="E18" s="182"/>
      <c r="F18" s="182"/>
      <c r="AF18" s="27">
        <v>0.25</v>
      </c>
    </row>
    <row r="19" spans="1:32" ht="13.05" customHeight="1" x14ac:dyDescent="0.25">
      <c r="B19" s="192" t="s">
        <v>139</v>
      </c>
      <c r="C19" s="192"/>
      <c r="D19" s="192"/>
      <c r="E19" s="192"/>
      <c r="F19" s="192"/>
      <c r="AF19" s="28">
        <v>0.2</v>
      </c>
    </row>
    <row r="20" spans="1:32" ht="13.05" customHeight="1" x14ac:dyDescent="0.25">
      <c r="B20" s="192"/>
      <c r="C20" s="192"/>
      <c r="D20" s="192"/>
      <c r="E20" s="192"/>
      <c r="F20" s="192"/>
      <c r="AF20" s="28">
        <v>0.15</v>
      </c>
    </row>
    <row r="21" spans="1:32" ht="13.05" customHeight="1" x14ac:dyDescent="0.25">
      <c r="B21" s="192"/>
      <c r="C21" s="192"/>
      <c r="D21" s="192"/>
      <c r="E21" s="192"/>
      <c r="F21" s="192"/>
      <c r="AF21" s="27">
        <v>0.1</v>
      </c>
    </row>
    <row r="22" spans="1:32" ht="13.05" customHeight="1" x14ac:dyDescent="0.25">
      <c r="B22" s="192"/>
      <c r="C22" s="192"/>
      <c r="D22" s="192"/>
      <c r="E22" s="192"/>
      <c r="F22" s="192"/>
      <c r="AF22" s="27">
        <v>0.05</v>
      </c>
    </row>
    <row r="23" spans="1:32" ht="10.050000000000001" customHeight="1" x14ac:dyDescent="0.25">
      <c r="B23" s="10"/>
      <c r="C23" s="8"/>
      <c r="D23" s="9"/>
      <c r="E23" s="9"/>
      <c r="F23" s="9"/>
      <c r="AF23" s="28">
        <v>0</v>
      </c>
    </row>
    <row r="24" spans="1:32" ht="25.95" customHeight="1" x14ac:dyDescent="0.25">
      <c r="B24" s="188" t="s">
        <v>50</v>
      </c>
      <c r="C24" s="188"/>
      <c r="D24" s="208" t="s">
        <v>55</v>
      </c>
      <c r="E24" s="208"/>
      <c r="F24" s="209"/>
      <c r="AF24" s="27" t="s">
        <v>67</v>
      </c>
    </row>
    <row r="25" spans="1:32" ht="30" customHeight="1" x14ac:dyDescent="0.25">
      <c r="B25" s="185" t="s">
        <v>145</v>
      </c>
      <c r="C25" s="185"/>
      <c r="D25" s="206"/>
      <c r="E25" s="206"/>
      <c r="F25" s="207"/>
    </row>
    <row r="26" spans="1:32" ht="30" customHeight="1" x14ac:dyDescent="0.25">
      <c r="A26" s="25"/>
      <c r="B26" s="36" t="s">
        <v>146</v>
      </c>
      <c r="C26" s="40" t="s">
        <v>145</v>
      </c>
      <c r="D26" s="210" t="s">
        <v>67</v>
      </c>
      <c r="E26" s="211"/>
      <c r="F26" s="211"/>
    </row>
    <row r="27" spans="1:32" ht="13.05" customHeight="1" x14ac:dyDescent="0.25">
      <c r="B27" s="192" t="s">
        <v>139</v>
      </c>
      <c r="C27" s="192"/>
      <c r="D27" s="195"/>
      <c r="E27" s="195"/>
      <c r="F27" s="196"/>
    </row>
    <row r="28" spans="1:32" ht="13.05" customHeight="1" x14ac:dyDescent="0.25">
      <c r="B28" s="197"/>
      <c r="C28" s="198"/>
      <c r="D28" s="198"/>
      <c r="E28" s="198"/>
      <c r="F28" s="199"/>
    </row>
    <row r="29" spans="1:32" ht="13.05" customHeight="1" x14ac:dyDescent="0.25">
      <c r="B29" s="197"/>
      <c r="C29" s="198"/>
      <c r="D29" s="198"/>
      <c r="E29" s="198"/>
      <c r="F29" s="199"/>
    </row>
    <row r="30" spans="1:32" ht="13.05" customHeight="1" x14ac:dyDescent="0.25">
      <c r="B30" s="197"/>
      <c r="C30" s="198"/>
      <c r="D30" s="198"/>
      <c r="E30" s="198"/>
      <c r="F30" s="199"/>
    </row>
    <row r="31" spans="1:32" ht="13.05" customHeight="1" x14ac:dyDescent="0.25">
      <c r="B31" s="200"/>
      <c r="C31" s="201"/>
      <c r="D31" s="201"/>
      <c r="E31" s="201"/>
      <c r="F31" s="202"/>
    </row>
    <row r="32" spans="1:32" ht="10.050000000000001" customHeight="1" x14ac:dyDescent="0.25">
      <c r="B32" s="10"/>
      <c r="C32" s="8"/>
      <c r="D32" s="9"/>
      <c r="E32" s="9"/>
      <c r="F32" s="9"/>
    </row>
    <row r="33" spans="1:6" ht="25.95" customHeight="1" x14ac:dyDescent="0.25">
      <c r="B33" s="188" t="s">
        <v>52</v>
      </c>
      <c r="C33" s="188"/>
      <c r="D33" s="183" t="s">
        <v>55</v>
      </c>
      <c r="E33" s="183"/>
      <c r="F33" s="183"/>
    </row>
    <row r="34" spans="1:6" ht="55.05" customHeight="1" x14ac:dyDescent="0.25">
      <c r="A34" s="25"/>
      <c r="B34" s="36" t="s">
        <v>147</v>
      </c>
      <c r="C34" s="40" t="s">
        <v>148</v>
      </c>
      <c r="D34" s="182">
        <v>1</v>
      </c>
      <c r="E34" s="182"/>
      <c r="F34" s="182"/>
    </row>
    <row r="35" spans="1:6" ht="30" customHeight="1" x14ac:dyDescent="0.25">
      <c r="A35" s="25"/>
      <c r="B35" s="36" t="s">
        <v>149</v>
      </c>
      <c r="C35" s="40" t="s">
        <v>150</v>
      </c>
      <c r="D35" s="182">
        <v>1</v>
      </c>
      <c r="E35" s="182"/>
      <c r="F35" s="182"/>
    </row>
    <row r="36" spans="1:6" ht="14.25" customHeight="1" x14ac:dyDescent="0.25">
      <c r="B36" s="192" t="s">
        <v>139</v>
      </c>
      <c r="C36" s="192"/>
      <c r="D36" s="192"/>
      <c r="E36" s="192"/>
      <c r="F36" s="192"/>
    </row>
    <row r="37" spans="1:6" ht="14.25" customHeight="1" x14ac:dyDescent="0.25">
      <c r="B37" s="192"/>
      <c r="C37" s="192"/>
      <c r="D37" s="192"/>
      <c r="E37" s="192"/>
      <c r="F37" s="192"/>
    </row>
    <row r="38" spans="1:6" ht="14.25" customHeight="1" x14ac:dyDescent="0.25">
      <c r="B38" s="192"/>
      <c r="C38" s="192"/>
      <c r="D38" s="192"/>
      <c r="E38" s="192"/>
      <c r="F38" s="192"/>
    </row>
    <row r="39" spans="1:6" ht="14.25" customHeight="1" x14ac:dyDescent="0.25">
      <c r="B39" s="192"/>
      <c r="C39" s="192"/>
      <c r="D39" s="192"/>
      <c r="E39" s="192"/>
      <c r="F39" s="192"/>
    </row>
    <row r="40" spans="1:6" ht="10.050000000000001" customHeight="1" x14ac:dyDescent="0.25">
      <c r="B40" s="10"/>
      <c r="C40" s="8"/>
      <c r="D40" s="9"/>
      <c r="E40" s="9"/>
      <c r="F40" s="9"/>
    </row>
    <row r="41" spans="1:6" ht="25.95" customHeight="1" x14ac:dyDescent="0.25">
      <c r="B41" s="188" t="s">
        <v>53</v>
      </c>
      <c r="C41" s="188"/>
      <c r="D41" s="183" t="s">
        <v>55</v>
      </c>
      <c r="E41" s="183"/>
      <c r="F41" s="183"/>
    </row>
    <row r="42" spans="1:6" ht="55.05" customHeight="1" x14ac:dyDescent="0.25">
      <c r="A42" s="25"/>
      <c r="B42" s="36" t="s">
        <v>151</v>
      </c>
      <c r="C42" s="40" t="s">
        <v>152</v>
      </c>
      <c r="D42" s="182">
        <v>1</v>
      </c>
      <c r="E42" s="182"/>
      <c r="F42" s="182"/>
    </row>
    <row r="43" spans="1:6" ht="10.050000000000001" customHeight="1" x14ac:dyDescent="0.25">
      <c r="B43" s="192" t="s">
        <v>139</v>
      </c>
      <c r="C43" s="192"/>
      <c r="D43" s="192"/>
      <c r="E43" s="192"/>
      <c r="F43" s="192"/>
    </row>
    <row r="44" spans="1:6" ht="12.75" customHeight="1" x14ac:dyDescent="0.25">
      <c r="B44" s="192"/>
      <c r="C44" s="192"/>
      <c r="D44" s="192"/>
      <c r="E44" s="192"/>
      <c r="F44" s="192"/>
    </row>
    <row r="45" spans="1:6" ht="12.75" customHeight="1" x14ac:dyDescent="0.25">
      <c r="B45" s="192"/>
      <c r="C45" s="192"/>
      <c r="D45" s="192"/>
      <c r="E45" s="192"/>
      <c r="F45" s="192"/>
    </row>
    <row r="46" spans="1:6" ht="12.75" customHeight="1" x14ac:dyDescent="0.25">
      <c r="B46" s="192"/>
      <c r="C46" s="192"/>
      <c r="D46" s="192"/>
      <c r="E46" s="192"/>
      <c r="F46" s="192"/>
    </row>
    <row r="47" spans="1:6" ht="10.050000000000001" customHeight="1" x14ac:dyDescent="0.25"/>
  </sheetData>
  <sheetProtection algorithmName="SHA-512" hashValue="9g/NanZl9c4xNqC9ytY3A4Dqdk8m9sfUABZ8vka+GxjoCBN+lMwjmQIcWsAEacX1y4+96ienKwJ3+RvTdiqpxA==" saltValue="2r1PEnaNFxBvCtyu9ysm1g==" spinCount="100000" sheet="1" selectLockedCells="1"/>
  <mergeCells count="26">
    <mergeCell ref="D15:F15"/>
    <mergeCell ref="D24:F24"/>
    <mergeCell ref="D41:F41"/>
    <mergeCell ref="B41:C41"/>
    <mergeCell ref="B19:F22"/>
    <mergeCell ref="B33:C33"/>
    <mergeCell ref="D35:F35"/>
    <mergeCell ref="D34:F34"/>
    <mergeCell ref="B36:F39"/>
    <mergeCell ref="D26:F26"/>
    <mergeCell ref="B43:F46"/>
    <mergeCell ref="B27:F31"/>
    <mergeCell ref="B5:F5"/>
    <mergeCell ref="D18:F18"/>
    <mergeCell ref="B24:C24"/>
    <mergeCell ref="B16:F16"/>
    <mergeCell ref="D17:F17"/>
    <mergeCell ref="B15:C15"/>
    <mergeCell ref="B10:F13"/>
    <mergeCell ref="D9:F9"/>
    <mergeCell ref="B7:C7"/>
    <mergeCell ref="D7:F7"/>
    <mergeCell ref="B8:F8"/>
    <mergeCell ref="D42:F42"/>
    <mergeCell ref="B25:F25"/>
    <mergeCell ref="D33:F33"/>
  </mergeCells>
  <dataValidations count="3">
    <dataValidation type="list" allowBlank="1" showInputMessage="1" showErrorMessage="1" sqref="D25:F25 D10:F14 D36:F40 D19:F23 D27:F32" xr:uid="{00000000-0002-0000-0300-000000000000}">
      <formula1>#REF!</formula1>
    </dataValidation>
    <dataValidation type="list" allowBlank="1" showInputMessage="1" showErrorMessage="1" sqref="D43:F46" xr:uid="{A52B858E-927F-4A26-846E-908B050753EA}">
      <formula1>$AF$3:$AF$20</formula1>
    </dataValidation>
    <dataValidation type="list" allowBlank="1" showInputMessage="1" showErrorMessage="1" sqref="D9:F9 D17:F18 D26:F26 D42:F42 D34:F35" xr:uid="{627AB68F-F254-422D-846E-319DE942EE7D}">
      <formula1>$AF$3:$AF$24</formula1>
    </dataValidation>
  </dataValidations>
  <printOptions horizontalCentered="1"/>
  <pageMargins left="0.35433070866141736" right="0.35433070866141736" top="0.27559055118110237" bottom="0.43307086614173229" header="0.31496062992125984" footer="0.31496062992125984"/>
  <pageSetup scale="90" orientation="portrait" horizontalDpi="300" verticalDpi="300" r:id="rId1"/>
  <rowBreaks count="1" manualBreakCount="1">
    <brk id="40" max="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E8E8-35D9-0A44-904E-A2793EC2F62C}">
  <sheetPr>
    <tabColor rgb="FF00B050"/>
  </sheetPr>
  <dimension ref="B6:F98"/>
  <sheetViews>
    <sheetView showGridLines="0" view="pageBreakPreview" zoomScale="75" zoomScaleNormal="100" zoomScaleSheetLayoutView="100" workbookViewId="0">
      <selection activeCell="B12" sqref="B12:E16"/>
    </sheetView>
  </sheetViews>
  <sheetFormatPr baseColWidth="10" defaultColWidth="11.44140625" defaultRowHeight="13.2" x14ac:dyDescent="0.25"/>
  <cols>
    <col min="1" max="1" width="2.6640625" style="58" customWidth="1"/>
    <col min="2" max="2" width="10.6640625" style="58" customWidth="1"/>
    <col min="3" max="3" width="38" style="58" customWidth="1"/>
    <col min="4" max="4" width="24" style="58" customWidth="1"/>
    <col min="5" max="5" width="20.6640625" style="58" customWidth="1"/>
    <col min="6" max="6" width="2.6640625" style="58" customWidth="1"/>
    <col min="7" max="16384" width="11.44140625" style="58"/>
  </cols>
  <sheetData>
    <row r="6" spans="2:5" ht="18" x14ac:dyDescent="0.25">
      <c r="B6" s="213" t="s">
        <v>153</v>
      </c>
      <c r="C6" s="213"/>
      <c r="D6" s="213"/>
      <c r="E6" s="213"/>
    </row>
    <row r="8" spans="2:5" ht="29.25" customHeight="1" x14ac:dyDescent="0.25">
      <c r="B8" s="214" t="s">
        <v>54</v>
      </c>
      <c r="C8" s="214"/>
      <c r="D8" s="214"/>
      <c r="E8" s="214"/>
    </row>
    <row r="10" spans="2:5" ht="9" customHeight="1" x14ac:dyDescent="0.25">
      <c r="B10" s="215" t="s">
        <v>154</v>
      </c>
      <c r="C10" s="216"/>
      <c r="D10" s="216"/>
      <c r="E10" s="216"/>
    </row>
    <row r="11" spans="2:5" ht="9" customHeight="1" x14ac:dyDescent="0.25">
      <c r="B11" s="215"/>
      <c r="C11" s="216"/>
      <c r="D11" s="216"/>
      <c r="E11" s="216"/>
    </row>
    <row r="12" spans="2:5" ht="12.75" customHeight="1" x14ac:dyDescent="0.25">
      <c r="B12" s="217"/>
      <c r="C12" s="217"/>
      <c r="D12" s="217"/>
      <c r="E12" s="217"/>
    </row>
    <row r="13" spans="2:5" x14ac:dyDescent="0.25">
      <c r="B13" s="217"/>
      <c r="C13" s="217"/>
      <c r="D13" s="217"/>
      <c r="E13" s="217"/>
    </row>
    <row r="14" spans="2:5" x14ac:dyDescent="0.25">
      <c r="B14" s="217"/>
      <c r="C14" s="217"/>
      <c r="D14" s="217"/>
      <c r="E14" s="217"/>
    </row>
    <row r="15" spans="2:5" x14ac:dyDescent="0.25">
      <c r="B15" s="217"/>
      <c r="C15" s="217"/>
      <c r="D15" s="217"/>
      <c r="E15" s="217"/>
    </row>
    <row r="16" spans="2:5" x14ac:dyDescent="0.25">
      <c r="B16" s="217"/>
      <c r="C16" s="217"/>
      <c r="D16" s="217"/>
      <c r="E16" s="217"/>
    </row>
    <row r="17" spans="2:5" ht="8.25" customHeight="1" x14ac:dyDescent="0.25">
      <c r="B17" s="218" t="s">
        <v>155</v>
      </c>
      <c r="C17" s="218"/>
      <c r="D17" s="218"/>
      <c r="E17" s="218"/>
    </row>
    <row r="18" spans="2:5" ht="8.25" customHeight="1" x14ac:dyDescent="0.25">
      <c r="B18" s="218"/>
      <c r="C18" s="218"/>
      <c r="D18" s="218"/>
      <c r="E18" s="218"/>
    </row>
    <row r="19" spans="2:5" ht="13.5" customHeight="1" x14ac:dyDescent="0.25">
      <c r="B19" s="212"/>
      <c r="C19" s="212"/>
      <c r="D19" s="212"/>
      <c r="E19" s="212"/>
    </row>
    <row r="20" spans="2:5" x14ac:dyDescent="0.25">
      <c r="B20" s="212"/>
      <c r="C20" s="212"/>
      <c r="D20" s="212"/>
      <c r="E20" s="212"/>
    </row>
    <row r="21" spans="2:5" x14ac:dyDescent="0.25">
      <c r="B21" s="212"/>
      <c r="C21" s="212"/>
      <c r="D21" s="212"/>
      <c r="E21" s="212"/>
    </row>
    <row r="22" spans="2:5" x14ac:dyDescent="0.25">
      <c r="B22" s="212"/>
      <c r="C22" s="212"/>
      <c r="D22" s="212"/>
      <c r="E22" s="212"/>
    </row>
    <row r="23" spans="2:5" x14ac:dyDescent="0.25">
      <c r="B23" s="212"/>
      <c r="C23" s="212"/>
      <c r="D23" s="212"/>
      <c r="E23" s="212"/>
    </row>
    <row r="24" spans="2:5" x14ac:dyDescent="0.25">
      <c r="B24" s="212"/>
      <c r="C24" s="212"/>
      <c r="D24" s="212"/>
      <c r="E24" s="212"/>
    </row>
    <row r="25" spans="2:5" ht="9" customHeight="1" x14ac:dyDescent="0.25">
      <c r="B25" s="218" t="s">
        <v>156</v>
      </c>
      <c r="C25" s="218"/>
      <c r="D25" s="218"/>
      <c r="E25" s="218"/>
    </row>
    <row r="26" spans="2:5" ht="9" customHeight="1" x14ac:dyDescent="0.25">
      <c r="B26" s="218"/>
      <c r="C26" s="218"/>
      <c r="D26" s="218"/>
      <c r="E26" s="218"/>
    </row>
    <row r="27" spans="2:5" x14ac:dyDescent="0.25">
      <c r="B27" s="217"/>
      <c r="C27" s="217"/>
      <c r="D27" s="217"/>
      <c r="E27" s="217"/>
    </row>
    <row r="28" spans="2:5" x14ac:dyDescent="0.25">
      <c r="B28" s="217"/>
      <c r="C28" s="217"/>
      <c r="D28" s="217"/>
      <c r="E28" s="217"/>
    </row>
    <row r="29" spans="2:5" x14ac:dyDescent="0.25">
      <c r="B29" s="217"/>
      <c r="C29" s="217"/>
      <c r="D29" s="217"/>
      <c r="E29" s="217"/>
    </row>
    <row r="30" spans="2:5" x14ac:dyDescent="0.25">
      <c r="B30" s="217"/>
      <c r="C30" s="217"/>
      <c r="D30" s="217"/>
      <c r="E30" s="217"/>
    </row>
    <row r="31" spans="2:5" x14ac:dyDescent="0.25">
      <c r="B31" s="217"/>
      <c r="C31" s="217"/>
      <c r="D31" s="217"/>
      <c r="E31" s="217"/>
    </row>
    <row r="32" spans="2:5" x14ac:dyDescent="0.25">
      <c r="B32" s="217"/>
      <c r="C32" s="217"/>
      <c r="D32" s="217"/>
      <c r="E32" s="217"/>
    </row>
    <row r="33" spans="2:5" ht="8.25" customHeight="1" x14ac:dyDescent="0.25">
      <c r="B33" s="218" t="s">
        <v>157</v>
      </c>
      <c r="C33" s="218"/>
      <c r="D33" s="218"/>
      <c r="E33" s="218"/>
    </row>
    <row r="34" spans="2:5" ht="8.25" customHeight="1" x14ac:dyDescent="0.25">
      <c r="B34" s="218"/>
      <c r="C34" s="218"/>
      <c r="D34" s="218"/>
      <c r="E34" s="218"/>
    </row>
    <row r="35" spans="2:5" ht="12.75" customHeight="1" x14ac:dyDescent="0.25">
      <c r="B35" s="217"/>
      <c r="C35" s="217"/>
      <c r="D35" s="217"/>
      <c r="E35" s="217"/>
    </row>
    <row r="36" spans="2:5" x14ac:dyDescent="0.25">
      <c r="B36" s="217"/>
      <c r="C36" s="217"/>
      <c r="D36" s="217"/>
      <c r="E36" s="217"/>
    </row>
    <row r="37" spans="2:5" x14ac:dyDescent="0.25">
      <c r="B37" s="217"/>
      <c r="C37" s="217"/>
      <c r="D37" s="217"/>
      <c r="E37" s="217"/>
    </row>
    <row r="38" spans="2:5" x14ac:dyDescent="0.25">
      <c r="B38" s="217"/>
      <c r="C38" s="217"/>
      <c r="D38" s="217"/>
      <c r="E38" s="217"/>
    </row>
    <row r="39" spans="2:5" x14ac:dyDescent="0.25">
      <c r="B39" s="217"/>
      <c r="C39" s="217"/>
      <c r="D39" s="217"/>
      <c r="E39" s="217"/>
    </row>
    <row r="40" spans="2:5" x14ac:dyDescent="0.25">
      <c r="B40" s="217"/>
      <c r="C40" s="217"/>
      <c r="D40" s="217"/>
      <c r="E40" s="217"/>
    </row>
    <row r="41" spans="2:5" ht="9.75" customHeight="1" x14ac:dyDescent="0.25">
      <c r="B41" s="218" t="s">
        <v>158</v>
      </c>
      <c r="C41" s="218"/>
      <c r="D41" s="218"/>
      <c r="E41" s="218"/>
    </row>
    <row r="42" spans="2:5" ht="9.75" customHeight="1" x14ac:dyDescent="0.25">
      <c r="B42" s="218"/>
      <c r="C42" s="218"/>
      <c r="D42" s="218"/>
      <c r="E42" s="218"/>
    </row>
    <row r="43" spans="2:5" x14ac:dyDescent="0.25">
      <c r="B43" s="217"/>
      <c r="C43" s="217"/>
      <c r="D43" s="217"/>
      <c r="E43" s="217"/>
    </row>
    <row r="44" spans="2:5" x14ac:dyDescent="0.25">
      <c r="B44" s="217"/>
      <c r="C44" s="217"/>
      <c r="D44" s="217"/>
      <c r="E44" s="217"/>
    </row>
    <row r="45" spans="2:5" x14ac:dyDescent="0.25">
      <c r="B45" s="217"/>
      <c r="C45" s="217"/>
      <c r="D45" s="217"/>
      <c r="E45" s="217"/>
    </row>
    <row r="46" spans="2:5" x14ac:dyDescent="0.25">
      <c r="B46" s="217"/>
      <c r="C46" s="217"/>
      <c r="D46" s="217"/>
      <c r="E46" s="217"/>
    </row>
    <row r="47" spans="2:5" x14ac:dyDescent="0.25">
      <c r="B47" s="217"/>
      <c r="C47" s="217"/>
      <c r="D47" s="217"/>
      <c r="E47" s="217"/>
    </row>
    <row r="48" spans="2:5" x14ac:dyDescent="0.25">
      <c r="B48" s="217"/>
      <c r="C48" s="217"/>
      <c r="D48" s="217"/>
      <c r="E48" s="217"/>
    </row>
    <row r="49" spans="2:6" ht="9" customHeight="1" x14ac:dyDescent="0.25">
      <c r="B49" s="218" t="s">
        <v>159</v>
      </c>
      <c r="C49" s="218"/>
      <c r="D49" s="218"/>
      <c r="E49" s="218"/>
    </row>
    <row r="50" spans="2:6" ht="9" customHeight="1" x14ac:dyDescent="0.25">
      <c r="B50" s="218"/>
      <c r="C50" s="218"/>
      <c r="D50" s="218"/>
      <c r="E50" s="218"/>
    </row>
    <row r="51" spans="2:6" ht="12.75" customHeight="1" x14ac:dyDescent="0.25">
      <c r="B51" s="217"/>
      <c r="C51" s="217"/>
      <c r="D51" s="217"/>
      <c r="E51" s="217"/>
    </row>
    <row r="52" spans="2:6" x14ac:dyDescent="0.25">
      <c r="B52" s="217"/>
      <c r="C52" s="217"/>
      <c r="D52" s="217"/>
      <c r="E52" s="217"/>
    </row>
    <row r="53" spans="2:6" x14ac:dyDescent="0.25">
      <c r="B53" s="217"/>
      <c r="C53" s="217"/>
      <c r="D53" s="217"/>
      <c r="E53" s="217"/>
    </row>
    <row r="54" spans="2:6" x14ac:dyDescent="0.25">
      <c r="B54" s="217"/>
      <c r="C54" s="217"/>
      <c r="D54" s="217"/>
      <c r="E54" s="217"/>
    </row>
    <row r="55" spans="2:6" x14ac:dyDescent="0.25">
      <c r="B55" s="217"/>
      <c r="C55" s="217"/>
      <c r="D55" s="217"/>
      <c r="E55" s="217"/>
    </row>
    <row r="56" spans="2:6" x14ac:dyDescent="0.25">
      <c r="B56" s="217"/>
      <c r="C56" s="217"/>
      <c r="D56" s="217"/>
      <c r="E56" s="217"/>
    </row>
    <row r="57" spans="2:6" x14ac:dyDescent="0.25">
      <c r="B57" s="66"/>
      <c r="C57" s="66"/>
      <c r="D57" s="66"/>
      <c r="E57" s="66"/>
    </row>
    <row r="58" spans="2:6" ht="19.5" customHeight="1" x14ac:dyDescent="0.25">
      <c r="B58" s="214" t="s">
        <v>160</v>
      </c>
      <c r="C58" s="214"/>
      <c r="D58" s="214"/>
      <c r="E58" s="214"/>
    </row>
    <row r="59" spans="2:6" ht="7.5" customHeight="1" x14ac:dyDescent="0.25">
      <c r="B59" s="219" t="s">
        <v>161</v>
      </c>
      <c r="C59" s="219"/>
      <c r="D59" s="219"/>
      <c r="E59" s="219"/>
      <c r="F59" s="59"/>
    </row>
    <row r="60" spans="2:6" ht="7.5" customHeight="1" x14ac:dyDescent="0.25">
      <c r="B60" s="219"/>
      <c r="C60" s="219"/>
      <c r="D60" s="219"/>
      <c r="E60" s="219"/>
    </row>
    <row r="61" spans="2:6" ht="12.75" customHeight="1" x14ac:dyDescent="0.25">
      <c r="B61" s="217"/>
      <c r="C61" s="217"/>
      <c r="D61" s="217"/>
      <c r="E61" s="217"/>
    </row>
    <row r="62" spans="2:6" x14ac:dyDescent="0.25">
      <c r="B62" s="217"/>
      <c r="C62" s="217"/>
      <c r="D62" s="217"/>
      <c r="E62" s="217"/>
    </row>
    <row r="63" spans="2:6" x14ac:dyDescent="0.25">
      <c r="B63" s="217"/>
      <c r="C63" s="217"/>
      <c r="D63" s="217"/>
      <c r="E63" s="217"/>
    </row>
    <row r="64" spans="2:6" x14ac:dyDescent="0.25">
      <c r="B64" s="217"/>
      <c r="C64" s="217"/>
      <c r="D64" s="217"/>
      <c r="E64" s="217"/>
    </row>
    <row r="65" spans="2:5" x14ac:dyDescent="0.25">
      <c r="B65" s="217"/>
      <c r="C65" s="217"/>
      <c r="D65" s="217"/>
      <c r="E65" s="217"/>
    </row>
    <row r="66" spans="2:5" x14ac:dyDescent="0.25">
      <c r="B66" s="217"/>
      <c r="C66" s="217"/>
      <c r="D66" s="217"/>
      <c r="E66" s="217"/>
    </row>
    <row r="67" spans="2:5" ht="8.25" customHeight="1" x14ac:dyDescent="0.25">
      <c r="B67" s="218" t="s">
        <v>162</v>
      </c>
      <c r="C67" s="218"/>
      <c r="D67" s="218"/>
      <c r="E67" s="218"/>
    </row>
    <row r="68" spans="2:5" ht="8.25" customHeight="1" x14ac:dyDescent="0.25">
      <c r="B68" s="218"/>
      <c r="C68" s="218"/>
      <c r="D68" s="218"/>
      <c r="E68" s="218"/>
    </row>
    <row r="69" spans="2:5" ht="12.75" customHeight="1" x14ac:dyDescent="0.25">
      <c r="B69" s="217"/>
      <c r="C69" s="217"/>
      <c r="D69" s="217"/>
      <c r="E69" s="217"/>
    </row>
    <row r="70" spans="2:5" x14ac:dyDescent="0.25">
      <c r="B70" s="217"/>
      <c r="C70" s="217"/>
      <c r="D70" s="217"/>
      <c r="E70" s="217"/>
    </row>
    <row r="71" spans="2:5" x14ac:dyDescent="0.25">
      <c r="B71" s="217"/>
      <c r="C71" s="217"/>
      <c r="D71" s="217"/>
      <c r="E71" s="217"/>
    </row>
    <row r="72" spans="2:5" x14ac:dyDescent="0.25">
      <c r="B72" s="217"/>
      <c r="C72" s="217"/>
      <c r="D72" s="217"/>
      <c r="E72" s="217"/>
    </row>
    <row r="73" spans="2:5" x14ac:dyDescent="0.25">
      <c r="B73" s="217"/>
      <c r="C73" s="217"/>
      <c r="D73" s="217"/>
      <c r="E73" s="217"/>
    </row>
    <row r="74" spans="2:5" x14ac:dyDescent="0.25">
      <c r="B74" s="217"/>
      <c r="C74" s="217"/>
      <c r="D74" s="217"/>
      <c r="E74" s="217"/>
    </row>
    <row r="75" spans="2:5" ht="10.5" customHeight="1" x14ac:dyDescent="0.25">
      <c r="B75" s="218" t="s">
        <v>163</v>
      </c>
      <c r="C75" s="218"/>
      <c r="D75" s="218"/>
      <c r="E75" s="218"/>
    </row>
    <row r="76" spans="2:5" ht="10.5" customHeight="1" x14ac:dyDescent="0.25">
      <c r="B76" s="218"/>
      <c r="C76" s="218"/>
      <c r="D76" s="218"/>
      <c r="E76" s="218"/>
    </row>
    <row r="77" spans="2:5" ht="12.75" customHeight="1" x14ac:dyDescent="0.25">
      <c r="B77" s="217"/>
      <c r="C77" s="217"/>
      <c r="D77" s="217"/>
      <c r="E77" s="217"/>
    </row>
    <row r="78" spans="2:5" x14ac:dyDescent="0.25">
      <c r="B78" s="217"/>
      <c r="C78" s="217"/>
      <c r="D78" s="217"/>
      <c r="E78" s="217"/>
    </row>
    <row r="79" spans="2:5" x14ac:dyDescent="0.25">
      <c r="B79" s="217"/>
      <c r="C79" s="217"/>
      <c r="D79" s="217"/>
      <c r="E79" s="217"/>
    </row>
    <row r="80" spans="2:5" x14ac:dyDescent="0.25">
      <c r="B80" s="217"/>
      <c r="C80" s="217"/>
      <c r="D80" s="217"/>
      <c r="E80" s="217"/>
    </row>
    <row r="81" spans="2:5" x14ac:dyDescent="0.25">
      <c r="B81" s="217"/>
      <c r="C81" s="217"/>
      <c r="D81" s="217"/>
      <c r="E81" s="217"/>
    </row>
    <row r="82" spans="2:5" x14ac:dyDescent="0.25">
      <c r="B82" s="217"/>
      <c r="C82" s="217"/>
      <c r="D82" s="217"/>
      <c r="E82" s="217"/>
    </row>
    <row r="83" spans="2:5" ht="9" customHeight="1" x14ac:dyDescent="0.25">
      <c r="B83" s="218" t="s">
        <v>164</v>
      </c>
      <c r="C83" s="218"/>
      <c r="D83" s="218"/>
      <c r="E83" s="218"/>
    </row>
    <row r="84" spans="2:5" ht="9" customHeight="1" x14ac:dyDescent="0.25">
      <c r="B84" s="218"/>
      <c r="C84" s="218"/>
      <c r="D84" s="218"/>
      <c r="E84" s="218"/>
    </row>
    <row r="85" spans="2:5" ht="12.75" customHeight="1" x14ac:dyDescent="0.25">
      <c r="B85" s="217"/>
      <c r="C85" s="217"/>
      <c r="D85" s="217"/>
      <c r="E85" s="217"/>
    </row>
    <row r="86" spans="2:5" x14ac:dyDescent="0.25">
      <c r="B86" s="217"/>
      <c r="C86" s="217"/>
      <c r="D86" s="217"/>
      <c r="E86" s="217"/>
    </row>
    <row r="87" spans="2:5" x14ac:dyDescent="0.25">
      <c r="B87" s="217"/>
      <c r="C87" s="217"/>
      <c r="D87" s="217"/>
      <c r="E87" s="217"/>
    </row>
    <row r="88" spans="2:5" x14ac:dyDescent="0.25">
      <c r="B88" s="217"/>
      <c r="C88" s="217"/>
      <c r="D88" s="217"/>
      <c r="E88" s="217"/>
    </row>
    <row r="89" spans="2:5" x14ac:dyDescent="0.25">
      <c r="B89" s="217"/>
      <c r="C89" s="217"/>
      <c r="D89" s="217"/>
      <c r="E89" s="217"/>
    </row>
    <row r="90" spans="2:5" x14ac:dyDescent="0.25">
      <c r="B90" s="217"/>
      <c r="C90" s="217"/>
      <c r="D90" s="217"/>
      <c r="E90" s="217"/>
    </row>
    <row r="91" spans="2:5" ht="7.5" customHeight="1" x14ac:dyDescent="0.25">
      <c r="B91" s="218" t="s">
        <v>165</v>
      </c>
      <c r="C91" s="218"/>
      <c r="D91" s="218"/>
      <c r="E91" s="218"/>
    </row>
    <row r="92" spans="2:5" ht="7.5" customHeight="1" x14ac:dyDescent="0.25">
      <c r="B92" s="218"/>
      <c r="C92" s="218"/>
      <c r="D92" s="218"/>
      <c r="E92" s="218"/>
    </row>
    <row r="93" spans="2:5" ht="12.75" customHeight="1" x14ac:dyDescent="0.25">
      <c r="B93" s="217"/>
      <c r="C93" s="217"/>
      <c r="D93" s="217"/>
      <c r="E93" s="217"/>
    </row>
    <row r="94" spans="2:5" x14ac:dyDescent="0.25">
      <c r="B94" s="217"/>
      <c r="C94" s="217"/>
      <c r="D94" s="217"/>
      <c r="E94" s="217"/>
    </row>
    <row r="95" spans="2:5" x14ac:dyDescent="0.25">
      <c r="B95" s="217"/>
      <c r="C95" s="217"/>
      <c r="D95" s="217"/>
      <c r="E95" s="217"/>
    </row>
    <row r="96" spans="2:5" x14ac:dyDescent="0.25">
      <c r="B96" s="217"/>
      <c r="C96" s="217"/>
      <c r="D96" s="217"/>
      <c r="E96" s="217"/>
    </row>
    <row r="97" spans="2:5" x14ac:dyDescent="0.25">
      <c r="B97" s="217"/>
      <c r="C97" s="217"/>
      <c r="D97" s="217"/>
      <c r="E97" s="217"/>
    </row>
    <row r="98" spans="2:5" x14ac:dyDescent="0.25">
      <c r="B98" s="217"/>
      <c r="C98" s="217"/>
      <c r="D98" s="217"/>
      <c r="E98" s="217"/>
    </row>
  </sheetData>
  <mergeCells count="25">
    <mergeCell ref="B93:E98"/>
    <mergeCell ref="B69:E74"/>
    <mergeCell ref="B75:E76"/>
    <mergeCell ref="B77:E82"/>
    <mergeCell ref="B83:E84"/>
    <mergeCell ref="B91:E92"/>
    <mergeCell ref="B85:E90"/>
    <mergeCell ref="B67:E68"/>
    <mergeCell ref="B25:E26"/>
    <mergeCell ref="B27:E32"/>
    <mergeCell ref="B33:E34"/>
    <mergeCell ref="B35:E40"/>
    <mergeCell ref="B41:E42"/>
    <mergeCell ref="B43:E48"/>
    <mergeCell ref="B49:E50"/>
    <mergeCell ref="B51:E56"/>
    <mergeCell ref="B58:E58"/>
    <mergeCell ref="B59:E60"/>
    <mergeCell ref="B61:E66"/>
    <mergeCell ref="B19:E24"/>
    <mergeCell ref="B6:E6"/>
    <mergeCell ref="B8:E8"/>
    <mergeCell ref="B10:E11"/>
    <mergeCell ref="B12:E16"/>
    <mergeCell ref="B17:E18"/>
  </mergeCells>
  <printOptions horizontalCentered="1"/>
  <pageMargins left="0.31496062992125984" right="0.31496062992125984" top="0.74803149606299213" bottom="0.47244094488188981" header="0.31496062992125984" footer="0.31496062992125984"/>
  <pageSetup scale="90" orientation="portrait" horizontalDpi="300" verticalDpi="300" r:id="rId1"/>
  <rowBreaks count="1" manualBreakCount="1">
    <brk id="56"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C00000"/>
  </sheetPr>
  <dimension ref="B6:AC38"/>
  <sheetViews>
    <sheetView showGridLines="0" view="pageBreakPreview" zoomScale="66" zoomScaleNormal="100" zoomScaleSheetLayoutView="66" workbookViewId="0">
      <selection activeCell="C15" sqref="C14:C15"/>
    </sheetView>
  </sheetViews>
  <sheetFormatPr baseColWidth="10" defaultColWidth="11.44140625" defaultRowHeight="13.2" x14ac:dyDescent="0.25"/>
  <cols>
    <col min="1" max="1" width="2.6640625" customWidth="1"/>
    <col min="2" max="2" width="10.6640625" customWidth="1"/>
    <col min="3" max="3" width="38" customWidth="1"/>
    <col min="4" max="4" width="24" customWidth="1"/>
    <col min="5" max="5" width="20.6640625" customWidth="1"/>
    <col min="6" max="6" width="2.6640625" customWidth="1"/>
    <col min="7" max="28" width="10.6640625" customWidth="1"/>
    <col min="29" max="29" width="12" customWidth="1"/>
  </cols>
  <sheetData>
    <row r="6" spans="2:29" ht="23.25" customHeight="1" x14ac:dyDescent="0.25">
      <c r="B6" s="220" t="s">
        <v>166</v>
      </c>
      <c r="C6" s="220"/>
      <c r="D6" s="220"/>
      <c r="E6" s="220"/>
    </row>
    <row r="7" spans="2:29" ht="10.5" customHeight="1" x14ac:dyDescent="0.25">
      <c r="B7" s="14"/>
      <c r="C7" s="14"/>
      <c r="D7" s="14"/>
      <c r="E7" s="14"/>
    </row>
    <row r="8" spans="2:29" ht="30" customHeight="1" x14ac:dyDescent="0.25">
      <c r="B8" s="188" t="s">
        <v>54</v>
      </c>
      <c r="C8" s="188"/>
      <c r="D8" s="188"/>
      <c r="E8" s="188"/>
    </row>
    <row r="9" spans="2:29" ht="8.25" customHeight="1" x14ac:dyDescent="0.25">
      <c r="B9" s="12"/>
      <c r="C9" s="12"/>
      <c r="D9" s="12"/>
      <c r="E9" s="12"/>
    </row>
    <row r="10" spans="2:29" ht="33.75" customHeight="1" x14ac:dyDescent="0.25">
      <c r="B10" s="44" t="s">
        <v>167</v>
      </c>
      <c r="C10" s="45" t="s">
        <v>168</v>
      </c>
      <c r="D10" s="46" t="s">
        <v>169</v>
      </c>
      <c r="E10" s="47" t="s">
        <v>170</v>
      </c>
      <c r="F10" s="6"/>
      <c r="G10" s="6"/>
      <c r="H10" s="6"/>
      <c r="I10" s="6"/>
      <c r="J10" s="6"/>
      <c r="K10" s="6"/>
      <c r="L10" s="6"/>
      <c r="M10" s="6"/>
      <c r="N10" s="6"/>
      <c r="O10" s="6"/>
      <c r="P10" s="6"/>
      <c r="Q10" s="6"/>
      <c r="R10" s="6"/>
      <c r="S10" s="6"/>
      <c r="T10" s="6"/>
      <c r="U10" s="6"/>
      <c r="V10" s="6"/>
      <c r="W10" s="6"/>
      <c r="X10" s="6"/>
      <c r="Y10" s="6"/>
      <c r="Z10" s="6"/>
      <c r="AA10" s="6"/>
      <c r="AB10" s="6"/>
      <c r="AC10" s="6" t="s">
        <v>171</v>
      </c>
    </row>
    <row r="11" spans="2:29" ht="17.25" customHeight="1" x14ac:dyDescent="0.25">
      <c r="B11" s="41"/>
      <c r="C11" s="42"/>
      <c r="D11" s="42"/>
      <c r="E11" s="43"/>
      <c r="F11" s="6"/>
      <c r="G11" s="6"/>
      <c r="H11" s="6"/>
      <c r="I11" s="6"/>
      <c r="J11" s="6"/>
      <c r="K11" s="6"/>
      <c r="L11" s="6"/>
      <c r="M11" s="6"/>
      <c r="N11" s="6"/>
      <c r="O11" s="6"/>
      <c r="P11" s="6"/>
      <c r="Q11" s="6"/>
      <c r="R11" s="6"/>
      <c r="S11" s="6"/>
      <c r="T11" s="6"/>
      <c r="U11" s="6"/>
      <c r="V11" s="6"/>
      <c r="W11" s="6"/>
      <c r="X11" s="6"/>
      <c r="Y11" s="6"/>
      <c r="Z11" s="6"/>
      <c r="AA11" s="6"/>
      <c r="AB11" s="6"/>
      <c r="AC11" s="6" t="s">
        <v>172</v>
      </c>
    </row>
    <row r="12" spans="2:29" ht="17.25" customHeight="1" x14ac:dyDescent="0.25">
      <c r="B12" s="41"/>
      <c r="C12" s="42"/>
      <c r="D12" s="42"/>
      <c r="E12" s="43"/>
      <c r="F12" s="6"/>
      <c r="G12" s="6"/>
      <c r="H12" s="6"/>
      <c r="I12" s="6"/>
      <c r="J12" s="6"/>
      <c r="K12" s="6"/>
      <c r="L12" s="6"/>
      <c r="M12" s="6"/>
      <c r="N12" s="6"/>
      <c r="O12" s="6"/>
      <c r="P12" s="6"/>
      <c r="Q12" s="6"/>
      <c r="R12" s="6"/>
      <c r="S12" s="6"/>
      <c r="T12" s="6"/>
      <c r="U12" s="6"/>
      <c r="V12" s="6"/>
      <c r="W12" s="6"/>
      <c r="X12" s="6"/>
      <c r="Y12" s="6"/>
      <c r="Z12" s="6"/>
      <c r="AA12" s="6"/>
      <c r="AB12" s="6"/>
      <c r="AC12" s="6" t="s">
        <v>173</v>
      </c>
    </row>
    <row r="13" spans="2:29" ht="17.25" customHeight="1" x14ac:dyDescent="0.25">
      <c r="B13" s="41"/>
      <c r="C13" s="42"/>
      <c r="D13" s="42"/>
      <c r="E13" s="43"/>
      <c r="F13" s="6"/>
      <c r="G13" s="6"/>
      <c r="H13" s="6"/>
      <c r="I13" s="6"/>
      <c r="J13" s="6"/>
      <c r="K13" s="6"/>
      <c r="L13" s="6"/>
      <c r="M13" s="6"/>
      <c r="N13" s="6"/>
      <c r="O13" s="6"/>
      <c r="P13" s="6"/>
      <c r="Q13" s="6"/>
      <c r="R13" s="6"/>
      <c r="S13" s="6"/>
      <c r="T13" s="6"/>
      <c r="U13" s="6"/>
      <c r="V13" s="6"/>
      <c r="W13" s="6"/>
      <c r="X13" s="6"/>
      <c r="Y13" s="6"/>
      <c r="Z13" s="6"/>
      <c r="AA13" s="6"/>
      <c r="AB13" s="6"/>
    </row>
    <row r="14" spans="2:29" ht="17.25" customHeight="1" x14ac:dyDescent="0.25">
      <c r="B14" s="41"/>
      <c r="C14" s="42"/>
      <c r="D14" s="42"/>
      <c r="E14" s="43"/>
      <c r="F14" s="6"/>
      <c r="G14" s="6"/>
      <c r="H14" s="6"/>
      <c r="I14" s="6"/>
      <c r="J14" s="6"/>
      <c r="K14" s="6"/>
      <c r="L14" s="6"/>
      <c r="M14" s="6"/>
      <c r="N14" s="6"/>
      <c r="O14" s="6"/>
      <c r="P14" s="6"/>
      <c r="Q14" s="6"/>
      <c r="R14" s="6"/>
      <c r="S14" s="6"/>
      <c r="T14" s="6"/>
      <c r="U14" s="6"/>
      <c r="V14" s="6"/>
      <c r="W14" s="6"/>
      <c r="X14" s="6"/>
      <c r="Y14" s="6"/>
      <c r="Z14" s="6"/>
      <c r="AA14" s="6"/>
      <c r="AB14" s="6"/>
    </row>
    <row r="15" spans="2:29" ht="17.25" customHeight="1" x14ac:dyDescent="0.25">
      <c r="B15" s="41"/>
      <c r="C15" s="42"/>
      <c r="D15" s="42"/>
      <c r="E15" s="43"/>
      <c r="F15" s="6"/>
      <c r="G15" s="6"/>
      <c r="H15" s="6"/>
      <c r="I15" s="6"/>
      <c r="J15" s="6"/>
      <c r="K15" s="6"/>
      <c r="L15" s="6"/>
      <c r="M15" s="6"/>
      <c r="N15" s="6"/>
      <c r="O15" s="6"/>
      <c r="P15" s="6"/>
      <c r="Q15" s="6"/>
      <c r="R15" s="6"/>
      <c r="S15" s="6"/>
      <c r="T15" s="6"/>
      <c r="U15" s="6"/>
      <c r="V15" s="6"/>
      <c r="W15" s="6"/>
      <c r="X15" s="6"/>
      <c r="Y15" s="6"/>
      <c r="Z15" s="6"/>
      <c r="AA15" s="6"/>
      <c r="AB15" s="6"/>
    </row>
    <row r="16" spans="2:29" ht="17.25" customHeight="1" x14ac:dyDescent="0.25">
      <c r="B16" s="41"/>
      <c r="C16" s="42"/>
      <c r="D16" s="42"/>
      <c r="E16" s="43"/>
      <c r="F16" s="6"/>
      <c r="G16" s="6"/>
      <c r="H16" s="6"/>
      <c r="I16" s="6"/>
      <c r="J16" s="6"/>
      <c r="K16" s="6"/>
      <c r="L16" s="6"/>
      <c r="M16" s="6"/>
      <c r="N16" s="6"/>
      <c r="O16" s="6"/>
      <c r="P16" s="6"/>
      <c r="Q16" s="6"/>
      <c r="R16" s="6"/>
      <c r="S16" s="6"/>
      <c r="T16" s="6"/>
      <c r="U16" s="6"/>
      <c r="V16" s="6"/>
      <c r="W16" s="6"/>
      <c r="X16" s="6"/>
      <c r="Y16" s="6"/>
      <c r="Z16" s="6"/>
      <c r="AA16" s="6"/>
      <c r="AB16" s="6"/>
    </row>
    <row r="17" spans="2:28" ht="17.25" customHeight="1" x14ac:dyDescent="0.25">
      <c r="B17" s="41"/>
      <c r="C17" s="42"/>
      <c r="D17" s="42"/>
      <c r="E17" s="43"/>
      <c r="F17" s="6"/>
      <c r="G17" s="6"/>
      <c r="H17" s="6"/>
      <c r="I17" s="6"/>
      <c r="J17" s="6"/>
      <c r="K17" s="6"/>
      <c r="L17" s="6"/>
      <c r="M17" s="6"/>
      <c r="N17" s="6"/>
      <c r="O17" s="6"/>
      <c r="P17" s="6"/>
      <c r="Q17" s="6"/>
      <c r="R17" s="6"/>
      <c r="S17" s="6"/>
      <c r="T17" s="6"/>
      <c r="U17" s="6"/>
      <c r="V17" s="6"/>
      <c r="W17" s="6"/>
      <c r="X17" s="6"/>
      <c r="Y17" s="6"/>
      <c r="Z17" s="6"/>
      <c r="AA17" s="6"/>
      <c r="AB17" s="6"/>
    </row>
    <row r="18" spans="2:28" ht="17.25" customHeight="1" x14ac:dyDescent="0.25">
      <c r="B18" s="41"/>
      <c r="C18" s="42"/>
      <c r="D18" s="42"/>
      <c r="E18" s="43"/>
      <c r="F18" s="6"/>
      <c r="G18" s="6"/>
      <c r="H18" s="6"/>
      <c r="I18" s="6"/>
      <c r="J18" s="6"/>
      <c r="K18" s="6"/>
      <c r="L18" s="6"/>
      <c r="M18" s="6"/>
      <c r="N18" s="6"/>
      <c r="O18" s="6"/>
      <c r="P18" s="6"/>
      <c r="Q18" s="6"/>
      <c r="R18" s="6"/>
      <c r="S18" s="6"/>
      <c r="T18" s="6"/>
      <c r="U18" s="6"/>
      <c r="V18" s="6"/>
      <c r="W18" s="6"/>
      <c r="X18" s="6"/>
      <c r="Y18" s="6"/>
      <c r="Z18" s="6"/>
      <c r="AA18" s="6"/>
      <c r="AB18" s="6"/>
    </row>
    <row r="19" spans="2:28" ht="17.25" customHeight="1" x14ac:dyDescent="0.25">
      <c r="B19" s="41"/>
      <c r="C19" s="42"/>
      <c r="D19" s="42"/>
      <c r="E19" s="43"/>
      <c r="F19" s="6"/>
      <c r="G19" s="6"/>
      <c r="H19" s="6"/>
      <c r="I19" s="6"/>
      <c r="J19" s="6"/>
      <c r="K19" s="6"/>
      <c r="L19" s="6"/>
      <c r="M19" s="6"/>
      <c r="N19" s="6"/>
      <c r="O19" s="6"/>
      <c r="P19" s="6"/>
      <c r="Q19" s="6"/>
      <c r="R19" s="6"/>
      <c r="S19" s="6"/>
      <c r="T19" s="6"/>
      <c r="U19" s="6"/>
      <c r="V19" s="6"/>
      <c r="W19" s="6"/>
      <c r="X19" s="6"/>
      <c r="Y19" s="6"/>
      <c r="Z19" s="6"/>
      <c r="AA19" s="6"/>
      <c r="AB19" s="6"/>
    </row>
    <row r="20" spans="2:28" ht="17.25" customHeight="1" x14ac:dyDescent="0.25">
      <c r="B20" s="41"/>
      <c r="C20" s="42"/>
      <c r="D20" s="42"/>
      <c r="E20" s="43"/>
    </row>
    <row r="21" spans="2:28" ht="17.25" customHeight="1" x14ac:dyDescent="0.25">
      <c r="B21" s="48"/>
      <c r="C21" s="49"/>
      <c r="D21" s="50"/>
      <c r="E21" s="51"/>
    </row>
    <row r="22" spans="2:28" ht="10.5" customHeight="1" x14ac:dyDescent="0.25"/>
    <row r="23" spans="2:28" ht="30" customHeight="1" x14ac:dyDescent="0.25">
      <c r="B23" s="221" t="s">
        <v>135</v>
      </c>
      <c r="C23" s="221"/>
      <c r="D23" s="221"/>
      <c r="E23" s="221"/>
    </row>
    <row r="24" spans="2:28" ht="6.75" customHeight="1" x14ac:dyDescent="0.25">
      <c r="B24" s="13"/>
      <c r="C24" s="13"/>
      <c r="D24" s="13"/>
      <c r="E24" s="13"/>
    </row>
    <row r="25" spans="2:28" ht="28.8" x14ac:dyDescent="0.25">
      <c r="B25" s="44" t="s">
        <v>167</v>
      </c>
      <c r="C25" s="45" t="s">
        <v>168</v>
      </c>
      <c r="D25" s="46" t="s">
        <v>169</v>
      </c>
      <c r="E25" s="47" t="s">
        <v>170</v>
      </c>
    </row>
    <row r="26" spans="2:28" ht="17.25" customHeight="1" x14ac:dyDescent="0.25">
      <c r="B26" s="41"/>
      <c r="C26" s="42"/>
      <c r="D26" s="42"/>
      <c r="E26" s="43"/>
    </row>
    <row r="27" spans="2:28" ht="17.25" customHeight="1" x14ac:dyDescent="0.25">
      <c r="B27" s="41"/>
      <c r="C27" s="42"/>
      <c r="D27" s="42"/>
      <c r="E27" s="43"/>
    </row>
    <row r="28" spans="2:28" ht="17.25" customHeight="1" x14ac:dyDescent="0.25">
      <c r="B28" s="41"/>
      <c r="C28" s="42"/>
      <c r="D28" s="42"/>
      <c r="E28" s="43"/>
    </row>
    <row r="29" spans="2:28" ht="17.25" customHeight="1" x14ac:dyDescent="0.25">
      <c r="B29" s="41"/>
      <c r="C29" s="42"/>
      <c r="D29" s="42"/>
      <c r="E29" s="43"/>
    </row>
    <row r="30" spans="2:28" ht="17.25" customHeight="1" x14ac:dyDescent="0.25">
      <c r="B30" s="41"/>
      <c r="C30" s="42"/>
      <c r="D30" s="42"/>
      <c r="E30" s="43"/>
    </row>
    <row r="31" spans="2:28" ht="17.25" customHeight="1" x14ac:dyDescent="0.25">
      <c r="B31" s="41"/>
      <c r="C31" s="42"/>
      <c r="D31" s="42"/>
      <c r="E31" s="43"/>
    </row>
    <row r="32" spans="2:28" ht="17.25" customHeight="1" x14ac:dyDescent="0.25">
      <c r="B32" s="41"/>
      <c r="C32" s="42"/>
      <c r="D32" s="42"/>
      <c r="E32" s="43"/>
    </row>
    <row r="33" spans="2:5" ht="17.25" customHeight="1" x14ac:dyDescent="0.25">
      <c r="B33" s="41"/>
      <c r="C33" s="42"/>
      <c r="D33" s="42"/>
      <c r="E33" s="43"/>
    </row>
    <row r="34" spans="2:5" ht="17.25" customHeight="1" x14ac:dyDescent="0.25">
      <c r="B34" s="41"/>
      <c r="C34" s="42"/>
      <c r="D34" s="42"/>
      <c r="E34" s="43"/>
    </row>
    <row r="35" spans="2:5" ht="17.25" customHeight="1" x14ac:dyDescent="0.25">
      <c r="B35" s="41"/>
      <c r="C35" s="42"/>
      <c r="D35" s="42"/>
      <c r="E35" s="43"/>
    </row>
    <row r="36" spans="2:5" ht="17.25" customHeight="1" x14ac:dyDescent="0.25">
      <c r="B36" s="48"/>
      <c r="C36" s="49"/>
      <c r="D36" s="50"/>
      <c r="E36" s="51"/>
    </row>
    <row r="37" spans="2:5" ht="12" customHeight="1" x14ac:dyDescent="0.25">
      <c r="B37" s="13"/>
      <c r="C37" s="13"/>
      <c r="D37" s="13"/>
      <c r="E37" s="13"/>
    </row>
    <row r="38" spans="2:5" ht="14.4" x14ac:dyDescent="0.25">
      <c r="B38" s="13"/>
      <c r="C38" s="13"/>
      <c r="D38" s="13"/>
      <c r="E38" s="13"/>
    </row>
  </sheetData>
  <sheetProtection algorithmName="SHA-512" hashValue="1YpOHOy0QpVuoFz9WJDZ2rANal7MhZ6VoLdut32P3xRWN27lznQ+RvUT00uhmeHbQZUdlh8hQJqLt0cuX2Pa9A==" saltValue="b8cbUjR0/hPjaBd+mi5WPA==" spinCount="100000" sheet="1" selectLockedCells="1"/>
  <mergeCells count="3">
    <mergeCell ref="B6:E6"/>
    <mergeCell ref="B23:E23"/>
    <mergeCell ref="B8:E8"/>
  </mergeCells>
  <phoneticPr fontId="75" type="noConversion"/>
  <dataValidations count="1">
    <dataValidation type="list" allowBlank="1" showInputMessage="1" showErrorMessage="1" sqref="E11:E20 E26:E35" xr:uid="{00000000-0002-0000-0500-000000000000}">
      <formula1>$AC$10:$AC$12</formula1>
    </dataValidation>
  </dataValidations>
  <printOptions horizontalCentered="1"/>
  <pageMargins left="0.31496062992125984" right="0.31496062992125984" top="0.74803149606299213" bottom="0.74803149606299213" header="0.31496062992125984" footer="0.31496062992125984"/>
  <pageSetup scale="90" orientation="portrait" horizontalDpi="300" verticalDpi="300" r:id="rId1"/>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17EB-CB8A-1149-8A30-A7FCE8B2A32D}">
  <sheetPr>
    <tabColor theme="3"/>
  </sheetPr>
  <dimension ref="B4:AA56"/>
  <sheetViews>
    <sheetView showGridLines="0" view="pageBreakPreview" topLeftCell="A8" zoomScale="86" zoomScaleNormal="100" zoomScaleSheetLayoutView="86" workbookViewId="0">
      <selection activeCell="F49" sqref="F49"/>
    </sheetView>
  </sheetViews>
  <sheetFormatPr baseColWidth="10" defaultColWidth="11.44140625" defaultRowHeight="13.2" x14ac:dyDescent="0.25"/>
  <cols>
    <col min="1" max="1" width="1.77734375" style="58" customWidth="1"/>
    <col min="2" max="2" width="4" style="58" customWidth="1"/>
    <col min="3" max="4" width="22.33203125" style="58" customWidth="1"/>
    <col min="5" max="5" width="31.109375" style="58" customWidth="1"/>
    <col min="6" max="6" width="21.77734375" style="58" customWidth="1"/>
    <col min="7" max="7" width="1.77734375" style="58" customWidth="1"/>
    <col min="8" max="8" width="11.44140625" style="58"/>
    <col min="9" max="9" width="11.44140625" style="58" hidden="1" customWidth="1"/>
    <col min="10" max="16384" width="11.44140625" style="58"/>
  </cols>
  <sheetData>
    <row r="4" spans="2:27" ht="13.8" x14ac:dyDescent="0.25">
      <c r="I4" s="64">
        <v>1</v>
      </c>
    </row>
    <row r="5" spans="2:27" ht="13.8" x14ac:dyDescent="0.25">
      <c r="I5" s="64">
        <v>0</v>
      </c>
    </row>
    <row r="6" spans="2:27" ht="18.75" customHeight="1" x14ac:dyDescent="0.25">
      <c r="B6" s="227" t="s">
        <v>174</v>
      </c>
      <c r="C6" s="227"/>
      <c r="D6" s="227"/>
      <c r="E6" s="227"/>
      <c r="F6" s="227"/>
      <c r="I6" s="65" t="s">
        <v>67</v>
      </c>
    </row>
    <row r="7" spans="2:27" ht="13.8" x14ac:dyDescent="0.25">
      <c r="I7" s="64"/>
    </row>
    <row r="8" spans="2:27" ht="30" customHeight="1" x14ac:dyDescent="0.25">
      <c r="B8" s="68" t="s">
        <v>175</v>
      </c>
      <c r="C8" s="224" t="s">
        <v>176</v>
      </c>
      <c r="D8" s="224"/>
      <c r="E8" s="224"/>
      <c r="F8" s="68" t="s">
        <v>177</v>
      </c>
    </row>
    <row r="9" spans="2:27" ht="15" customHeight="1" x14ac:dyDescent="0.25">
      <c r="B9" s="71">
        <v>1</v>
      </c>
      <c r="C9" s="225" t="s">
        <v>178</v>
      </c>
      <c r="D9" s="225"/>
      <c r="E9" s="225"/>
      <c r="F9" s="225"/>
    </row>
    <row r="10" spans="2:27" ht="15" customHeight="1" x14ac:dyDescent="0.25">
      <c r="B10" s="228" t="s">
        <v>179</v>
      </c>
      <c r="C10" s="223" t="s">
        <v>180</v>
      </c>
      <c r="D10" s="223"/>
      <c r="E10" s="223"/>
      <c r="F10" s="67">
        <v>1</v>
      </c>
      <c r="H10" s="60"/>
      <c r="I10" s="60"/>
      <c r="J10" s="60"/>
      <c r="K10" s="60"/>
      <c r="L10" s="60"/>
      <c r="M10" s="60"/>
      <c r="N10" s="60"/>
      <c r="O10" s="60"/>
      <c r="P10" s="60"/>
      <c r="Q10" s="60"/>
      <c r="R10" s="60"/>
      <c r="S10" s="60"/>
      <c r="T10" s="60"/>
      <c r="U10" s="60"/>
      <c r="V10" s="60"/>
      <c r="W10" s="60"/>
      <c r="X10" s="60"/>
      <c r="Y10" s="60"/>
      <c r="Z10" s="60"/>
      <c r="AA10" s="60"/>
    </row>
    <row r="11" spans="2:27" ht="15" customHeight="1" x14ac:dyDescent="0.25">
      <c r="B11" s="228"/>
      <c r="C11" s="222" t="s">
        <v>181</v>
      </c>
      <c r="D11" s="222"/>
      <c r="E11" s="222"/>
      <c r="F11" s="72">
        <v>1</v>
      </c>
      <c r="H11" s="60"/>
      <c r="I11" s="60"/>
      <c r="J11" s="60"/>
      <c r="K11" s="60"/>
      <c r="L11" s="60"/>
      <c r="M11" s="60"/>
      <c r="N11" s="60"/>
      <c r="O11" s="60"/>
      <c r="P11" s="60"/>
      <c r="Q11" s="60"/>
      <c r="R11" s="60"/>
      <c r="S11" s="60"/>
      <c r="T11" s="60"/>
      <c r="U11" s="60"/>
      <c r="V11" s="60"/>
      <c r="W11" s="60"/>
      <c r="X11" s="60"/>
      <c r="Y11" s="60"/>
      <c r="Z11" s="60"/>
      <c r="AA11" s="60"/>
    </row>
    <row r="12" spans="2:27" ht="15" customHeight="1" x14ac:dyDescent="0.25">
      <c r="B12" s="228"/>
      <c r="C12" s="223" t="s">
        <v>182</v>
      </c>
      <c r="D12" s="223"/>
      <c r="E12" s="223"/>
      <c r="F12" s="67">
        <v>1</v>
      </c>
      <c r="H12" s="60"/>
      <c r="I12" s="60"/>
      <c r="J12" s="60"/>
      <c r="K12" s="60"/>
      <c r="L12" s="60"/>
      <c r="M12" s="60"/>
      <c r="N12" s="60"/>
      <c r="O12" s="60"/>
      <c r="P12" s="60"/>
      <c r="Q12" s="60"/>
      <c r="R12" s="60"/>
      <c r="S12" s="60"/>
      <c r="T12" s="60"/>
      <c r="U12" s="60"/>
      <c r="V12" s="60"/>
      <c r="W12" s="60"/>
      <c r="X12" s="63">
        <v>1</v>
      </c>
      <c r="Y12" s="60"/>
      <c r="Z12" s="60"/>
      <c r="AA12" s="60"/>
    </row>
    <row r="13" spans="2:27" ht="15" customHeight="1" x14ac:dyDescent="0.25">
      <c r="B13" s="228"/>
      <c r="C13" s="222" t="s">
        <v>183</v>
      </c>
      <c r="D13" s="222"/>
      <c r="E13" s="222"/>
      <c r="F13" s="72">
        <v>1</v>
      </c>
      <c r="H13" s="60"/>
      <c r="I13" s="60"/>
      <c r="J13" s="60"/>
      <c r="K13" s="60"/>
      <c r="L13" s="60"/>
      <c r="M13" s="60"/>
      <c r="N13" s="60"/>
      <c r="O13" s="60"/>
      <c r="P13" s="60"/>
      <c r="Q13" s="60"/>
      <c r="R13" s="60"/>
      <c r="S13" s="60"/>
      <c r="T13" s="60"/>
      <c r="U13" s="60"/>
      <c r="V13" s="60"/>
      <c r="W13" s="60"/>
      <c r="X13" s="63">
        <v>0.75</v>
      </c>
      <c r="Y13" s="60"/>
      <c r="Z13" s="60"/>
      <c r="AA13" s="60"/>
    </row>
    <row r="14" spans="2:27" ht="15" customHeight="1" x14ac:dyDescent="0.25">
      <c r="B14" s="228"/>
      <c r="C14" s="223" t="s">
        <v>184</v>
      </c>
      <c r="D14" s="223"/>
      <c r="E14" s="223"/>
      <c r="F14" s="67">
        <v>1</v>
      </c>
      <c r="H14" s="60"/>
      <c r="I14" s="60"/>
      <c r="J14" s="60"/>
      <c r="K14" s="60"/>
      <c r="L14" s="60"/>
      <c r="M14" s="60"/>
      <c r="N14" s="60"/>
      <c r="O14" s="60"/>
      <c r="P14" s="60"/>
      <c r="Q14" s="60"/>
      <c r="R14" s="60"/>
      <c r="S14" s="60"/>
      <c r="T14" s="60"/>
      <c r="U14" s="60"/>
      <c r="V14" s="60"/>
      <c r="W14" s="60"/>
      <c r="X14" s="63">
        <v>0.5</v>
      </c>
      <c r="Y14" s="60"/>
      <c r="Z14" s="60"/>
      <c r="AA14" s="60"/>
    </row>
    <row r="15" spans="2:27" ht="14.4" x14ac:dyDescent="0.25">
      <c r="B15" s="69" t="s">
        <v>185</v>
      </c>
      <c r="C15" s="222" t="s">
        <v>186</v>
      </c>
      <c r="D15" s="222"/>
      <c r="E15" s="222"/>
      <c r="F15" s="72">
        <v>1</v>
      </c>
      <c r="H15" s="60"/>
      <c r="I15" s="60"/>
      <c r="J15" s="60"/>
      <c r="K15" s="60"/>
      <c r="L15" s="60"/>
      <c r="M15" s="60"/>
      <c r="N15" s="60"/>
      <c r="O15" s="60"/>
      <c r="P15" s="60"/>
      <c r="Q15" s="60"/>
      <c r="R15" s="60"/>
      <c r="S15" s="60"/>
      <c r="T15" s="60"/>
      <c r="U15" s="60"/>
      <c r="V15" s="60"/>
      <c r="W15" s="60"/>
      <c r="X15" s="63">
        <v>0.25</v>
      </c>
      <c r="Y15" s="60"/>
      <c r="Z15" s="60"/>
      <c r="AA15" s="60"/>
    </row>
    <row r="16" spans="2:27" ht="14.4" x14ac:dyDescent="0.25">
      <c r="B16" s="69" t="s">
        <v>187</v>
      </c>
      <c r="C16" s="223" t="s">
        <v>188</v>
      </c>
      <c r="D16" s="223"/>
      <c r="E16" s="223"/>
      <c r="F16" s="67">
        <v>1</v>
      </c>
      <c r="H16" s="60"/>
      <c r="I16" s="60"/>
      <c r="J16" s="60"/>
      <c r="K16" s="60"/>
      <c r="L16" s="60"/>
      <c r="M16" s="60"/>
      <c r="N16" s="60"/>
      <c r="O16" s="60"/>
      <c r="P16" s="60"/>
      <c r="Q16" s="60"/>
      <c r="R16" s="60"/>
      <c r="S16" s="60"/>
      <c r="T16" s="60"/>
      <c r="U16" s="60"/>
      <c r="V16" s="60"/>
      <c r="W16" s="60"/>
      <c r="X16" s="63">
        <v>0</v>
      </c>
      <c r="Y16" s="60"/>
      <c r="Z16" s="60"/>
      <c r="AA16" s="60"/>
    </row>
    <row r="17" spans="2:27" ht="14.4" x14ac:dyDescent="0.25">
      <c r="B17" s="69" t="s">
        <v>189</v>
      </c>
      <c r="C17" s="222" t="s">
        <v>190</v>
      </c>
      <c r="D17" s="222"/>
      <c r="E17" s="222"/>
      <c r="F17" s="72">
        <v>1</v>
      </c>
      <c r="H17" s="60"/>
      <c r="I17" s="60"/>
      <c r="J17" s="60"/>
      <c r="K17" s="60"/>
      <c r="L17" s="60"/>
      <c r="M17" s="60"/>
      <c r="N17" s="60"/>
      <c r="O17" s="60"/>
      <c r="P17" s="60"/>
      <c r="Q17" s="60"/>
      <c r="R17" s="60"/>
      <c r="S17" s="60"/>
      <c r="T17" s="60"/>
      <c r="U17" s="60"/>
      <c r="V17" s="60"/>
      <c r="W17" s="60"/>
      <c r="X17" s="62" t="s">
        <v>67</v>
      </c>
      <c r="Y17" s="60"/>
      <c r="Z17" s="60"/>
      <c r="AA17" s="60"/>
    </row>
    <row r="18" spans="2:27" ht="14.4" x14ac:dyDescent="0.25">
      <c r="B18" s="69" t="s">
        <v>191</v>
      </c>
      <c r="C18" s="223" t="s">
        <v>192</v>
      </c>
      <c r="D18" s="223"/>
      <c r="E18" s="223"/>
      <c r="F18" s="67">
        <v>1</v>
      </c>
      <c r="H18" s="60"/>
      <c r="I18" s="60"/>
      <c r="J18" s="60"/>
      <c r="K18" s="60"/>
      <c r="L18" s="60"/>
      <c r="M18" s="60"/>
      <c r="N18" s="60"/>
      <c r="O18" s="60"/>
      <c r="P18" s="60"/>
      <c r="Q18" s="60"/>
      <c r="R18" s="60"/>
      <c r="S18" s="60"/>
      <c r="T18" s="60"/>
      <c r="U18" s="60"/>
      <c r="V18" s="60"/>
      <c r="W18" s="60"/>
      <c r="X18" s="61"/>
      <c r="Y18" s="60"/>
      <c r="Z18" s="60"/>
      <c r="AA18" s="60"/>
    </row>
    <row r="19" spans="2:27" ht="14.4" x14ac:dyDescent="0.25">
      <c r="B19" s="71">
        <v>2</v>
      </c>
      <c r="C19" s="225" t="s">
        <v>193</v>
      </c>
      <c r="D19" s="225"/>
      <c r="E19" s="225"/>
      <c r="F19" s="225"/>
      <c r="H19" s="60"/>
      <c r="I19" s="60"/>
      <c r="J19" s="60"/>
      <c r="K19" s="60"/>
      <c r="L19" s="60"/>
      <c r="M19" s="60"/>
      <c r="N19" s="60"/>
      <c r="O19" s="60"/>
      <c r="P19" s="60"/>
      <c r="Q19" s="60"/>
      <c r="R19" s="60"/>
      <c r="S19" s="60"/>
      <c r="T19" s="60"/>
      <c r="U19" s="60"/>
      <c r="V19" s="60"/>
      <c r="W19" s="60"/>
      <c r="X19" s="60"/>
      <c r="Y19" s="60"/>
      <c r="Z19" s="60"/>
      <c r="AA19" s="60"/>
    </row>
    <row r="20" spans="2:27" ht="14.4" x14ac:dyDescent="0.25">
      <c r="B20" s="69" t="s">
        <v>194</v>
      </c>
      <c r="C20" s="222" t="s">
        <v>195</v>
      </c>
      <c r="D20" s="222"/>
      <c r="E20" s="222"/>
      <c r="F20" s="72" t="s">
        <v>67</v>
      </c>
      <c r="H20" s="60"/>
      <c r="I20" s="60"/>
      <c r="J20" s="60"/>
      <c r="K20" s="60"/>
      <c r="L20" s="60"/>
      <c r="M20" s="60"/>
      <c r="N20" s="60"/>
      <c r="O20" s="60"/>
      <c r="P20" s="60"/>
      <c r="Q20" s="60"/>
      <c r="R20" s="60"/>
      <c r="S20" s="60"/>
      <c r="T20" s="60"/>
      <c r="U20" s="60"/>
      <c r="V20" s="60"/>
      <c r="W20" s="60"/>
      <c r="X20" s="60"/>
      <c r="Y20" s="60"/>
      <c r="Z20" s="60"/>
      <c r="AA20" s="60"/>
    </row>
    <row r="21" spans="2:27" ht="14.4" x14ac:dyDescent="0.25">
      <c r="B21" s="69" t="s">
        <v>196</v>
      </c>
      <c r="C21" s="223" t="s">
        <v>197</v>
      </c>
      <c r="D21" s="223"/>
      <c r="E21" s="223"/>
      <c r="F21" s="67" t="s">
        <v>67</v>
      </c>
      <c r="H21" s="60"/>
      <c r="I21" s="60"/>
      <c r="J21" s="60"/>
      <c r="K21" s="60"/>
      <c r="L21" s="60"/>
      <c r="M21" s="60"/>
      <c r="N21" s="60"/>
      <c r="O21" s="60"/>
      <c r="P21" s="60"/>
      <c r="Q21" s="60"/>
      <c r="R21" s="60"/>
      <c r="S21" s="60"/>
      <c r="T21" s="60"/>
      <c r="U21" s="60"/>
      <c r="V21" s="60"/>
      <c r="W21" s="60"/>
      <c r="X21" s="60"/>
      <c r="Y21" s="60"/>
      <c r="Z21" s="60"/>
      <c r="AA21" s="60"/>
    </row>
    <row r="22" spans="2:27" ht="15" customHeight="1" x14ac:dyDescent="0.25">
      <c r="B22" s="71">
        <v>3</v>
      </c>
      <c r="C22" s="225" t="s">
        <v>198</v>
      </c>
      <c r="D22" s="225"/>
      <c r="E22" s="225"/>
      <c r="F22" s="225"/>
      <c r="H22" s="60"/>
      <c r="I22" s="60"/>
      <c r="J22" s="60"/>
      <c r="K22" s="60"/>
      <c r="L22" s="60"/>
      <c r="M22" s="60"/>
      <c r="N22" s="60"/>
      <c r="O22" s="60"/>
      <c r="P22" s="60"/>
      <c r="Q22" s="60"/>
      <c r="R22" s="60"/>
      <c r="S22" s="60"/>
      <c r="T22" s="60"/>
      <c r="U22" s="60"/>
      <c r="V22" s="60"/>
      <c r="W22" s="60"/>
      <c r="X22" s="60"/>
      <c r="Y22" s="60"/>
      <c r="Z22" s="60"/>
      <c r="AA22" s="60"/>
    </row>
    <row r="23" spans="2:27" ht="14.4" x14ac:dyDescent="0.25">
      <c r="B23" s="69" t="s">
        <v>199</v>
      </c>
      <c r="C23" s="222" t="s">
        <v>200</v>
      </c>
      <c r="D23" s="222"/>
      <c r="E23" s="222"/>
      <c r="F23" s="72">
        <v>1</v>
      </c>
      <c r="H23" s="60"/>
      <c r="I23" s="60"/>
      <c r="J23" s="60"/>
      <c r="K23" s="60"/>
      <c r="L23" s="60"/>
      <c r="M23" s="60"/>
      <c r="N23" s="60"/>
      <c r="O23" s="60"/>
      <c r="P23" s="60"/>
      <c r="Q23" s="60"/>
      <c r="R23" s="60"/>
      <c r="S23" s="60"/>
      <c r="T23" s="60"/>
      <c r="U23" s="60"/>
      <c r="V23" s="60"/>
      <c r="W23" s="60"/>
      <c r="X23" s="60"/>
      <c r="Y23" s="60"/>
      <c r="Z23" s="60"/>
      <c r="AA23" s="60"/>
    </row>
    <row r="24" spans="2:27" ht="14.4" x14ac:dyDescent="0.25">
      <c r="B24" s="69" t="s">
        <v>201</v>
      </c>
      <c r="C24" s="223" t="s">
        <v>202</v>
      </c>
      <c r="D24" s="223"/>
      <c r="E24" s="223"/>
      <c r="F24" s="67">
        <v>1</v>
      </c>
      <c r="H24" s="60"/>
      <c r="I24" s="60"/>
      <c r="J24" s="60"/>
      <c r="K24" s="60"/>
      <c r="L24" s="60"/>
      <c r="M24" s="60"/>
      <c r="N24" s="60"/>
      <c r="O24" s="60"/>
      <c r="P24" s="60"/>
      <c r="Q24" s="60"/>
      <c r="R24" s="60"/>
      <c r="S24" s="60"/>
      <c r="T24" s="60"/>
      <c r="U24" s="60"/>
      <c r="V24" s="60"/>
      <c r="W24" s="60"/>
      <c r="X24" s="60"/>
      <c r="Y24" s="60"/>
      <c r="Z24" s="60"/>
      <c r="AA24" s="60"/>
    </row>
    <row r="25" spans="2:27" ht="14.4" x14ac:dyDescent="0.25">
      <c r="B25" s="69" t="s">
        <v>203</v>
      </c>
      <c r="C25" s="222" t="s">
        <v>204</v>
      </c>
      <c r="D25" s="222"/>
      <c r="E25" s="222"/>
      <c r="F25" s="72">
        <v>1</v>
      </c>
      <c r="H25" s="60"/>
      <c r="I25" s="60"/>
      <c r="J25" s="60"/>
      <c r="K25" s="60"/>
      <c r="L25" s="60"/>
      <c r="M25" s="60"/>
      <c r="N25" s="60"/>
      <c r="O25" s="60"/>
      <c r="P25" s="60"/>
      <c r="Q25" s="60"/>
      <c r="R25" s="60"/>
      <c r="S25" s="60"/>
      <c r="T25" s="60"/>
      <c r="U25" s="60"/>
      <c r="V25" s="60"/>
      <c r="W25" s="60"/>
      <c r="X25" s="60"/>
      <c r="Y25" s="60"/>
      <c r="Z25" s="60"/>
      <c r="AA25" s="60"/>
    </row>
    <row r="26" spans="2:27" ht="14.4" x14ac:dyDescent="0.25">
      <c r="B26" s="69" t="s">
        <v>205</v>
      </c>
      <c r="C26" s="223" t="s">
        <v>206</v>
      </c>
      <c r="D26" s="223"/>
      <c r="E26" s="223"/>
      <c r="F26" s="67">
        <v>1</v>
      </c>
      <c r="H26" s="60"/>
      <c r="I26" s="60"/>
      <c r="J26" s="60"/>
      <c r="K26" s="60"/>
      <c r="L26" s="60"/>
      <c r="M26" s="60"/>
      <c r="N26" s="60"/>
      <c r="O26" s="60"/>
      <c r="P26" s="60"/>
      <c r="Q26" s="60"/>
      <c r="R26" s="60"/>
      <c r="S26" s="60"/>
      <c r="T26" s="60"/>
      <c r="U26" s="60"/>
      <c r="V26" s="60"/>
      <c r="W26" s="60"/>
      <c r="X26" s="60"/>
      <c r="Y26" s="60"/>
      <c r="Z26" s="60"/>
      <c r="AA26" s="60"/>
    </row>
    <row r="27" spans="2:27" ht="14.4" x14ac:dyDescent="0.25">
      <c r="B27" s="69" t="s">
        <v>207</v>
      </c>
      <c r="C27" s="226" t="s">
        <v>208</v>
      </c>
      <c r="D27" s="222"/>
      <c r="E27" s="222"/>
      <c r="F27" s="72">
        <v>1</v>
      </c>
      <c r="H27" s="60"/>
      <c r="I27" s="60"/>
      <c r="J27" s="60"/>
      <c r="K27" s="60"/>
      <c r="L27" s="60"/>
      <c r="M27" s="60"/>
      <c r="N27" s="60"/>
      <c r="O27" s="60"/>
      <c r="P27" s="60"/>
      <c r="Q27" s="60"/>
      <c r="R27" s="60"/>
      <c r="S27" s="60"/>
      <c r="T27" s="60"/>
      <c r="U27" s="60"/>
      <c r="V27" s="60"/>
      <c r="W27" s="60"/>
      <c r="X27" s="60"/>
      <c r="Y27" s="60"/>
      <c r="Z27" s="60"/>
      <c r="AA27" s="60"/>
    </row>
    <row r="28" spans="2:27" ht="15" customHeight="1" x14ac:dyDescent="0.25">
      <c r="B28" s="71">
        <v>4</v>
      </c>
      <c r="C28" s="225" t="s">
        <v>209</v>
      </c>
      <c r="D28" s="225"/>
      <c r="E28" s="225"/>
      <c r="F28" s="225"/>
      <c r="H28" s="60"/>
      <c r="I28" s="60"/>
      <c r="J28" s="60"/>
      <c r="K28" s="60"/>
      <c r="L28" s="60"/>
      <c r="M28" s="60"/>
      <c r="N28" s="60"/>
      <c r="O28" s="60"/>
      <c r="P28" s="60"/>
      <c r="Q28" s="60"/>
      <c r="R28" s="60"/>
      <c r="S28" s="60"/>
      <c r="T28" s="60"/>
      <c r="U28" s="60"/>
      <c r="V28" s="60"/>
      <c r="W28" s="60"/>
      <c r="X28" s="60"/>
      <c r="Y28" s="60"/>
      <c r="Z28" s="60"/>
      <c r="AA28" s="60"/>
    </row>
    <row r="29" spans="2:27" ht="14.4" x14ac:dyDescent="0.25">
      <c r="B29" s="69" t="s">
        <v>210</v>
      </c>
      <c r="C29" s="223" t="s">
        <v>211</v>
      </c>
      <c r="D29" s="223"/>
      <c r="E29" s="223"/>
      <c r="F29" s="67" t="s">
        <v>67</v>
      </c>
      <c r="H29" s="60"/>
      <c r="I29" s="60"/>
      <c r="J29" s="60"/>
      <c r="K29" s="60"/>
      <c r="L29" s="60"/>
      <c r="M29" s="60"/>
      <c r="N29" s="60"/>
      <c r="O29" s="60"/>
      <c r="P29" s="60"/>
      <c r="Q29" s="60"/>
      <c r="R29" s="60"/>
      <c r="S29" s="60"/>
      <c r="T29" s="60"/>
      <c r="U29" s="60"/>
      <c r="V29" s="60"/>
      <c r="W29" s="60"/>
      <c r="X29" s="60"/>
      <c r="Y29" s="60"/>
      <c r="Z29" s="60"/>
      <c r="AA29" s="60"/>
    </row>
    <row r="30" spans="2:27" ht="14.4" x14ac:dyDescent="0.25">
      <c r="B30" s="69" t="s">
        <v>212</v>
      </c>
      <c r="C30" s="222" t="s">
        <v>213</v>
      </c>
      <c r="D30" s="222"/>
      <c r="E30" s="222"/>
      <c r="F30" s="72" t="s">
        <v>67</v>
      </c>
      <c r="H30" s="60"/>
      <c r="I30" s="60"/>
      <c r="J30" s="60"/>
      <c r="K30" s="60"/>
      <c r="L30" s="60"/>
      <c r="M30" s="60"/>
      <c r="N30" s="60"/>
      <c r="O30" s="60"/>
      <c r="P30" s="60"/>
      <c r="Q30" s="60"/>
      <c r="R30" s="60"/>
      <c r="S30" s="60"/>
      <c r="T30" s="60"/>
      <c r="U30" s="60"/>
      <c r="V30" s="60"/>
      <c r="W30" s="60"/>
      <c r="X30" s="60"/>
      <c r="Y30" s="60"/>
      <c r="Z30" s="60"/>
      <c r="AA30" s="60"/>
    </row>
    <row r="31" spans="2:27" ht="14.4" x14ac:dyDescent="0.25">
      <c r="B31" s="69" t="s">
        <v>214</v>
      </c>
      <c r="C31" s="223" t="s">
        <v>215</v>
      </c>
      <c r="D31" s="223"/>
      <c r="E31" s="223"/>
      <c r="F31" s="67" t="s">
        <v>67</v>
      </c>
      <c r="H31" s="60"/>
      <c r="I31" s="60"/>
      <c r="J31" s="60"/>
      <c r="K31" s="60"/>
      <c r="L31" s="60"/>
      <c r="M31" s="60"/>
      <c r="N31" s="60"/>
      <c r="O31" s="60"/>
      <c r="P31" s="60"/>
      <c r="Q31" s="60"/>
      <c r="R31" s="60"/>
      <c r="S31" s="60"/>
      <c r="T31" s="60"/>
      <c r="U31" s="60"/>
      <c r="V31" s="60"/>
      <c r="W31" s="60"/>
      <c r="X31" s="60"/>
      <c r="Y31" s="60"/>
      <c r="Z31" s="60"/>
      <c r="AA31" s="60"/>
    </row>
    <row r="32" spans="2:27" ht="15" customHeight="1" x14ac:dyDescent="0.25">
      <c r="B32" s="71">
        <v>5</v>
      </c>
      <c r="C32" s="225" t="s">
        <v>216</v>
      </c>
      <c r="D32" s="225"/>
      <c r="E32" s="225"/>
      <c r="F32" s="225"/>
      <c r="H32" s="60"/>
      <c r="I32" s="60"/>
      <c r="J32" s="60"/>
      <c r="K32" s="60"/>
      <c r="L32" s="60"/>
      <c r="M32" s="60"/>
      <c r="N32" s="60"/>
      <c r="O32" s="60"/>
      <c r="P32" s="60"/>
      <c r="Q32" s="60"/>
      <c r="R32" s="60"/>
      <c r="S32" s="60"/>
      <c r="T32" s="60"/>
      <c r="U32" s="60"/>
      <c r="V32" s="60"/>
      <c r="W32" s="60"/>
      <c r="X32" s="60"/>
      <c r="Y32" s="60"/>
      <c r="Z32" s="60"/>
      <c r="AA32" s="60"/>
    </row>
    <row r="33" spans="2:27" ht="14.4" x14ac:dyDescent="0.25">
      <c r="B33" s="69" t="s">
        <v>217</v>
      </c>
      <c r="C33" s="222" t="s">
        <v>218</v>
      </c>
      <c r="D33" s="222"/>
      <c r="E33" s="222"/>
      <c r="F33" s="72">
        <v>1</v>
      </c>
      <c r="H33" s="60"/>
      <c r="I33" s="60"/>
      <c r="J33" s="60"/>
      <c r="K33" s="60"/>
      <c r="L33" s="60"/>
      <c r="M33" s="60"/>
      <c r="N33" s="60"/>
      <c r="O33" s="60"/>
      <c r="P33" s="60"/>
      <c r="Q33" s="60"/>
      <c r="R33" s="60"/>
      <c r="S33" s="60"/>
      <c r="T33" s="60"/>
      <c r="U33" s="60"/>
      <c r="V33" s="60"/>
      <c r="W33" s="60"/>
      <c r="X33" s="60"/>
      <c r="Y33" s="60"/>
      <c r="Z33" s="60"/>
      <c r="AA33" s="60"/>
    </row>
    <row r="34" spans="2:27" ht="14.4" x14ac:dyDescent="0.25">
      <c r="B34" s="69" t="s">
        <v>219</v>
      </c>
      <c r="C34" s="223" t="s">
        <v>220</v>
      </c>
      <c r="D34" s="223"/>
      <c r="E34" s="223"/>
      <c r="F34" s="67">
        <v>1</v>
      </c>
      <c r="H34" s="60"/>
      <c r="I34" s="60"/>
      <c r="J34" s="60"/>
      <c r="K34" s="60"/>
      <c r="L34" s="60"/>
      <c r="M34" s="60"/>
      <c r="N34" s="60"/>
      <c r="O34" s="60"/>
      <c r="P34" s="60"/>
      <c r="Q34" s="60"/>
      <c r="R34" s="60"/>
      <c r="S34" s="60"/>
      <c r="T34" s="60"/>
      <c r="U34" s="60"/>
      <c r="V34" s="60"/>
      <c r="W34" s="60"/>
      <c r="X34" s="60"/>
      <c r="Y34" s="60"/>
      <c r="Z34" s="60"/>
      <c r="AA34" s="60"/>
    </row>
    <row r="35" spans="2:27" ht="15" customHeight="1" x14ac:dyDescent="0.25">
      <c r="B35" s="71">
        <v>6</v>
      </c>
      <c r="C35" s="225" t="s">
        <v>221</v>
      </c>
      <c r="D35" s="225"/>
      <c r="E35" s="225"/>
      <c r="F35" s="225"/>
      <c r="H35" s="60"/>
      <c r="I35" s="60"/>
      <c r="J35" s="60"/>
      <c r="K35" s="60"/>
      <c r="L35" s="60"/>
      <c r="M35" s="60"/>
      <c r="N35" s="60"/>
      <c r="O35" s="60"/>
      <c r="P35" s="60"/>
      <c r="Q35" s="60"/>
      <c r="R35" s="60"/>
      <c r="S35" s="60"/>
      <c r="T35" s="60"/>
      <c r="U35" s="60"/>
      <c r="V35" s="60"/>
      <c r="W35" s="60"/>
      <c r="X35" s="60"/>
      <c r="Y35" s="60"/>
      <c r="Z35" s="60"/>
      <c r="AA35" s="60"/>
    </row>
    <row r="36" spans="2:27" ht="14.4" x14ac:dyDescent="0.25">
      <c r="B36" s="69" t="s">
        <v>222</v>
      </c>
      <c r="C36" s="222" t="s">
        <v>223</v>
      </c>
      <c r="D36" s="222"/>
      <c r="E36" s="222"/>
      <c r="F36" s="72" t="s">
        <v>67</v>
      </c>
      <c r="H36" s="60"/>
      <c r="I36" s="60"/>
      <c r="J36" s="60"/>
      <c r="K36" s="60"/>
      <c r="L36" s="60"/>
      <c r="M36" s="60"/>
      <c r="N36" s="60"/>
      <c r="O36" s="60"/>
      <c r="P36" s="60"/>
      <c r="Q36" s="60"/>
      <c r="R36" s="60"/>
      <c r="S36" s="60"/>
      <c r="T36" s="60"/>
      <c r="U36" s="60"/>
      <c r="V36" s="60"/>
      <c r="W36" s="60"/>
      <c r="X36" s="60"/>
      <c r="Y36" s="60"/>
      <c r="Z36" s="60"/>
      <c r="AA36" s="60"/>
    </row>
    <row r="37" spans="2:27" ht="14.4" x14ac:dyDescent="0.25">
      <c r="B37" s="69" t="s">
        <v>224</v>
      </c>
      <c r="C37" s="223" t="s">
        <v>225</v>
      </c>
      <c r="D37" s="223"/>
      <c r="E37" s="223"/>
      <c r="F37" s="67" t="s">
        <v>67</v>
      </c>
      <c r="H37" s="60"/>
      <c r="I37" s="60"/>
      <c r="J37" s="60"/>
      <c r="K37" s="60"/>
      <c r="L37" s="60"/>
      <c r="M37" s="60"/>
      <c r="N37" s="60"/>
      <c r="O37" s="60"/>
      <c r="P37" s="60"/>
      <c r="Q37" s="60"/>
      <c r="R37" s="60"/>
      <c r="S37" s="60"/>
      <c r="T37" s="60"/>
      <c r="U37" s="60"/>
      <c r="V37" s="60"/>
      <c r="W37" s="60"/>
      <c r="X37" s="60"/>
      <c r="Y37" s="60"/>
      <c r="Z37" s="60"/>
      <c r="AA37" s="60"/>
    </row>
    <row r="38" spans="2:27" ht="15" customHeight="1" x14ac:dyDescent="0.25">
      <c r="B38" s="71">
        <v>7</v>
      </c>
      <c r="C38" s="225" t="s">
        <v>226</v>
      </c>
      <c r="D38" s="225"/>
      <c r="E38" s="225"/>
      <c r="F38" s="225"/>
      <c r="H38" s="60"/>
      <c r="I38" s="60"/>
      <c r="J38" s="60"/>
      <c r="K38" s="60"/>
      <c r="L38" s="60"/>
      <c r="M38" s="60"/>
      <c r="N38" s="60"/>
      <c r="O38" s="60"/>
      <c r="P38" s="60"/>
      <c r="Q38" s="60"/>
      <c r="R38" s="60"/>
      <c r="S38" s="60"/>
      <c r="T38" s="60"/>
      <c r="U38" s="60"/>
      <c r="V38" s="60"/>
      <c r="W38" s="60"/>
      <c r="X38" s="60"/>
      <c r="Y38" s="60"/>
      <c r="Z38" s="60"/>
      <c r="AA38" s="60"/>
    </row>
    <row r="39" spans="2:27" ht="14.4" x14ac:dyDescent="0.25">
      <c r="B39" s="69" t="s">
        <v>227</v>
      </c>
      <c r="C39" s="222" t="s">
        <v>228</v>
      </c>
      <c r="D39" s="222"/>
      <c r="E39" s="222"/>
      <c r="F39" s="72">
        <v>1</v>
      </c>
      <c r="H39" s="60"/>
      <c r="I39" s="60"/>
      <c r="J39" s="60"/>
      <c r="K39" s="60"/>
      <c r="L39" s="60"/>
      <c r="M39" s="60"/>
      <c r="N39" s="60"/>
      <c r="O39" s="60"/>
      <c r="P39" s="60"/>
      <c r="Q39" s="60"/>
      <c r="R39" s="60"/>
      <c r="S39" s="60"/>
      <c r="T39" s="60"/>
      <c r="U39" s="60"/>
      <c r="V39" s="60"/>
      <c r="W39" s="60"/>
      <c r="X39" s="60"/>
      <c r="Y39" s="60"/>
      <c r="Z39" s="60"/>
      <c r="AA39" s="60"/>
    </row>
    <row r="40" spans="2:27" ht="14.4" x14ac:dyDescent="0.25">
      <c r="B40" s="69" t="s">
        <v>229</v>
      </c>
      <c r="C40" s="223" t="s">
        <v>230</v>
      </c>
      <c r="D40" s="223"/>
      <c r="E40" s="223"/>
      <c r="F40" s="67">
        <v>1</v>
      </c>
      <c r="H40" s="60"/>
      <c r="I40" s="60"/>
      <c r="J40" s="60"/>
      <c r="K40" s="60"/>
      <c r="L40" s="60"/>
      <c r="M40" s="60"/>
      <c r="N40" s="60"/>
      <c r="O40" s="60"/>
      <c r="P40" s="60"/>
      <c r="Q40" s="60"/>
      <c r="R40" s="60"/>
      <c r="S40" s="60"/>
      <c r="T40" s="60"/>
      <c r="U40" s="60"/>
      <c r="V40" s="60"/>
      <c r="W40" s="60"/>
      <c r="X40" s="60"/>
      <c r="Y40" s="60"/>
      <c r="Z40" s="60"/>
      <c r="AA40" s="60"/>
    </row>
    <row r="41" spans="2:27" ht="14.4" x14ac:dyDescent="0.25">
      <c r="B41" s="69" t="s">
        <v>231</v>
      </c>
      <c r="C41" s="222" t="s">
        <v>232</v>
      </c>
      <c r="D41" s="222"/>
      <c r="E41" s="222"/>
      <c r="F41" s="72">
        <v>1</v>
      </c>
      <c r="H41" s="60"/>
      <c r="I41" s="60"/>
      <c r="J41" s="60"/>
      <c r="K41" s="60"/>
      <c r="L41" s="60"/>
      <c r="M41" s="60"/>
      <c r="N41" s="60"/>
      <c r="O41" s="60"/>
      <c r="P41" s="60"/>
      <c r="Q41" s="60"/>
      <c r="R41" s="60"/>
      <c r="S41" s="60"/>
      <c r="T41" s="60"/>
      <c r="U41" s="60"/>
      <c r="V41" s="60"/>
      <c r="W41" s="60"/>
      <c r="X41" s="60"/>
      <c r="Y41" s="60"/>
      <c r="Z41" s="60"/>
      <c r="AA41" s="60"/>
    </row>
    <row r="42" spans="2:27" ht="14.4" x14ac:dyDescent="0.25">
      <c r="B42" s="69" t="s">
        <v>233</v>
      </c>
      <c r="C42" s="223" t="s">
        <v>234</v>
      </c>
      <c r="D42" s="223"/>
      <c r="E42" s="223"/>
      <c r="F42" s="67" t="s">
        <v>67</v>
      </c>
      <c r="H42" s="60"/>
      <c r="I42" s="60"/>
      <c r="J42" s="60"/>
      <c r="K42" s="60"/>
      <c r="L42" s="60"/>
      <c r="M42" s="60"/>
      <c r="N42" s="60"/>
      <c r="O42" s="60"/>
      <c r="P42" s="60"/>
      <c r="Q42" s="60"/>
      <c r="R42" s="60"/>
      <c r="S42" s="60"/>
      <c r="T42" s="60"/>
      <c r="U42" s="60"/>
      <c r="V42" s="60"/>
      <c r="W42" s="60"/>
      <c r="X42" s="60"/>
      <c r="Y42" s="60"/>
      <c r="Z42" s="60"/>
      <c r="AA42" s="60"/>
    </row>
    <row r="43" spans="2:27" ht="14.4" x14ac:dyDescent="0.25">
      <c r="B43" s="71">
        <v>8</v>
      </c>
      <c r="C43" s="225" t="s">
        <v>235</v>
      </c>
      <c r="D43" s="225"/>
      <c r="E43" s="225"/>
      <c r="F43" s="225"/>
      <c r="H43" s="60"/>
      <c r="I43" s="60"/>
      <c r="J43" s="60"/>
      <c r="K43" s="60"/>
      <c r="L43" s="60"/>
      <c r="M43" s="60"/>
      <c r="N43" s="60"/>
      <c r="O43" s="60"/>
      <c r="P43" s="60"/>
      <c r="Q43" s="60"/>
      <c r="R43" s="60"/>
      <c r="S43" s="60"/>
      <c r="T43" s="60"/>
      <c r="U43" s="60"/>
      <c r="V43" s="60"/>
      <c r="W43" s="60"/>
      <c r="X43" s="60"/>
      <c r="Y43" s="60"/>
      <c r="Z43" s="60"/>
      <c r="AA43" s="60"/>
    </row>
    <row r="44" spans="2:27" ht="14.4" x14ac:dyDescent="0.25">
      <c r="B44" s="69" t="s">
        <v>236</v>
      </c>
      <c r="C44" s="222" t="s">
        <v>237</v>
      </c>
      <c r="D44" s="222"/>
      <c r="E44" s="222"/>
      <c r="F44" s="72">
        <v>1</v>
      </c>
      <c r="H44" s="60"/>
      <c r="I44" s="60"/>
      <c r="J44" s="60"/>
      <c r="K44" s="60"/>
      <c r="L44" s="60"/>
      <c r="M44" s="60"/>
      <c r="N44" s="60"/>
      <c r="O44" s="60"/>
      <c r="P44" s="60"/>
      <c r="Q44" s="60"/>
      <c r="R44" s="60"/>
      <c r="S44" s="60"/>
      <c r="T44" s="60"/>
      <c r="U44" s="60"/>
      <c r="V44" s="60"/>
      <c r="W44" s="60"/>
      <c r="X44" s="60"/>
      <c r="Y44" s="60"/>
      <c r="Z44" s="60"/>
      <c r="AA44" s="60"/>
    </row>
    <row r="45" spans="2:27" ht="14.4" x14ac:dyDescent="0.25">
      <c r="B45" s="69" t="s">
        <v>238</v>
      </c>
      <c r="C45" s="223" t="s">
        <v>239</v>
      </c>
      <c r="D45" s="223"/>
      <c r="E45" s="223"/>
      <c r="F45" s="67" t="s">
        <v>67</v>
      </c>
      <c r="H45" s="60"/>
      <c r="I45" s="60"/>
      <c r="J45" s="60"/>
      <c r="K45" s="60"/>
      <c r="L45" s="60"/>
      <c r="M45" s="60"/>
      <c r="N45" s="60"/>
      <c r="O45" s="60"/>
      <c r="P45" s="60"/>
      <c r="Q45" s="60"/>
      <c r="R45" s="60"/>
      <c r="S45" s="60"/>
      <c r="T45" s="60"/>
      <c r="U45" s="60"/>
      <c r="V45" s="60"/>
      <c r="W45" s="60"/>
      <c r="X45" s="60"/>
      <c r="Y45" s="60"/>
      <c r="Z45" s="60"/>
      <c r="AA45" s="60"/>
    </row>
    <row r="46" spans="2:27" ht="23.25" customHeight="1" x14ac:dyDescent="0.25">
      <c r="B46" s="224" t="s">
        <v>240</v>
      </c>
      <c r="C46" s="224"/>
      <c r="D46" s="224"/>
      <c r="E46" s="224"/>
      <c r="F46" s="70">
        <f>IF((29-COUNTIF(F10:F45,"N/A"))=0,"N/A",((COUNTIF(F10:F45,"SI")+SUM(F10:F45))/(IF((29-COUNTIF(F10:F45,"N/A"))=0,1,(29-COUNTIF(F10:F45,"N/A"))))))</f>
        <v>1</v>
      </c>
      <c r="H46" s="60"/>
      <c r="I46" s="60"/>
      <c r="J46" s="60"/>
      <c r="K46" s="60"/>
      <c r="L46" s="60"/>
      <c r="M46" s="60"/>
      <c r="N46" s="60"/>
      <c r="O46" s="60"/>
      <c r="P46" s="60"/>
      <c r="Q46" s="60"/>
      <c r="R46" s="60"/>
      <c r="S46" s="60"/>
      <c r="T46" s="60"/>
      <c r="U46" s="60"/>
      <c r="V46" s="60"/>
      <c r="W46" s="60"/>
      <c r="X46" s="60"/>
      <c r="Y46" s="60"/>
      <c r="Z46" s="60"/>
      <c r="AA46" s="60"/>
    </row>
    <row r="47" spans="2:27" x14ac:dyDescent="0.25">
      <c r="H47" s="60"/>
      <c r="I47" s="60"/>
      <c r="J47" s="60"/>
      <c r="K47" s="60"/>
      <c r="L47" s="60"/>
      <c r="M47" s="60"/>
      <c r="N47" s="60"/>
      <c r="O47" s="60"/>
      <c r="P47" s="60"/>
      <c r="Q47" s="60"/>
      <c r="R47" s="60"/>
      <c r="S47" s="60"/>
      <c r="T47" s="60"/>
      <c r="U47" s="60"/>
      <c r="V47" s="60"/>
      <c r="W47" s="60"/>
      <c r="X47" s="60"/>
      <c r="Y47" s="60"/>
      <c r="Z47" s="60"/>
      <c r="AA47" s="60"/>
    </row>
    <row r="48" spans="2:27" x14ac:dyDescent="0.25">
      <c r="H48" s="60"/>
      <c r="I48" s="60"/>
      <c r="J48" s="60"/>
      <c r="K48" s="60"/>
      <c r="L48" s="60"/>
      <c r="M48" s="60"/>
      <c r="N48" s="60"/>
      <c r="O48" s="60"/>
      <c r="P48" s="60"/>
      <c r="Q48" s="60"/>
      <c r="R48" s="60"/>
      <c r="S48" s="60"/>
      <c r="T48" s="60"/>
      <c r="U48" s="60"/>
      <c r="V48" s="60"/>
      <c r="W48" s="60"/>
      <c r="X48" s="60"/>
      <c r="Y48" s="60"/>
      <c r="Z48" s="60"/>
      <c r="AA48" s="60"/>
    </row>
    <row r="49" spans="8:27" x14ac:dyDescent="0.25">
      <c r="H49" s="60"/>
      <c r="I49" s="60"/>
      <c r="J49" s="60"/>
      <c r="K49" s="60"/>
      <c r="L49" s="60"/>
      <c r="M49" s="60"/>
      <c r="N49" s="60"/>
      <c r="O49" s="60"/>
      <c r="P49" s="60"/>
      <c r="Q49" s="60"/>
      <c r="R49" s="60"/>
      <c r="S49" s="60"/>
      <c r="T49" s="60"/>
      <c r="U49" s="60"/>
      <c r="V49" s="60"/>
      <c r="W49" s="60"/>
      <c r="X49" s="60"/>
      <c r="Y49" s="60"/>
      <c r="Z49" s="60"/>
      <c r="AA49" s="60"/>
    </row>
    <row r="50" spans="8:27" x14ac:dyDescent="0.25">
      <c r="H50" s="60"/>
      <c r="I50" s="60"/>
      <c r="J50" s="60"/>
      <c r="K50" s="60"/>
      <c r="L50" s="60"/>
      <c r="M50" s="60"/>
      <c r="N50" s="60"/>
      <c r="O50" s="60"/>
      <c r="P50" s="60"/>
      <c r="Q50" s="60"/>
      <c r="R50" s="60"/>
      <c r="S50" s="60"/>
      <c r="T50" s="60"/>
      <c r="U50" s="60"/>
      <c r="V50" s="60"/>
      <c r="W50" s="60"/>
      <c r="X50" s="60"/>
      <c r="Y50" s="60"/>
      <c r="Z50" s="60"/>
      <c r="AA50" s="60"/>
    </row>
    <row r="51" spans="8:27" x14ac:dyDescent="0.25">
      <c r="H51" s="60"/>
      <c r="I51" s="60"/>
      <c r="J51" s="60"/>
      <c r="K51" s="60"/>
      <c r="L51" s="60"/>
      <c r="M51" s="60"/>
      <c r="N51" s="60"/>
      <c r="O51" s="60"/>
      <c r="P51" s="60"/>
      <c r="Q51" s="60"/>
      <c r="R51" s="60"/>
      <c r="S51" s="60"/>
      <c r="T51" s="60"/>
      <c r="U51" s="60"/>
      <c r="V51" s="60"/>
      <c r="W51" s="60"/>
      <c r="X51" s="60"/>
      <c r="Y51" s="60"/>
      <c r="Z51" s="60"/>
      <c r="AA51" s="60"/>
    </row>
    <row r="52" spans="8:27" x14ac:dyDescent="0.25">
      <c r="H52" s="60"/>
      <c r="I52" s="60"/>
      <c r="J52" s="60"/>
      <c r="K52" s="60"/>
      <c r="L52" s="60"/>
      <c r="M52" s="60"/>
      <c r="N52" s="60"/>
      <c r="O52" s="60"/>
      <c r="P52" s="60"/>
      <c r="Q52" s="60"/>
      <c r="R52" s="60"/>
      <c r="S52" s="60"/>
      <c r="T52" s="60"/>
      <c r="U52" s="60"/>
      <c r="V52" s="60"/>
      <c r="W52" s="60"/>
      <c r="X52" s="60"/>
      <c r="Y52" s="60"/>
      <c r="Z52" s="60"/>
      <c r="AA52" s="60"/>
    </row>
    <row r="53" spans="8:27" x14ac:dyDescent="0.25">
      <c r="H53" s="60"/>
      <c r="I53" s="60"/>
      <c r="J53" s="60"/>
      <c r="K53" s="60"/>
      <c r="L53" s="60"/>
      <c r="M53" s="60"/>
      <c r="N53" s="60"/>
      <c r="O53" s="60"/>
      <c r="P53" s="60"/>
      <c r="Q53" s="60"/>
      <c r="R53" s="60"/>
      <c r="S53" s="60"/>
      <c r="T53" s="60"/>
      <c r="U53" s="60"/>
      <c r="V53" s="60"/>
      <c r="W53" s="60"/>
      <c r="X53" s="60"/>
      <c r="Y53" s="60"/>
      <c r="Z53" s="60"/>
      <c r="AA53" s="60"/>
    </row>
    <row r="54" spans="8:27" x14ac:dyDescent="0.25">
      <c r="H54" s="60"/>
      <c r="I54" s="60"/>
      <c r="J54" s="60"/>
      <c r="K54" s="60"/>
      <c r="L54" s="60"/>
      <c r="M54" s="60"/>
      <c r="N54" s="60"/>
      <c r="O54" s="60"/>
      <c r="P54" s="60"/>
      <c r="Q54" s="60"/>
      <c r="R54" s="60"/>
      <c r="S54" s="60"/>
      <c r="T54" s="60"/>
      <c r="U54" s="60"/>
      <c r="V54" s="60"/>
      <c r="W54" s="60"/>
      <c r="X54" s="60"/>
      <c r="Y54" s="60"/>
      <c r="Z54" s="60"/>
      <c r="AA54" s="60"/>
    </row>
    <row r="55" spans="8:27" x14ac:dyDescent="0.25">
      <c r="H55" s="60"/>
      <c r="I55" s="60"/>
      <c r="J55" s="60"/>
      <c r="K55" s="60"/>
      <c r="L55" s="60"/>
      <c r="M55" s="60"/>
      <c r="N55" s="60"/>
      <c r="O55" s="60"/>
      <c r="P55" s="60"/>
      <c r="Q55" s="60"/>
      <c r="R55" s="60"/>
      <c r="S55" s="60"/>
      <c r="T55" s="60"/>
      <c r="U55" s="60"/>
      <c r="V55" s="60"/>
      <c r="W55" s="60"/>
      <c r="X55" s="60"/>
      <c r="Y55" s="60"/>
      <c r="Z55" s="60"/>
      <c r="AA55" s="60"/>
    </row>
    <row r="56" spans="8:27" x14ac:dyDescent="0.25">
      <c r="H56" s="60"/>
      <c r="I56" s="60"/>
      <c r="J56" s="60"/>
      <c r="K56" s="60"/>
      <c r="L56" s="60"/>
      <c r="M56" s="60"/>
      <c r="N56" s="60"/>
      <c r="O56" s="60"/>
      <c r="P56" s="60"/>
      <c r="Q56" s="60"/>
      <c r="R56" s="60"/>
      <c r="S56" s="60"/>
      <c r="T56" s="60"/>
      <c r="U56" s="60"/>
      <c r="V56" s="60"/>
      <c r="W56" s="60"/>
      <c r="X56" s="60"/>
      <c r="Y56" s="60"/>
      <c r="Z56" s="60"/>
      <c r="AA56" s="60"/>
    </row>
  </sheetData>
  <sheetProtection algorithmName="SHA-512" hashValue="Gl4ZWqlTYnOJ0J7GY6nxkbK2rNoHfE+Nn60h0t4jB40l/8tugV51mval25aluGjGADg+hgcXI0ruXw892u+nog==" saltValue="cBYqTQsWIXVT7O3RlaFi4w==" spinCount="100000" sheet="1" objects="1" scenarios="1"/>
  <mergeCells count="41">
    <mergeCell ref="B6:F6"/>
    <mergeCell ref="C8:E8"/>
    <mergeCell ref="C9:F9"/>
    <mergeCell ref="C22:F22"/>
    <mergeCell ref="C18:E18"/>
    <mergeCell ref="C20:E20"/>
    <mergeCell ref="C21:E21"/>
    <mergeCell ref="B10:B14"/>
    <mergeCell ref="C19:F19"/>
    <mergeCell ref="C10:E10"/>
    <mergeCell ref="C11:E11"/>
    <mergeCell ref="C12:E12"/>
    <mergeCell ref="C13:E13"/>
    <mergeCell ref="C14:E14"/>
    <mergeCell ref="C30:E30"/>
    <mergeCell ref="C23:E23"/>
    <mergeCell ref="C15:E15"/>
    <mergeCell ref="C16:E16"/>
    <mergeCell ref="C17:E17"/>
    <mergeCell ref="C24:E24"/>
    <mergeCell ref="C25:E25"/>
    <mergeCell ref="C26:E26"/>
    <mergeCell ref="C27:E27"/>
    <mergeCell ref="C29:E29"/>
    <mergeCell ref="C28:F28"/>
    <mergeCell ref="C44:E44"/>
    <mergeCell ref="C45:E45"/>
    <mergeCell ref="B46:E46"/>
    <mergeCell ref="C31:E31"/>
    <mergeCell ref="C33:E33"/>
    <mergeCell ref="C34:E34"/>
    <mergeCell ref="C36:E36"/>
    <mergeCell ref="C37:E37"/>
    <mergeCell ref="C39:E39"/>
    <mergeCell ref="C38:F38"/>
    <mergeCell ref="C42:E42"/>
    <mergeCell ref="C43:F43"/>
    <mergeCell ref="C32:F32"/>
    <mergeCell ref="C35:F35"/>
    <mergeCell ref="C40:E40"/>
    <mergeCell ref="C41:E41"/>
  </mergeCells>
  <dataValidations count="1">
    <dataValidation type="list" allowBlank="1" showInputMessage="1" showErrorMessage="1" sqref="F10:F18 F20:F21 F23:F27 F29:F31 F33:F34 F36:F37 F39:F42 F44:F45" xr:uid="{8475C856-FEC2-4B8F-92D2-DDD4C006ACAE}">
      <formula1>$X$12:$X$17</formula1>
    </dataValidation>
  </dataValidations>
  <printOptions horizontalCentered="1"/>
  <pageMargins left="0.31496062992125984" right="0.31496062992125984" top="0.74803149606299213" bottom="0.74803149606299213" header="0.31496062992125984" footer="0.31496062992125984"/>
  <pageSetup scale="90"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0070C0"/>
  </sheetPr>
  <dimension ref="B5:AL29"/>
  <sheetViews>
    <sheetView showGridLines="0" view="pageBreakPreview" zoomScale="56" zoomScaleNormal="100" zoomScaleSheetLayoutView="100" workbookViewId="0">
      <selection activeCell="E5" sqref="E5"/>
    </sheetView>
  </sheetViews>
  <sheetFormatPr baseColWidth="10" defaultColWidth="11.44140625" defaultRowHeight="13.2" x14ac:dyDescent="0.25"/>
  <cols>
    <col min="1" max="1" width="1.6640625" customWidth="1"/>
    <col min="2" max="2" width="8.6640625" customWidth="1"/>
    <col min="3" max="3" width="47.44140625" customWidth="1"/>
    <col min="4" max="4" width="27.44140625" customWidth="1"/>
    <col min="5" max="5" width="19.33203125" customWidth="1"/>
    <col min="6" max="6" width="2.77734375" customWidth="1"/>
    <col min="7" max="37" width="10.6640625" customWidth="1"/>
    <col min="38" max="38" width="18.6640625" customWidth="1"/>
  </cols>
  <sheetData>
    <row r="5" spans="2:38" x14ac:dyDescent="0.25">
      <c r="AL5" s="6" t="s">
        <v>17</v>
      </c>
    </row>
    <row r="6" spans="2:38" ht="18" x14ac:dyDescent="0.25">
      <c r="B6" s="229" t="s">
        <v>241</v>
      </c>
      <c r="C6" s="229"/>
      <c r="D6" s="229"/>
      <c r="E6" s="229"/>
      <c r="AL6" s="6" t="s">
        <v>18</v>
      </c>
    </row>
    <row r="7" spans="2:38" x14ac:dyDescent="0.25">
      <c r="AL7" s="6" t="s">
        <v>171</v>
      </c>
    </row>
    <row r="8" spans="2:38" ht="28.8" x14ac:dyDescent="0.25">
      <c r="B8" s="53" t="s">
        <v>175</v>
      </c>
      <c r="C8" s="45" t="s">
        <v>168</v>
      </c>
      <c r="D8" s="46" t="s">
        <v>169</v>
      </c>
      <c r="E8" s="47" t="s">
        <v>170</v>
      </c>
      <c r="AL8" s="6" t="s">
        <v>242</v>
      </c>
    </row>
    <row r="9" spans="2:38" ht="15.75" customHeight="1" x14ac:dyDescent="0.25">
      <c r="B9" s="54">
        <v>1</v>
      </c>
      <c r="C9" s="55"/>
      <c r="D9" s="55"/>
      <c r="E9" s="56"/>
    </row>
    <row r="10" spans="2:38" ht="15.75" customHeight="1" x14ac:dyDescent="0.25">
      <c r="B10" s="41">
        <v>2</v>
      </c>
      <c r="C10" s="42" t="s">
        <v>244</v>
      </c>
      <c r="D10" s="42" t="s">
        <v>260</v>
      </c>
      <c r="E10" s="43" t="s">
        <v>17</v>
      </c>
    </row>
    <row r="11" spans="2:38" ht="15.75" customHeight="1" x14ac:dyDescent="0.25">
      <c r="B11" s="54">
        <v>3</v>
      </c>
      <c r="C11" s="55" t="s">
        <v>256</v>
      </c>
      <c r="D11" s="55" t="s">
        <v>262</v>
      </c>
      <c r="E11" s="56" t="s">
        <v>18</v>
      </c>
    </row>
    <row r="12" spans="2:38" ht="15.75" customHeight="1" x14ac:dyDescent="0.25">
      <c r="B12" s="41">
        <v>4</v>
      </c>
      <c r="C12" s="42" t="s">
        <v>257</v>
      </c>
      <c r="D12" s="42" t="s">
        <v>261</v>
      </c>
      <c r="E12" s="43" t="s">
        <v>171</v>
      </c>
    </row>
    <row r="13" spans="2:38" ht="15.75" customHeight="1" x14ac:dyDescent="0.25">
      <c r="B13" s="54">
        <v>5</v>
      </c>
      <c r="C13" s="55" t="s">
        <v>258</v>
      </c>
      <c r="D13" s="55" t="s">
        <v>263</v>
      </c>
      <c r="E13" s="56" t="s">
        <v>242</v>
      </c>
    </row>
    <row r="14" spans="2:38" ht="15.75" customHeight="1" x14ac:dyDescent="0.25">
      <c r="B14" s="41">
        <v>6</v>
      </c>
      <c r="C14" s="42" t="s">
        <v>259</v>
      </c>
      <c r="D14" s="42" t="s">
        <v>264</v>
      </c>
      <c r="E14" s="43" t="s">
        <v>18</v>
      </c>
    </row>
    <row r="15" spans="2:38" ht="15.75" customHeight="1" x14ac:dyDescent="0.25">
      <c r="B15" s="54">
        <v>7</v>
      </c>
      <c r="C15" s="55"/>
      <c r="D15" s="55"/>
      <c r="E15" s="56"/>
    </row>
    <row r="16" spans="2:38" ht="15.75" customHeight="1" x14ac:dyDescent="0.25">
      <c r="B16" s="41">
        <v>8</v>
      </c>
      <c r="C16" s="42"/>
      <c r="D16" s="42"/>
      <c r="E16" s="43"/>
    </row>
    <row r="17" spans="2:5" ht="15.75" customHeight="1" x14ac:dyDescent="0.25">
      <c r="B17" s="54">
        <v>9</v>
      </c>
      <c r="C17" s="55"/>
      <c r="D17" s="55"/>
      <c r="E17" s="56"/>
    </row>
    <row r="18" spans="2:5" ht="15.75" customHeight="1" x14ac:dyDescent="0.25">
      <c r="B18" s="41">
        <v>10</v>
      </c>
      <c r="C18" s="42"/>
      <c r="D18" s="42"/>
      <c r="E18" s="43"/>
    </row>
    <row r="19" spans="2:5" ht="15.75" customHeight="1" x14ac:dyDescent="0.25">
      <c r="B19" s="54">
        <v>11</v>
      </c>
      <c r="C19" s="57"/>
      <c r="D19" s="55"/>
      <c r="E19" s="56"/>
    </row>
    <row r="20" spans="2:5" ht="15.75" customHeight="1" x14ac:dyDescent="0.25">
      <c r="B20" s="41">
        <v>12</v>
      </c>
      <c r="C20" s="52"/>
      <c r="D20" s="42"/>
      <c r="E20" s="43"/>
    </row>
    <row r="21" spans="2:5" ht="15.75" customHeight="1" x14ac:dyDescent="0.25">
      <c r="B21" s="54">
        <v>13</v>
      </c>
      <c r="C21" s="57"/>
      <c r="D21" s="55"/>
      <c r="E21" s="56"/>
    </row>
    <row r="22" spans="2:5" ht="15.75" customHeight="1" x14ac:dyDescent="0.25">
      <c r="B22" s="41">
        <v>14</v>
      </c>
      <c r="C22" s="52"/>
      <c r="D22" s="42"/>
      <c r="E22" s="43"/>
    </row>
    <row r="23" spans="2:5" ht="15.75" customHeight="1" x14ac:dyDescent="0.25">
      <c r="B23" s="54">
        <v>15</v>
      </c>
      <c r="C23" s="57"/>
      <c r="D23" s="55"/>
      <c r="E23" s="56"/>
    </row>
    <row r="24" spans="2:5" ht="15.75" customHeight="1" x14ac:dyDescent="0.25">
      <c r="B24" s="41">
        <v>16</v>
      </c>
      <c r="C24" s="52"/>
      <c r="D24" s="42"/>
      <c r="E24" s="43"/>
    </row>
    <row r="25" spans="2:5" ht="15.75" customHeight="1" x14ac:dyDescent="0.25">
      <c r="B25" s="54">
        <v>17</v>
      </c>
      <c r="C25" s="57"/>
      <c r="D25" s="55"/>
      <c r="E25" s="56"/>
    </row>
    <row r="26" spans="2:5" ht="15.75" customHeight="1" x14ac:dyDescent="0.25">
      <c r="B26" s="41">
        <v>18</v>
      </c>
      <c r="C26" s="52"/>
      <c r="D26" s="42"/>
      <c r="E26" s="43"/>
    </row>
    <row r="27" spans="2:5" ht="15.75" customHeight="1" x14ac:dyDescent="0.25">
      <c r="B27" s="54">
        <v>19</v>
      </c>
      <c r="C27" s="57"/>
      <c r="D27" s="55"/>
      <c r="E27" s="56"/>
    </row>
    <row r="28" spans="2:5" ht="15.75" customHeight="1" x14ac:dyDescent="0.25">
      <c r="B28" s="41">
        <v>20</v>
      </c>
      <c r="C28" s="52"/>
      <c r="D28" s="42"/>
      <c r="E28" s="43"/>
    </row>
    <row r="29" spans="2:5" ht="15.75" customHeight="1" x14ac:dyDescent="0.25">
      <c r="B29" s="48"/>
      <c r="C29" s="49"/>
      <c r="D29" s="50"/>
      <c r="E29" s="51"/>
    </row>
  </sheetData>
  <sheetProtection algorithmName="SHA-512" hashValue="MU18jREb0Vb6fBgKE0mzqojW56UW1gZZ2AT45ARf3M4lX4HMkC+3WK8ohXELebxT5QUV888GWa0E8Nysoi4+4Q==" saltValue="RZpHsX6XSYCQyRAW5GlPbg==" spinCount="100000" sheet="1" objects="1" scenarios="1"/>
  <mergeCells count="1">
    <mergeCell ref="B6:E6"/>
  </mergeCells>
  <dataValidations count="1">
    <dataValidation type="list" allowBlank="1" showInputMessage="1" showErrorMessage="1" sqref="E9:E28" xr:uid="{00000000-0002-0000-0700-000001000000}">
      <formula1>$AL$5:$AL$8</formula1>
    </dataValidation>
  </dataValidations>
  <printOptions horizontalCentered="1"/>
  <pageMargins left="0.31496062992125984" right="0.31496062992125984" top="0.74803149606299213" bottom="0.74803149606299213" header="0.31496062992125984" footer="0.31496062992125984"/>
  <pageSetup scale="90" orientation="portrait" horizontalDpi="300" verticalDpi="300"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theme="8" tint="-0.249977111117893"/>
  </sheetPr>
  <dimension ref="AK1:AL33"/>
  <sheetViews>
    <sheetView showGridLines="0" view="pageBreakPreview" zoomScale="50" zoomScaleNormal="100" zoomScaleSheetLayoutView="100" workbookViewId="0">
      <selection activeCell="P11" sqref="P11"/>
    </sheetView>
  </sheetViews>
  <sheetFormatPr baseColWidth="10" defaultColWidth="11.44140625" defaultRowHeight="13.2" x14ac:dyDescent="0.25"/>
  <cols>
    <col min="1" max="1" width="1.6640625" customWidth="1"/>
    <col min="11" max="11" width="35.33203125" customWidth="1"/>
    <col min="12" max="12" width="1.6640625" customWidth="1"/>
    <col min="13" max="36" width="10.6640625" customWidth="1"/>
    <col min="37" max="37" width="11.44140625" style="19"/>
    <col min="38" max="38" width="10.44140625" style="19" customWidth="1"/>
  </cols>
  <sheetData>
    <row r="1" spans="37:38" ht="69.75" customHeight="1" x14ac:dyDescent="0.25"/>
    <row r="3" spans="37:38" x14ac:dyDescent="0.25">
      <c r="AK3" s="22" t="str">
        <f>'EVALUACION RESSO EECC'!B71</f>
        <v>I. REQUERIMIENTOS PARA IMPLEMENTAR UN SIGO PARA EMPRESAS CONTRATISTAS Y SUBCONTRATISTAS DE CODELCO</v>
      </c>
    </row>
    <row r="4" spans="37:38" x14ac:dyDescent="0.25">
      <c r="AK4" s="19" t="str">
        <f>'EVALUACION RESSO EECC'!B72</f>
        <v>A. SISTEMA DE GESTION DE SEGURIDAD Y SALUD EN EL TRABAJO (TITULO IV)</v>
      </c>
      <c r="AL4" s="20">
        <f>'EVALUACION RESSO EECC'!G72</f>
        <v>1</v>
      </c>
    </row>
    <row r="5" spans="37:38" x14ac:dyDescent="0.25">
      <c r="AK5" s="19" t="str">
        <f>'EVALUACION RESSO EECC'!B73</f>
        <v>B. PROGRAMA DE SEGURIDAD Y SALUD EN EL TRABAJO (TITULO V RESSO)</v>
      </c>
      <c r="AL5" s="20">
        <f>'EVALUACION RESSO EECC'!G73</f>
        <v>0.7416666666666667</v>
      </c>
    </row>
    <row r="6" spans="37:38" x14ac:dyDescent="0.25">
      <c r="AK6" s="21" t="str">
        <f>'EVALUACION RESSO EECC'!B74</f>
        <v>B.1 Contenidos del Programa de Seguridad y Salud en el Trabajo</v>
      </c>
      <c r="AL6" s="20">
        <f>'EVALUACION RESSO EECC'!G74</f>
        <v>0.75</v>
      </c>
    </row>
    <row r="7" spans="37:38" x14ac:dyDescent="0.25">
      <c r="AK7" s="21" t="str">
        <f>'EVALUACION RESSO EECC'!B75</f>
        <v>B.2 Elementos del Programa (Establecimiento de objetivos y metas)</v>
      </c>
      <c r="AL7" s="20">
        <f>'EVALUACION RESSO EECC'!G75</f>
        <v>1</v>
      </c>
    </row>
    <row r="8" spans="37:38" x14ac:dyDescent="0.25">
      <c r="AK8" s="21" t="str">
        <f>'EVALUACION RESSO EECC'!B76</f>
        <v>B.3 Planificación y Administración del Sistema de Gestión (Identificación y cumplimiento del marco regulatorio)</v>
      </c>
      <c r="AL8" s="20">
        <f>'EVALUACION RESSO EECC'!G76</f>
        <v>1</v>
      </c>
    </row>
    <row r="9" spans="37:38" x14ac:dyDescent="0.25">
      <c r="AK9" s="21" t="str">
        <f>'EVALUACION RESSO EECC'!B77</f>
        <v>B.4 Planificación y Administración del Sistema de Gestión (Proceso de identificación de Peligros, Evaluación y Control de Riesgos)</v>
      </c>
      <c r="AL9" s="20">
        <f>'EVALUACION RESSO EECC'!G77</f>
        <v>0.5</v>
      </c>
    </row>
    <row r="10" spans="37:38" x14ac:dyDescent="0.25">
      <c r="AK10" s="21" t="str">
        <f>'EVALUACION RESSO EECC'!B78</f>
        <v xml:space="preserve">B.5 Estandarización de los controles operacionales </v>
      </c>
      <c r="AL10" s="20">
        <f>'EVALUACION RESSO EECC'!G78</f>
        <v>0.7</v>
      </c>
    </row>
    <row r="11" spans="37:38" x14ac:dyDescent="0.25">
      <c r="AK11" s="21" t="str">
        <f>'EVALUACION RESSO EECC'!B79</f>
        <v>B.6 Preparación y Respuesta ante emergencias</v>
      </c>
      <c r="AL11" s="20">
        <f>'EVALUACION RESSO EECC'!G79</f>
        <v>0.5</v>
      </c>
    </row>
    <row r="12" spans="37:38" x14ac:dyDescent="0.25">
      <c r="AK12" s="19" t="str">
        <f>'EVALUACION RESSO EECC'!B80</f>
        <v>C. IMPLEMENTACION Y OPERACIÓN (TITULO VI RESSO)</v>
      </c>
      <c r="AL12" s="20">
        <f>'EVALUACION RESSO EECC'!G80</f>
        <v>1</v>
      </c>
    </row>
    <row r="13" spans="37:38" x14ac:dyDescent="0.25">
      <c r="AK13" s="19" t="str">
        <f>'EVALUACION RESSO EECC'!B81</f>
        <v>C.1 Obligación de Informar / ODI</v>
      </c>
      <c r="AL13" s="20">
        <f>'EVALUACION RESSO EECC'!G81</f>
        <v>1</v>
      </c>
    </row>
    <row r="14" spans="37:38" x14ac:dyDescent="0.25">
      <c r="AK14" s="19" t="str">
        <f>'EVALUACION RESSO EECC'!B82</f>
        <v xml:space="preserve">C.2 Participación de los trabajadores </v>
      </c>
      <c r="AL14" s="20">
        <f>'EVALUACION RESSO EECC'!G82</f>
        <v>1</v>
      </c>
    </row>
    <row r="15" spans="37:38" x14ac:dyDescent="0.25">
      <c r="AK15" s="19" t="str">
        <f>'EVALUACION RESSO EECC'!B83</f>
        <v xml:space="preserve">C.3 Documentación que debe mantener la empresa principal. </v>
      </c>
      <c r="AL15" s="20">
        <f>'EVALUACION RESSO EECC'!G83</f>
        <v>1</v>
      </c>
    </row>
    <row r="16" spans="37:38" x14ac:dyDescent="0.25">
      <c r="AK16" s="19" t="str">
        <f>'EVALUACION RESSO EECC'!B84</f>
        <v xml:space="preserve">C.4 Libro de Obra o de Servicios o Libro de Obra Digital (LOD) </v>
      </c>
      <c r="AL16" s="20">
        <f>'EVALUACION RESSO EECC'!G84</f>
        <v>1</v>
      </c>
    </row>
    <row r="17" spans="37:38" x14ac:dyDescent="0.25">
      <c r="AK17" s="19" t="str">
        <f>'EVALUACION RESSO EECC'!B85</f>
        <v>C.5 Libro SERNAGEOMIN</v>
      </c>
      <c r="AL17" s="20">
        <f>'EVALUACION RESSO EECC'!G85</f>
        <v>1</v>
      </c>
    </row>
    <row r="18" spans="37:38" x14ac:dyDescent="0.25">
      <c r="AK18" s="19" t="str">
        <f>'EVALUACION RESSO EECC'!B86</f>
        <v>C.6 Control y actualización de documentos y datos de Seguridad y Salud en el Trabajo</v>
      </c>
      <c r="AL18" s="20">
        <f>'EVALUACION RESSO EECC'!G86</f>
        <v>1</v>
      </c>
    </row>
    <row r="19" spans="37:38" x14ac:dyDescent="0.25">
      <c r="AK19" s="19" t="str">
        <f>'EVALUACION RESSO EECC'!B87</f>
        <v>C.7 Estándares de control operacional</v>
      </c>
      <c r="AL19" s="20">
        <f>'EVALUACION RESSO EECC'!G87</f>
        <v>1</v>
      </c>
    </row>
    <row r="20" spans="37:38" x14ac:dyDescent="0.25">
      <c r="AK20" s="19" t="str">
        <f>'EVALUACION RESSO EECC'!B88</f>
        <v>D. RESULTADOS DE FISCALIZACIONES INTERNAS Y EXTERNAS (TITULO VII RESSO)</v>
      </c>
      <c r="AL20" s="20">
        <f>'EVALUACION RESSO EECC'!G88</f>
        <v>1</v>
      </c>
    </row>
    <row r="21" spans="37:38" x14ac:dyDescent="0.25">
      <c r="AK21" s="19" t="str">
        <f>'EVALUACION RESSO EECC'!B89</f>
        <v>D.1 Registro y seguimiento de instrucciones</v>
      </c>
      <c r="AL21" s="20">
        <f>'EVALUACION RESSO EECC'!G89</f>
        <v>1</v>
      </c>
    </row>
    <row r="22" spans="37:38" x14ac:dyDescent="0.25">
      <c r="AK22" s="19" t="str">
        <f>'EVALUACION RESSO EECC'!B90</f>
        <v>D.2 Calificación de Empresas Contratistas y Subcontratistas</v>
      </c>
      <c r="AL22" s="20">
        <f>'EVALUACION RESSO EECC'!G90</f>
        <v>1</v>
      </c>
    </row>
    <row r="23" spans="37:38" x14ac:dyDescent="0.25">
      <c r="AK23" s="19" t="str">
        <f>'EVALUACION RESSO EECC'!B91</f>
        <v>E. PROCEDIMIENTOS EN CASO DE ACCIDENTES E INCIDENTES (TITULO VIII RESSO)</v>
      </c>
      <c r="AL23" s="20">
        <f>'EVALUACION RESSO EECC'!G91</f>
        <v>0</v>
      </c>
    </row>
    <row r="24" spans="37:38" x14ac:dyDescent="0.25">
      <c r="AK24" s="19" t="str">
        <f>'EVALUACION RESSO EECC'!B92</f>
        <v>E.1 Informe de Accidentes Graves, Fatales y de Alto Potencial</v>
      </c>
      <c r="AL24" s="20">
        <f>'EVALUACION RESSO EECC'!G91</f>
        <v>0</v>
      </c>
    </row>
    <row r="25" spans="37:38" x14ac:dyDescent="0.25">
      <c r="AK25" s="19" t="str">
        <f>'EVALUACION RESSO EECC'!B93</f>
        <v>F. OBLIGACIONES DE LAS EMPRESASCONTRATISTAS Y SUBCONTRATISTAS (Título IX Y X RESSO)</v>
      </c>
      <c r="AL25" s="20">
        <f>'EVALUACION RESSO EECC'!G93</f>
        <v>1</v>
      </c>
    </row>
    <row r="26" spans="37:38" x14ac:dyDescent="0.25">
      <c r="AL26" s="20"/>
    </row>
    <row r="27" spans="37:38" x14ac:dyDescent="0.25">
      <c r="AK27" s="22" t="str">
        <f>'EVALUACION RESSO EECC'!B94</f>
        <v>II. REQUERIMIENTOS PARA LA IMPLEMENTACIÓN Y OPERACIÓN (OTROS REQUISITOS RELEVANTES DEL SIGO)</v>
      </c>
    </row>
    <row r="28" spans="37:38" x14ac:dyDescent="0.25">
      <c r="AK28" s="19" t="str">
        <f>'EVALUACION RESSO EECC'!B95</f>
        <v>G. Medidas de Prevención Especiales (Título XI RESSO)</v>
      </c>
      <c r="AL28" s="20">
        <f>'EVALUACION RESSO EECC'!G95</f>
        <v>1</v>
      </c>
    </row>
    <row r="29" spans="37:38" x14ac:dyDescent="0.25">
      <c r="AK29" s="19" t="str">
        <f>'EVALUACION RESSO EECC'!B97</f>
        <v>H. Estándares Mínimos (Título XII RESSO)</v>
      </c>
      <c r="AL29" s="20">
        <f>'EVALUACION RESSO EECC'!G97</f>
        <v>1</v>
      </c>
    </row>
    <row r="30" spans="37:38" x14ac:dyDescent="0.25">
      <c r="AK30" s="19" t="str">
        <f>'EVALUACION RESSO EECC'!B99</f>
        <v>I. Comités Paritarios de Higiene y Seguridad (Título XIII RESSO)</v>
      </c>
      <c r="AL30" s="20" t="str">
        <f>'EVALUACION RESSO EECC'!G99</f>
        <v>N/A</v>
      </c>
    </row>
    <row r="31" spans="37:38" x14ac:dyDescent="0.25">
      <c r="AK31" s="19" t="str">
        <f>'EVALUACION RESSO EECC'!B101</f>
        <v>J. Estadística e Información (Título XIV RESSO)</v>
      </c>
      <c r="AL31" s="20">
        <f>'EVALUACION RESSO EECC'!G101</f>
        <v>1</v>
      </c>
    </row>
    <row r="32" spans="37:38" x14ac:dyDescent="0.25">
      <c r="AK32" s="19" t="str">
        <f>'EVALUACION RESSO EECC'!B102</f>
        <v>K. Infracciones o Faltas de los Contratistas / Trabajadores al RIHS (TITULO XV y XVI)</v>
      </c>
      <c r="AL32" s="20">
        <f>'EVALUACION RESSO EECC'!G102</f>
        <v>1</v>
      </c>
    </row>
    <row r="33" spans="38:38" x14ac:dyDescent="0.25">
      <c r="AL33" s="20"/>
    </row>
  </sheetData>
  <sheetProtection algorithmName="SHA-512" hashValue="yDDiwEaenAOcspvvOa3a+8QNIhJm7pZ0njBNkaHKpn9Lqr6ZIbPRA2l68criTWMwQTEfv+c+1PT5EV90+p62oQ==" saltValue="lOCWXZMgrFJzXRNjvSMFVA==" spinCount="100000" sheet="1" selectLockedCells="1"/>
  <pageMargins left="0.7" right="0.7" top="0.75" bottom="0.75" header="0.3" footer="0.3"/>
  <pageSetup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9</vt:i4>
      </vt:variant>
    </vt:vector>
  </HeadingPairs>
  <TitlesOfParts>
    <vt:vector size="18" baseType="lpstr">
      <vt:lpstr>EVALUACION RESSO EECC</vt:lpstr>
      <vt:lpstr>PLAN DE ACCION RESSO </vt:lpstr>
      <vt:lpstr>Implementacion SIGO</vt:lpstr>
      <vt:lpstr>Implementacion y Operacion</vt:lpstr>
      <vt:lpstr>COMENTARIOS</vt:lpstr>
      <vt:lpstr> HALLAZGOS DOC RESSO</vt:lpstr>
      <vt:lpstr>VERIFICACIÓN EN TERRENO</vt:lpstr>
      <vt:lpstr>HALLAZGO EN TERRENO</vt:lpstr>
      <vt:lpstr>GRÁFICO </vt:lpstr>
      <vt:lpstr>' HALLAZGOS DOC RESSO'!Área_de_impresión</vt:lpstr>
      <vt:lpstr>COMENTARIOS!Área_de_impresión</vt:lpstr>
      <vt:lpstr>'EVALUACION RESSO EECC'!Área_de_impresión</vt:lpstr>
      <vt:lpstr>'GRÁFICO '!Área_de_impresión</vt:lpstr>
      <vt:lpstr>'HALLAZGO EN TERRENO'!Área_de_impresión</vt:lpstr>
      <vt:lpstr>'Implementacion SIGO'!Área_de_impresión</vt:lpstr>
      <vt:lpstr>'Implementacion y Operacion'!Área_de_impresión</vt:lpstr>
      <vt:lpstr>'PLAN DE ACCION RESSO '!Área_de_impresión</vt:lpstr>
      <vt:lpstr>'VERIFICACIÓN EN TERRENO'!Área_de_impresión</vt:lpstr>
    </vt:vector>
  </TitlesOfParts>
  <Manager/>
  <Company>SERVING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del Canto</dc:creator>
  <cp:keywords/>
  <dc:description/>
  <cp:lastModifiedBy>Carla  Briceno</cp:lastModifiedBy>
  <cp:revision/>
  <cp:lastPrinted>2026-04-01T14:09:27Z</cp:lastPrinted>
  <dcterms:created xsi:type="dcterms:W3CDTF">2011-08-18T15:04:28Z</dcterms:created>
  <dcterms:modified xsi:type="dcterms:W3CDTF">2026-04-01T14:12:47Z</dcterms:modified>
  <cp:category/>
  <cp:contentStatus/>
</cp:coreProperties>
</file>