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ropbox\9.- SOFIA\"/>
    </mc:Choice>
  </mc:AlternateContent>
  <xr:revisionPtr revIDLastSave="0" documentId="8_{79817B7A-83D3-428C-AEA9-A03D06A02A3F}" xr6:coauthVersionLast="47" xr6:coauthVersionMax="47" xr10:uidLastSave="{00000000-0000-0000-0000-000000000000}"/>
  <bookViews>
    <workbookView xWindow="-110" yWindow="-110" windowWidth="19420" windowHeight="10300" firstSheet="2" activeTab="5" xr2:uid="{A7DF246C-C6AC-4EB5-9B37-CDA3C96CEF2E}"/>
  </bookViews>
  <sheets>
    <sheet name="PAUTA PREXOR" sheetId="14" r:id="rId1"/>
    <sheet name="PAUTA UV" sheetId="15" r:id="rId2"/>
    <sheet name="PAUTA TMERT" sheetId="12" r:id="rId3"/>
    <sheet name="PROTOC PSICOSOCIAL" sheetId="13" r:id="rId4"/>
    <sheet name="PAUTA SILICE" sheetId="5" r:id="rId5"/>
    <sheet name="PAUTA HIPOBARIA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4" l="1"/>
  <c r="H57" i="14"/>
  <c r="H49" i="14"/>
  <c r="H50" i="14"/>
  <c r="H51" i="14"/>
  <c r="H52" i="14"/>
  <c r="H53" i="14"/>
  <c r="H54" i="14"/>
  <c r="H55" i="14"/>
  <c r="H48" i="14"/>
  <c r="H44" i="14"/>
  <c r="H45" i="14"/>
  <c r="H46" i="14"/>
  <c r="H43" i="14"/>
  <c r="H40" i="14"/>
  <c r="H41" i="14"/>
  <c r="H39" i="14"/>
  <c r="H33" i="14"/>
  <c r="H34" i="14"/>
  <c r="H35" i="14"/>
  <c r="H36" i="14"/>
  <c r="H37" i="14"/>
  <c r="H32" i="14"/>
  <c r="H28" i="14"/>
  <c r="H29" i="14"/>
  <c r="H30" i="14"/>
  <c r="H27" i="14"/>
  <c r="H23" i="14"/>
  <c r="H24" i="14"/>
  <c r="H25" i="14"/>
  <c r="H22" i="14"/>
  <c r="H18" i="14"/>
  <c r="H19" i="14"/>
  <c r="H20" i="14"/>
  <c r="H17" i="14"/>
  <c r="H10" i="14"/>
  <c r="H11" i="14"/>
  <c r="H12" i="14"/>
  <c r="H13" i="14"/>
  <c r="H14" i="14"/>
  <c r="H15" i="14"/>
  <c r="H9" i="14"/>
  <c r="H49" i="15"/>
  <c r="H48" i="15"/>
  <c r="H40" i="15"/>
  <c r="H41" i="15"/>
  <c r="H42" i="15"/>
  <c r="H43" i="15"/>
  <c r="H44" i="15"/>
  <c r="H45" i="15"/>
  <c r="H46" i="15"/>
  <c r="H39" i="15"/>
  <c r="H34" i="15"/>
  <c r="H35" i="15"/>
  <c r="H36" i="15"/>
  <c r="H37" i="15"/>
  <c r="H33" i="15"/>
  <c r="H29" i="15"/>
  <c r="H30" i="15"/>
  <c r="H31" i="15"/>
  <c r="H28" i="15"/>
  <c r="H26" i="15"/>
  <c r="H22" i="15"/>
  <c r="H23" i="15"/>
  <c r="H24" i="15"/>
  <c r="H21" i="15"/>
  <c r="H17" i="15"/>
  <c r="H18" i="15"/>
  <c r="H19" i="15"/>
  <c r="H16" i="15"/>
  <c r="H10" i="15"/>
  <c r="H11" i="15"/>
  <c r="H12" i="15"/>
  <c r="H13" i="15"/>
  <c r="H14" i="15"/>
  <c r="H9" i="15"/>
  <c r="I16" i="12"/>
  <c r="I17" i="12"/>
  <c r="I18" i="12"/>
  <c r="I19" i="12"/>
  <c r="I20" i="12"/>
  <c r="I21" i="12"/>
  <c r="I22" i="12"/>
  <c r="I23" i="12"/>
  <c r="I24" i="12"/>
  <c r="I25" i="12"/>
  <c r="I26" i="12"/>
  <c r="I27" i="12"/>
  <c r="I15" i="12"/>
  <c r="I9" i="12"/>
  <c r="I10" i="12"/>
  <c r="I11" i="12"/>
  <c r="I12" i="12"/>
  <c r="I13" i="12"/>
  <c r="I8" i="12"/>
  <c r="I28" i="12"/>
  <c r="H46" i="13"/>
  <c r="H45" i="13"/>
  <c r="H41" i="13"/>
  <c r="H42" i="13"/>
  <c r="H43" i="13"/>
  <c r="H40" i="13"/>
  <c r="H37" i="13"/>
  <c r="H38" i="13"/>
  <c r="H36" i="13"/>
  <c r="H30" i="13"/>
  <c r="H31" i="13"/>
  <c r="H32" i="13"/>
  <c r="H33" i="13"/>
  <c r="H34" i="13"/>
  <c r="H29" i="13"/>
  <c r="H24" i="13"/>
  <c r="H25" i="13"/>
  <c r="H26" i="13"/>
  <c r="H27" i="13"/>
  <c r="H23" i="13"/>
  <c r="H18" i="13"/>
  <c r="H19" i="13"/>
  <c r="H20" i="13"/>
  <c r="H21" i="13"/>
  <c r="H17" i="13"/>
  <c r="H10" i="13"/>
  <c r="H11" i="13"/>
  <c r="H12" i="13"/>
  <c r="H13" i="13"/>
  <c r="H14" i="13"/>
  <c r="H15" i="13"/>
  <c r="H9" i="13"/>
  <c r="H36" i="17"/>
  <c r="H37" i="17"/>
  <c r="H35" i="17"/>
  <c r="H30" i="17"/>
  <c r="H31" i="17"/>
  <c r="H32" i="17"/>
  <c r="H33" i="17"/>
  <c r="H29" i="17"/>
  <c r="H27" i="17"/>
  <c r="H26" i="17"/>
  <c r="H22" i="17"/>
  <c r="H23" i="17"/>
  <c r="H24" i="17"/>
  <c r="H21" i="17"/>
  <c r="H15" i="17"/>
  <c r="H16" i="17"/>
  <c r="H17" i="17"/>
  <c r="H18" i="17"/>
  <c r="H19" i="17"/>
  <c r="H14" i="17"/>
  <c r="H12" i="17"/>
  <c r="H10" i="17"/>
  <c r="H9" i="17"/>
  <c r="H59" i="5"/>
  <c r="H50" i="5"/>
  <c r="H51" i="5"/>
  <c r="H52" i="5"/>
  <c r="H53" i="5"/>
  <c r="H54" i="5"/>
  <c r="H55" i="5"/>
  <c r="H56" i="5"/>
  <c r="H57" i="5"/>
  <c r="H49" i="5"/>
  <c r="H41" i="5"/>
  <c r="H42" i="5"/>
  <c r="H43" i="5"/>
  <c r="H44" i="5"/>
  <c r="H45" i="5"/>
  <c r="H46" i="5"/>
  <c r="H47" i="5"/>
  <c r="H40" i="5"/>
  <c r="H36" i="5"/>
  <c r="H37" i="5"/>
  <c r="H38" i="5"/>
  <c r="H35" i="5"/>
  <c r="H29" i="5"/>
  <c r="H30" i="5"/>
  <c r="H31" i="5"/>
  <c r="H32" i="5"/>
  <c r="H33" i="5"/>
  <c r="H28" i="5"/>
  <c r="H26" i="5"/>
  <c r="H22" i="5"/>
  <c r="H23" i="5"/>
  <c r="H24" i="5"/>
  <c r="H21" i="5"/>
  <c r="H17" i="5"/>
  <c r="H18" i="5"/>
  <c r="H19" i="5"/>
  <c r="H16" i="5"/>
  <c r="H10" i="5"/>
  <c r="H11" i="5"/>
  <c r="H12" i="5"/>
  <c r="H13" i="5"/>
  <c r="H14" i="5"/>
  <c r="H9" i="5"/>
  <c r="H38" i="17" l="1"/>
  <c r="H60" i="5" l="1"/>
</calcChain>
</file>

<file path=xl/sharedStrings.xml><?xml version="1.0" encoding="utf-8"?>
<sst xmlns="http://schemas.openxmlformats.org/spreadsheetml/2006/main" count="585" uniqueCount="357">
  <si>
    <t xml:space="preserve">Programado </t>
  </si>
  <si>
    <t>N°</t>
  </si>
  <si>
    <t xml:space="preserve">NA </t>
  </si>
  <si>
    <t>Realizado</t>
  </si>
  <si>
    <t>Protocolo PREXOR</t>
  </si>
  <si>
    <t>X</t>
  </si>
  <si>
    <t>Los trabajadores se encuentran capacitados en uso , mantención, limpieza y almacenamiento de los elementos de proteccion personal a ruido (EPA)</t>
  </si>
  <si>
    <t xml:space="preserve">La empresa cuenta con programa de trabajo teórico y práctico de capacitación y entrenamiento del Protocolo de Exposición Ocupacional a Ruido -PREXOR </t>
  </si>
  <si>
    <t>La empresa cuenta con evaluaciones cuantitativas de exposición ocupacional a Ruido -PREXOR efectuadas por su OAL</t>
  </si>
  <si>
    <t>La empresa tiene identificado las fuentes de mayor emision sonoras tales como ; maquinarias y/o herramientas que estas se encuentren encerradas, encapsulas o con algun sistema de reduccion de ruido.</t>
  </si>
  <si>
    <t>KPI</t>
  </si>
  <si>
    <t xml:space="preserve">LISTADO DE VERIFICACIÓN </t>
  </si>
  <si>
    <t xml:space="preserve">REFERENCIA </t>
  </si>
  <si>
    <t xml:space="preserve">CRITERIO DE EVALUACIÓN </t>
  </si>
  <si>
    <t xml:space="preserve">EVIDENCIA - OBSERVACIONES </t>
  </si>
  <si>
    <t>La empresa cuenta su evaluación cualitativa vigente del agentes de riesgos higiénicos por su OAL</t>
  </si>
  <si>
    <t xml:space="preserve">Los integrantes del CPHS se encuentran capacitados sobre la Guia Técnica de Radiación UV </t>
  </si>
  <si>
    <t>El CPHS participa en reuniones y realiza inspecciones  de SSO referente a verificación de medidas de control  tecnicas de asociadas a RUV  ;   ingenieriles , administrativas y EPP.</t>
  </si>
  <si>
    <t>Los integrantes del CPHS se encuentran capacitados en uso , mantención, limpieza y almacenamiento de los elementos de proteccion personal asociados a la RUV .</t>
  </si>
  <si>
    <t>El personal que trabaja en la empresa se encuentra libre de signos de exposición a RUV tales como ; enrrojecimiento de piel, ampollas, quamaduras solares entre otras.</t>
  </si>
  <si>
    <r>
      <t>Los trabajadores se encuentran capacitados en uso , mantención, limpieza y almacenamiento de los elementos de proteccion contra la RUV</t>
    </r>
    <r>
      <rPr>
        <sz val="10"/>
        <color theme="1"/>
        <rFont val="Arial Narrow"/>
        <family val="2"/>
      </rPr>
      <t xml:space="preserve">- </t>
    </r>
    <r>
      <rPr>
        <sz val="9"/>
        <color theme="1"/>
        <rFont val="Arial Narrow"/>
        <family val="2"/>
      </rPr>
      <t>Especificamente Protector  Solar FPS</t>
    </r>
  </si>
  <si>
    <t>La Empresa realizó  la difusión del Manual sobre Normas Mínimas para el Desarrollo de Programas de Vigilancia de la Silicosis ,  a los trabajadores de expuestos a Silice.</t>
  </si>
  <si>
    <t xml:space="preserve">La empresa cuenta con un cronograma o cart gantt de la implementacion del Protocolos de Vigilancia de Expisición a Silice  Libre Cristalizada. </t>
  </si>
  <si>
    <t>El CPHS cunta con un programa de trabajo donde incorporen actividades relacionadas con la prevención de la Silicosis.</t>
  </si>
  <si>
    <t>Los trabajadores se encuentran capacitados en uso , mantención, limpieza y almacenamiento de los elementos de proteccion personal EPR.</t>
  </si>
  <si>
    <t xml:space="preserve">La empresa cuenta con programa de trabajo teórico y práctico de capacitación y entrenamiento del Protocolo de Vigilancia de Exposición a Silice. </t>
  </si>
  <si>
    <t>La empresa tiene identificado las fuentes de mayor emision Silice/Polvo tales como ; maquinarias y/o herramientas que estas se encuentren encerradas, encapsulas o con algun sistema de reduccion de silice/polvo.</t>
  </si>
  <si>
    <t xml:space="preserve">Protocolo Silice </t>
  </si>
  <si>
    <t xml:space="preserve">La empresa cuenta con un programa de mantimiento periodico a los sistemas de ventilacion para disminuir la exposición a agentes quimicos. </t>
  </si>
  <si>
    <t xml:space="preserve">La empresa cuenta con un programa de selección y  proteccion respiratoria , siguiendo los linemientos de la Guia Ténica EPR del Instituto Salud Pública ISP </t>
  </si>
  <si>
    <r>
      <t>La empresa ha profundizado sobre algunas propuesta y/o proyecto para disminuir la exposición a ruido de los trabajadores.</t>
    </r>
    <r>
      <rPr>
        <b/>
        <i/>
        <u/>
        <sz val="10"/>
        <color theme="1"/>
        <rFont val="Arial Narrow"/>
        <family val="2"/>
      </rPr>
      <t xml:space="preserve"> ( Control personal o ambiental de trabajo)</t>
    </r>
  </si>
  <si>
    <r>
      <t>La empresa cuenta con programa de</t>
    </r>
    <r>
      <rPr>
        <i/>
        <sz val="11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>tr</t>
    </r>
    <r>
      <rPr>
        <u/>
        <sz val="11"/>
        <color theme="1"/>
        <rFont val="Arial Narrow"/>
        <family val="2"/>
      </rPr>
      <t>abajo teórico y práctico</t>
    </r>
    <r>
      <rPr>
        <sz val="11"/>
        <color theme="1"/>
        <rFont val="Arial Narrow"/>
        <family val="2"/>
      </rPr>
      <t xml:space="preserve"> de capacitación y entrenamiento de trabajadores expuesto a  radiación UV </t>
    </r>
  </si>
  <si>
    <t xml:space="preserve">Requerimiento OAL </t>
  </si>
  <si>
    <t xml:space="preserve">Guia Técnica UV </t>
  </si>
  <si>
    <t>El CPHS cuenta con un programa de trabajo donde incorporen actividades relacionadas con la prevención de la Hipoacusia laboral.</t>
  </si>
  <si>
    <t xml:space="preserve">La empresa cuenta su evaluación cualitativa vigente del agentes de riesgos higiénicos por su OAL- Revisar vigencia </t>
  </si>
  <si>
    <t>1.- GESTIÓN ADMINISTRATIVA EN MATERIA DE SSO -HSO</t>
  </si>
  <si>
    <t>2.- GESTIÓN DE COMITES PARITARIOS EN MATERIA DE SSO -HSO</t>
  </si>
  <si>
    <t>3.- GESTIÓN DE CAPACITACIÓN Y ENTRENAMIENTO EN MATERIA DE SSO-HSO</t>
  </si>
  <si>
    <t xml:space="preserve">4.-GESTION DE EMPRESA Y OAL EN MATERIA  DE SSO-HSO </t>
  </si>
  <si>
    <t>5.-GESTION DE VIGILANCIA AMBIENTAL Y SALUD  EN MATERIA DE SSO-HSO</t>
  </si>
  <si>
    <t>6.- MEDIDAS PRESCRITAS DEL OAL A EMPRESA EN MATERIA DE SSO-HSO</t>
  </si>
  <si>
    <t>7.-GESTIÓN DE RUIDO A HERRAMIENTAS , MAQUINARIAS Y/O  EQUIPOS DE LA EMPRESA EN MATERIA DE SSO-HSO</t>
  </si>
  <si>
    <t>8.-SISTEMA SGSST Y PROGRAMA DE PROTECCION AUDITIVA DE LA EMPRESA EN MATERIA DE SSO-HSO</t>
  </si>
  <si>
    <t>La empresa cuenta con un cronograma o carta gantt de la implementacion de la Guia Técnica de Radiación Ultravioleta UV</t>
  </si>
  <si>
    <t>El CPHS cuenta con un programa de trabajo donde incorporen actividades relacionadas con la prevención de la cancer de piel , lesiones pre-cancesoras y determatosis profesional.</t>
  </si>
  <si>
    <t>Los vehiculos que se encuentran operando al aire libre cuenta con laminas en parabrisas y/o algun otro elementos que diminuya la  exposición a RUV.</t>
  </si>
  <si>
    <t>En desarrollo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</si>
  <si>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</si>
  <si>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</si>
  <si>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</si>
  <si>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</si>
  <si>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</si>
  <si>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</si>
  <si>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</si>
  <si>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</si>
  <si>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</si>
  <si>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</si>
  <si>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</si>
  <si>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</si>
  <si>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</si>
  <si>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</si>
  <si>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</si>
  <si>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</si>
  <si>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</si>
  <si>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</si>
  <si>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</si>
  <si>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</si>
  <si>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</si>
  <si>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</si>
  <si>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</si>
  <si>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</si>
  <si>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</si>
  <si>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</si>
  <si>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</si>
  <si>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</si>
  <si>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7.1</t>
  </si>
  <si>
    <t>7.2</t>
  </si>
  <si>
    <t>7.3</t>
  </si>
  <si>
    <t>7.4</t>
  </si>
  <si>
    <t>La empresa cuenta con un programa de selección y  proteccion auditiva , siguiendo los lineamientos de la Guia Técnica EPA del Instituto Salud Pública ISP</t>
  </si>
  <si>
    <t>8.1</t>
  </si>
  <si>
    <t>8.2</t>
  </si>
  <si>
    <t>8.3</t>
  </si>
  <si>
    <t>8.4</t>
  </si>
  <si>
    <t>8.5</t>
  </si>
  <si>
    <t>8.6</t>
  </si>
  <si>
    <t>8.7</t>
  </si>
  <si>
    <t>8.8</t>
  </si>
  <si>
    <t>9.1</t>
  </si>
  <si>
    <t>9.- GESTION DE MEJORA CONTINUA EN MATERIA DE SSO-HSO</t>
  </si>
  <si>
    <t>AUDITORIA PROTOCOLOS Y GUIAS TECNICAS MINISTERIALES - PREXOR</t>
  </si>
  <si>
    <t xml:space="preserve">       AUDITORIA PROTOCOLOS Y GUIAS TECNICAS MINISTERIALES - PLANESI</t>
  </si>
  <si>
    <t xml:space="preserve">4.- GESTION DE EMPRESA Y OAL EN MATERIA  DE SSO-HSO </t>
  </si>
  <si>
    <t>5.- GESTION DE VIGILANCIA AMBIENTAL Y SALUD  EN MATERIA DE SSO-HSO</t>
  </si>
  <si>
    <t>6.4</t>
  </si>
  <si>
    <t>7.5</t>
  </si>
  <si>
    <t>7.6</t>
  </si>
  <si>
    <t>7.7</t>
  </si>
  <si>
    <t>7.8</t>
  </si>
  <si>
    <t>8.- SISTEMA  SGSST Y PROGRAMA DE PROTECCION AUDITIVA DE LA EMPRESA EN MATERIA DE SSO-HSO</t>
  </si>
  <si>
    <t>8.9</t>
  </si>
  <si>
    <r>
      <t>La empresa ha profundizado sobre algunas propuesta y/o proyecto para disminuir la exposición a silice/ polvo de los trabajadores.         
(</t>
    </r>
    <r>
      <rPr>
        <b/>
        <i/>
        <u/>
        <sz val="10"/>
        <color theme="1"/>
        <rFont val="Arial Narrow"/>
        <family val="2"/>
      </rPr>
      <t>Control personal o ambiental de trabajo)</t>
    </r>
  </si>
  <si>
    <t xml:space="preserve">    AUDITORIA PROTOCOLOS Y GUIAS TECNICAS MINISTERIALES - RADIACION UV</t>
  </si>
  <si>
    <r>
      <rPr>
        <sz val="11"/>
        <color theme="1"/>
        <rFont val="Arial Narrow"/>
        <family val="2"/>
      </rPr>
      <t>La empresa realizó la</t>
    </r>
    <r>
      <rPr>
        <u/>
        <sz val="11"/>
        <color theme="1"/>
        <rFont val="Arial Narrow"/>
        <family val="2"/>
      </rPr>
      <t xml:space="preserve"> Difusion y Capacitación</t>
    </r>
    <r>
      <rPr>
        <sz val="11"/>
        <color theme="1"/>
        <rFont val="Arial Narrow"/>
        <family val="2"/>
      </rPr>
      <t xml:space="preserve"> de la Guia Técnica de Radiación Ultravioleta de Origen Solar UV a todos los trabajadores, inluyendo linea de mando y sindicatos.- Solicitar registros</t>
    </r>
  </si>
  <si>
    <t>6.- GESTION DE LA EMPRESA EN MATERIA DE SSO-HSO</t>
  </si>
  <si>
    <t>6.5</t>
  </si>
  <si>
    <t>7.- SISTEMA DE SGSST Y PROGRAMA DE PREVENCIÓN Y PROTECCION SOLAR UV</t>
  </si>
  <si>
    <t>8.- GESTION DE MEJORA CONTINUA EN MATERIA DE SSO-HSO</t>
  </si>
  <si>
    <t>Porcentaje de Cumplimiento</t>
  </si>
  <si>
    <t>ITEM A EVALUAR</t>
  </si>
  <si>
    <t>Normativa asociada al cumplimiento</t>
  </si>
  <si>
    <t xml:space="preserve">Verificador </t>
  </si>
  <si>
    <t>¿Se realiza la Re-evaluación del riesgo, si corresponde?</t>
  </si>
  <si>
    <t>✓ Documento que lo acredite.</t>
  </si>
  <si>
    <t>3.5</t>
  </si>
  <si>
    <t>¿La empresa cuenta con difusión a trabajadores, jefatura, CPHS y Sindicatos, según lo establecido en Programa de Vigilancia Ocupacional por exposición a factores de riesgo de Trastornos Músculo Esqueléticos (TME)?</t>
  </si>
  <si>
    <t>Programa de Vigilancia Ocupacional por exposición a factores de riesgo de Trastornos Músculo Esqueléticos (TME). MINSAL, R.E. N°327, publicado 05-03-2024.</t>
  </si>
  <si>
    <t>✓ Verificar registro de difusión y/o correos de difusión. En caso de contra con un registro físico, este debe contar con los participantes con su nombre, RUT y firma, contenido sobre el cual fueron difundidos/as, número de horas, fecha y lugar donde se realizó la actividad, nombre, profesión y cargo del/a relator/
✓ Contar con carta conductora enviada a Ministerio de Salud, Inspección del trabajo y Organismos competentes.</t>
  </si>
  <si>
    <t>¿La empresa cuenta con capacitación a trabajadores, jefatura, CPHS y Sindicatos, según lo establecido en Programa de Vigilancia Ocupacional por exposición a factores de riesgo de Trastornos Músculo Esqueléticos (TME)?</t>
  </si>
  <si>
    <t>¿La empresa cuenta con un programa de capacitación, según lo establecido en Programa de Vigilancia Ocupacional por exposición a factores de riesgo de Trastornos Músculo Esqueléticos (TME)?
Curso de 8 horas para trabajadores, CPHS y Sindicatos (50 % teórico y 50% practico).</t>
  </si>
  <si>
    <t>Programa de Vigilancia Ocupacional por exposición a factores de riesgo de Trastornos Músculo Esqueléticos (TMERT). MINSAL, R.E. N°327, publicado 05-03-2024.</t>
  </si>
  <si>
    <t>✓ Documento que lo acredite (evaluación)                           ✓Contenidos mínimos
✓ Registro fotográfico.</t>
  </si>
  <si>
    <t>¿Los implementadores de Programa de Vigilancia Ocupacional por exposición a factores de riesgo de Trastornos Músculo Esqueléticos (TME) cuentas con capacitación de 20 horas para aplicación de "Caracterización, Identificación inicial y avanzada Minsal"?</t>
  </si>
  <si>
    <t xml:space="preserve">¿Existe identificación de peligro en las áreas de la empresa,? </t>
  </si>
  <si>
    <t xml:space="preserve">✓ Verificar matriz de identificación de peligros. </t>
  </si>
  <si>
    <t>¿Existen evaluaciones de riesgo TMERT en las tareas y puestos que presentan peligro?</t>
  </si>
  <si>
    <t>✓  Verificar informe de Organismo Administrador de la Ley.</t>
  </si>
  <si>
    <t>¿Existe Plan de Acción correctivo para la eliminación y/o disminución de la magnitud del riesgo?</t>
  </si>
  <si>
    <t>✓  Registro del Plan de Acción. Pudiendo tener un informe Plan de acciones con medidas de control.</t>
  </si>
  <si>
    <t>Art. 110 a.2, D.S. N°594, MINSAL</t>
  </si>
  <si>
    <t>✓ Verificar evidencia de implementación de medidas de control para la mitigación o eliminación de los riesgos identificados y evaluados.</t>
  </si>
  <si>
    <t>¿Se ejecutan las medidas dentro los plazos, definidos por Programa de Vigilancia Ocupacional por exposición a factores de riesgo de Trastornos Músculo Esqueléticos (TMERT)?</t>
  </si>
  <si>
    <t>Art. 110 a.2, D.S. N°594, MINSAL. Resolución Exenta Nº503/2012, MINSAL</t>
  </si>
  <si>
    <t>✓ Verificar evidencia de implementación de medidas de control dentro de los plazos establecidos.</t>
  </si>
  <si>
    <t>¿Existe informe de seguimiento de implementación de medidas de control en empresas con tareas criticas (rojas)?</t>
  </si>
  <si>
    <t>✓ Evidencia de implementación de medidas de control implementadas (fotografías, informe de cumplimiento, entre otros).Registro Plan de Acción. Revisar si se cumplen los tres meses del primer informe</t>
  </si>
  <si>
    <t>✓ Certificado del curso "Protocolo de vigilancia ocupacional de factores de riesgo TMERT, para profesionales de prevención (20 horas), ejecutado por OAL Ley N°16.744</t>
  </si>
  <si>
    <t>1.- ETAPA 0 : INICIO IMPLEMENTACIÓN PROTOCOLO TMERT</t>
  </si>
  <si>
    <t>✓ Planificación que define los responsables en cada actividad y plazos de cumplimiento de cada etapa, y la tabla resumen de implementación del protocolo.</t>
  </si>
  <si>
    <t>¿Tiene una Carta Gantt para implementación de TMERT?</t>
  </si>
  <si>
    <t>¿Tiene un Programa de Gestión de Riesgos de TMERT?</t>
  </si>
  <si>
    <t>✓ Programa de Gestión de Riesgos para la implementación del Protocolo TMERT, revisado y aprobado por la gerencia de empresa.</t>
  </si>
  <si>
    <t>2.- ETAPA I: CARACTERIZACIÓN DEL PUESTO DE TRABAJO, IDENTIFICACIÓN INICIAL Y AVANZADA</t>
  </si>
  <si>
    <t>¿Se realiza ficha de caracterización en cada puesto de trabajo"?</t>
  </si>
  <si>
    <t xml:space="preserve">✓Verificar Caracterización de los Puesto de Trabajo (Anexo I) de empresa/centro de trabajo, con los siguientes contenidos: antecedentes para cada puesto de trabajo junto con el listado de tareas asociadas a dicho puesto y descripción de la infraestructura del entorno, herramientas, espacios, etc.
</t>
  </si>
  <si>
    <t>✓ Verificar tablas de identificación avanzada.       Cuando todas las preguntas están en Condición Aceptable, debe reiniciar el proceso en 3 años más; al contrario, al menos una pregunta es Condición No Aceptable, debe comunicar a Mutual para el ingreso del GES al PVS, al mismo tiempo corresponde realizar la Identificación Avanzada-Condición Crítica.</t>
  </si>
  <si>
    <t>¿Se aplica tabla de identificación inicial para factores de riesgo presentes en las tareas del puesto de trabajo "Tabla I: Identificación Inicial"? (críterio de entrada)</t>
  </si>
  <si>
    <t>¿Se aplica tablas de identificación avanzada para factores de riesgo presentes en el puesto de trabajo? (Trabajo repetitivo de miembros superiores, Postura de trabajo estática/forzada, Manipulación Manual de cargas, Manejo Manual de pacientes/personas, Vibración de cuerpo completo, Vibración segmento mano-brazo)</t>
  </si>
  <si>
    <t>¿Se ejecutan acciones para la mitigación o eliminación de los riesgos identificados y/o evaluados?</t>
  </si>
  <si>
    <t>Se notifica al OAL cuando la tarea y el puesto de trabajo presenten niveles de riesgo medio/alto/ No Aceptable en la evaluación inicial, para el ingreso del GES al PVS según tiempos establecidos en Protocolo.</t>
  </si>
  <si>
    <t>La empresa comunica a los trabajadores el nivel de riesgo de los puestos de trabajo.</t>
  </si>
  <si>
    <t>La empresa notifica al OAL el EGRESO del GES del Programa de Vigilancia de Salud, cuando en la evaluación y reevaluación inicial presenten un nivel de riesgo bajo/ aceptable.</t>
  </si>
  <si>
    <t>✓ Verificar Re-identificación con Tabla de Condición Aceptable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</si>
  <si>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</si>
  <si>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</si>
  <si>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</si>
  <si>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</si>
  <si>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</si>
  <si>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</si>
  <si>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</si>
  <si>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</si>
  <si>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</si>
  <si>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 xml:space="preserve">Guia Técnica UV                                       </t>
  </si>
  <si>
    <t xml:space="preserve">✓ Verificar registro de Capacitación a los trabajadores.                                                      
✓ El Programa de capacitación deberá constar por escrito y contemplar los siguientes contenidos y elementos mínimos, los que son referidos en el Protocolo de Vigilancia. </t>
  </si>
  <si>
    <t>✓ Verificar evidencia de Tabla I. Cuando todas las preguntas están en Condición Aceptable, debe reiniciar el proceso en 3 años más; al contrario, al menos una pregunta es Condición No Aceptable, debe comunicar a Mutual para el ingreso del GES al PVS, al mismo tiempo corresponde realizar la Identificación Avanzada-Condición Crítica.</t>
  </si>
  <si>
    <t xml:space="preserve">El experto profesional y/o encargado de la implementación del protocolo cuenta con el curso de su OAL -PREXOR . </t>
  </si>
  <si>
    <t xml:space="preserve">La Empresa en su reglamento Interno tiene incorporado el agente de riesgo Ruido </t>
  </si>
  <si>
    <r>
      <t xml:space="preserve">¿La Empresa cuenta con el registro de la difusión del </t>
    </r>
    <r>
      <rPr>
        <i/>
        <sz val="11"/>
        <color theme="1"/>
        <rFont val="Arial Narrow"/>
        <family val="2"/>
      </rPr>
      <t>Manual sobre Normas Mínimas para el Desarrollo de Programas de Vigilancia de la Pérdida Auditiva para los trabajadores expuestos a ruido en los lugares de trabajo?</t>
    </r>
  </si>
  <si>
    <t xml:space="preserve">La empresa realizó la difusion del Protocolos de Exposición Ocupacional a Ruido PREXOR por medio de cartas a las autoridades fiscalizadoras competentes. </t>
  </si>
  <si>
    <t xml:space="preserve">La empresa cuenta con un cronograma o cart gantt de la implementacion del Protocolo de Exposición ocupacional a Ruido PREXOR. </t>
  </si>
  <si>
    <t xml:space="preserve">Los integrantes del CPHS se encuentran capacitados en el Protocolo de Exposición Ocupacional a Ruido PREXOR </t>
  </si>
  <si>
    <t>El CPHS participa en reuniones y realiza inspecciones  de SSO referente a verificación de medidas de control  tecnicas de Ruido ;   ingenieriles , administrativas y EPP.</t>
  </si>
  <si>
    <t>Los integrantes del CPHS se encuentran capacitados en uso , mantención, limpieza y almacenamiento de los elementos de proteccion personal a ruido (EPA)</t>
  </si>
  <si>
    <r>
      <t xml:space="preserve">Los trabajadores, linea de mando y sindicatos se encuentran capacitados sobre el Protocolos de Exposición Ocupacional a Ruido-PREXOR </t>
    </r>
    <r>
      <rPr>
        <sz val="9"/>
        <color theme="1"/>
        <rFont val="Arial Narrow"/>
        <family val="2"/>
      </rPr>
      <t>.</t>
    </r>
  </si>
  <si>
    <t xml:space="preserve">La empresa informó a los trabajadores de la obligación de informar de los riesgos laborales  que entrañan sus labores y de los metodos correcto de trabajo respecto al agente de riesgo Ruido </t>
  </si>
  <si>
    <t xml:space="preserve">Se envío la Matriz de ruido a su  OAL para su revisión, aprobación y la respectiva coordinación de evaluaciones cuantitativas - </t>
  </si>
  <si>
    <t>Existen Área o GES con exposición ocupacional a Ruido que superen los criterios de accion del PREXOR . Se realizó la difusion a todos los  trabajadores evaluados que desarrollan actividades en el área de trabajo.</t>
  </si>
  <si>
    <t>La empresa informó a los trabajadores que de acuerdo a los resultados obtenidos en informe técnico ingresan a   Programa de Vigilancia Auditiva .</t>
  </si>
  <si>
    <t xml:space="preserve">Presentar Listado de trabajadores expuestos a Ruido Ocupacional </t>
  </si>
  <si>
    <t>La empresa cuenta con historial de algun trabajador con Hipoasucia laboral y/o alguna afeccion auditiva de Salud.</t>
  </si>
  <si>
    <r>
      <t>La empresa realiza examen de Post-ocupacional  cuando el trabajador deja de</t>
    </r>
    <r>
      <rPr>
        <sz val="10"/>
        <color theme="1"/>
        <rFont val="Arial Narrow"/>
        <family val="2"/>
      </rPr>
      <t xml:space="preserve"> estar en vigilancia auditiva o cuando sesa sus funciones y/o deja </t>
    </r>
    <r>
      <rPr>
        <sz val="11"/>
        <color theme="1"/>
        <rFont val="Arial Narrow"/>
        <family val="2"/>
      </rPr>
      <t xml:space="preserve">de pertenecer a la empresa. </t>
    </r>
  </si>
  <si>
    <t>La empresa cuenta con un programa o carta gantt de trabajo para la ejecucion de las medidas de control prescritas por su OAL.</t>
  </si>
  <si>
    <t xml:space="preserve">La empresa realiza el seguimiento y cierre de estas medidas prescritas informando a su OAL y empresa mandante. </t>
  </si>
  <si>
    <r>
      <t>La empresa ha efectuado con conjunto con su OAL re-evaluaciones de ruido a  fuentes sonoras o GES en los tiempos establecidos que indica el Protocolos PREXOR</t>
    </r>
    <r>
      <rPr>
        <b/>
        <i/>
        <u/>
        <sz val="10"/>
        <color theme="1"/>
        <rFont val="Arial Narrow"/>
        <family val="2"/>
      </rPr>
      <t xml:space="preserve">. </t>
    </r>
  </si>
  <si>
    <t xml:space="preserve">Las herramientas manuales o electricas mas ruidosas tales como ; aire comprimido, martillo neumatico, esmeriles, taladros o alguna otra cuenta con tecnologia para disminuir los niveles de ruido. </t>
  </si>
  <si>
    <t xml:space="preserve">La empresa cuenta con un programa de mantención de maquinaria pesada, herramientas manuales y electricas que ayuden a disminuir la exposición a ruido. </t>
  </si>
  <si>
    <r>
      <t>La empresa cuenta con señalizaciones de advertencia de ruido y medidas de control en el área de trabajo que sean visibles para los trabajadores.</t>
    </r>
    <r>
      <rPr>
        <b/>
        <i/>
        <u/>
        <sz val="10"/>
        <color theme="1"/>
        <rFont val="Arial Narrow"/>
        <family val="2"/>
      </rPr>
      <t xml:space="preserve"> </t>
    </r>
  </si>
  <si>
    <t xml:space="preserve">La empresa cuenta con un Plan , SGSST o tiene incorporado dentro de su SGSSO controlar las actividades y disminuir la exposición a ruido de los trabajadores.  </t>
  </si>
  <si>
    <t>La empresa realizó la difusion del Programa de selección y proteccion auditiva a los trabajadores -</t>
  </si>
  <si>
    <r>
      <t>La empresa realizó el calculo teórico de la Selección Auditiva EPA para sus trabajadores .</t>
    </r>
    <r>
      <rPr>
        <sz val="9"/>
        <color theme="1"/>
        <rFont val="Arial Narrow"/>
        <family val="2"/>
      </rPr>
      <t xml:space="preserve"> </t>
    </r>
  </si>
  <si>
    <r>
      <t xml:space="preserve">Los elementos de proteccion audutiva EPA que entrega la empresa cuenta con la resolucion del Instituto Salud Publica ISP - Certificacion Nacional </t>
    </r>
    <r>
      <rPr>
        <sz val="9"/>
        <color theme="1"/>
        <rFont val="Arial Narrow"/>
        <family val="2"/>
      </rPr>
      <t xml:space="preserve"> D.S N° 18</t>
    </r>
    <r>
      <rPr>
        <sz val="11"/>
        <color theme="1"/>
        <rFont val="Arial Narrow"/>
        <family val="2"/>
      </rPr>
      <t xml:space="preserve">. </t>
    </r>
  </si>
  <si>
    <r>
      <t>La empresa realiza la supervision a los trabajadores que utilizan  los elementos de proteccion personal( EPA ) en sus actividades de trabajo con presencia de ruido</t>
    </r>
    <r>
      <rPr>
        <b/>
        <i/>
        <u/>
        <sz val="10"/>
        <color theme="1"/>
        <rFont val="Arial Narrow"/>
        <family val="2"/>
      </rPr>
      <t xml:space="preserve">. </t>
    </r>
  </si>
  <si>
    <t>La empresa deja registro cuando se realiza el re-cambio del Elemento de proteccion auditiva EPA de los trabajadores.</t>
  </si>
  <si>
    <t>La empresa cuenta con un stock al menos del 10% de los elementos de proteccion audutiva EPA para sus trabajadores expuesto.</t>
  </si>
  <si>
    <t xml:space="preserve">El experto profesional y/o encargado de la implementación del Protocolo de Exposición a Silice curso de su OAL- </t>
  </si>
  <si>
    <t xml:space="preserve">La Empresa en su reglamento Interno tiene incorporado el agente de riesgos  Silice Libre Critalizada </t>
  </si>
  <si>
    <t xml:space="preserve">Los integrantes del CPHS se encuentran capacitados en el Protocolo de Vigilancia de Exposición a Silice. </t>
  </si>
  <si>
    <t>El CPHS participa en reuniones y realiza inspecciones  de SSO referente a verificación de medidas de control  tecnicas de Silice ;   ingenieriles , administrativas y EPP.</t>
  </si>
  <si>
    <t xml:space="preserve">Los integrantes del CPHS se encuentran capacitados en uso , mantención, limpieza y almacenamiento de los elementos de proteccion personal del EPR . </t>
  </si>
  <si>
    <t xml:space="preserve">Los trabajadores, linea de mando y sindicatos se encuentran capacitados sobre el Protocolos de Vigilacia de Exposición a Silice. 
</t>
  </si>
  <si>
    <t xml:space="preserve">La empresa informó a los trabajadores de la obligación de informar de los riesgos laborales que entrañan sus labores y de los metodos correcto de trabajo respecto al agente de riesgo Silice.
</t>
  </si>
  <si>
    <r>
      <t>La empresa cuenta con su evaluacion cualitativa aprobada por su OAL.</t>
    </r>
    <r>
      <rPr>
        <b/>
        <u/>
        <sz val="10"/>
        <color theme="1"/>
        <rFont val="Arial Narrow"/>
        <family val="2"/>
      </rPr>
      <t xml:space="preserve"> </t>
    </r>
  </si>
  <si>
    <t>La empresa cuenta con evaluciones cuantitativa vigente del agentes de riesgos higiénicos por su OAL.</t>
  </si>
  <si>
    <r>
      <t>Existen Área o GES con exposición ocupacional a Silice que superen los niveles de exposición igual o mayor al 50% . Se realizó la difusion a los trabajadores, contratistas o subcontratis que desarrollan actividades en el área de trabajo.</t>
    </r>
    <r>
      <rPr>
        <b/>
        <i/>
        <u/>
        <sz val="10"/>
        <color theme="1"/>
        <rFont val="Arial Narrow"/>
        <family val="2"/>
      </rPr>
      <t xml:space="preserve"> </t>
    </r>
  </si>
  <si>
    <t xml:space="preserve">La empresa informó a los trabajadores que superaron el 50% de exposición NR3 y deben ser  incorporarlos a un Programa de Vigilancia de Salud.
</t>
  </si>
  <si>
    <t>Listado de trabajadores expuestos a Silice u otro agente de riesgo quimico de riesgo</t>
  </si>
  <si>
    <t>La empresa cuenta con historial de algun trabajador con Silicosis y/o alguna afeccion  respiratoria de salud</t>
  </si>
  <si>
    <r>
      <t>La empresa realiza examen de Egreso cuando el trabajador deja de estar en vigilancia  o cuando sesa sus funciones y/o dejar de pertener a la empresa.</t>
    </r>
    <r>
      <rPr>
        <b/>
        <i/>
        <u/>
        <sz val="10"/>
        <color theme="1"/>
        <rFont val="Arial Narrow"/>
        <family val="2"/>
      </rPr>
      <t xml:space="preserve"> </t>
    </r>
  </si>
  <si>
    <t xml:space="preserve">La empresa cuenta con un programa o carta gantt de trabajo para la ejecucion de las medidas de control prescritas por su OAL. </t>
  </si>
  <si>
    <t>La empresa ha efectuado con conjunto con su OAL re-evaluaciones de Silice a  fuentes  o GES en los tiempos establecidos que indica el Protocolo de Vigilancia de Exposición a Silice</t>
  </si>
  <si>
    <t xml:space="preserve">La empresa realiza el seguimiento y cierre de estas medidas prescritas informando a su OAL y empresa mandante.  </t>
  </si>
  <si>
    <r>
      <t>La Empresa en su reglamento Interno tiene incorporado la prohibicion de  No comer, No Beber y fumar en lugares con presencia de Silice /Polvo en los lugares de trabajo.</t>
    </r>
    <r>
      <rPr>
        <b/>
        <i/>
        <u/>
        <sz val="10"/>
        <color theme="1"/>
        <rFont val="Arial Narrow"/>
        <family val="2"/>
      </rPr>
      <t xml:space="preserve"> </t>
    </r>
  </si>
  <si>
    <t>La empresa cuenta con algun sistema que ayude a la limpieza del puesto de trabajo al terminar cada turno para minimizar la exposición a silice/polvo</t>
  </si>
  <si>
    <t>La empresa realiza la limpieza de la ropa de trabajo para minimizar la exposición de los trabajadores expuestos a silice/polvo.</t>
  </si>
  <si>
    <r>
      <t>Los residuos generados por la limpieza y/o los filtros captados cuentan con un sistema de eliminacion controlada.</t>
    </r>
    <r>
      <rPr>
        <b/>
        <i/>
        <u/>
        <sz val="10"/>
        <color theme="1"/>
        <rFont val="Arial Narrow"/>
        <family val="2"/>
      </rPr>
      <t xml:space="preserve"> </t>
    </r>
  </si>
  <si>
    <r>
      <t>La empresa cuenta con humectacion  o aplican aditivos higroscópicos no peligrosos en las vías de tránsito de equipos motorizados para evitar el polvo en suspension.</t>
    </r>
    <r>
      <rPr>
        <b/>
        <i/>
        <u/>
        <sz val="10"/>
        <color theme="1"/>
        <rFont val="Arial Narrow"/>
        <family val="2"/>
      </rPr>
      <t xml:space="preserve"> </t>
    </r>
  </si>
  <si>
    <t>La empresa cuenta con sistemas de  filtros colectores de polvo autolimpiantes para captar y/o retener silice /polvo.</t>
  </si>
  <si>
    <t>La empresa cuenta con señalizaciones de advertencia de silice/polvo y medidas de control en el área de trabajo que sean visibles para los trabajadores.</t>
  </si>
  <si>
    <t xml:space="preserve">La empresa cuenta con un Plan , SGSST o tiene incorporado dentro de su SGSSO controlar las actividades y disminuir la exposicón a Silice Libre Cristalizada de los trabajadores.
</t>
  </si>
  <si>
    <t>La empresa realizó la difusion del Programa de selección y proteccion respiratoria  a los trabajadores.</t>
  </si>
  <si>
    <t xml:space="preserve">La empresa realizó el calculo teórico de la Selección Respiratoria para sus trabajadores . </t>
  </si>
  <si>
    <t xml:space="preserve">La empresa cuenta con pruebas de ajuste respiratorias cuantitativas de los trabajadores expuestos.
</t>
  </si>
  <si>
    <r>
      <t>Los elementos de proteccion respiratoria EPR  que entrega la empresa cuenta con la resolucion del Instituto Salud Publica ISP - Certificacion Nacional  D.S N° 18.</t>
    </r>
    <r>
      <rPr>
        <b/>
        <i/>
        <u/>
        <sz val="10"/>
        <color theme="1"/>
        <rFont val="Arial Narrow"/>
        <family val="2"/>
      </rPr>
      <t xml:space="preserve"> 
</t>
    </r>
  </si>
  <si>
    <t xml:space="preserve">La empresa realiza la supervision de que los trabajadores utilicen los elementos de proteccion personal EPR en sus actividades de trabajo con presencia de Silice. </t>
  </si>
  <si>
    <t xml:space="preserve">La empresa deja registro cuando se realiza el re-cambio del Elemento de proteccion Respiratoria EPR  de los trabajadores. </t>
  </si>
  <si>
    <t xml:space="preserve">La empresa cuenta con un stock al menos del 10% de los elementos de proteccion respiratoria para sus trabajadores. </t>
  </si>
  <si>
    <t>El experto profesional y/o encargado de la implementación de la Guia tecnica de radiación UV cuenta el curso de su OAL</t>
  </si>
  <si>
    <t>La empresa realizó la difusion de la Guia Técnica de Radiación Ultravioleta de Origen Solar UV a todos los trabajadores, inluyendo linea de mando y sindicatos.</t>
  </si>
  <si>
    <r>
      <t>La Empresa en su reglamento Interno tiene incorporado el agente de riesgos UV</t>
    </r>
    <r>
      <rPr>
        <b/>
        <i/>
        <u/>
        <sz val="10"/>
        <color theme="1"/>
        <rFont val="Arial Narrow"/>
        <family val="2"/>
      </rPr>
      <t xml:space="preserve"> </t>
    </r>
    <r>
      <rPr>
        <sz val="10"/>
        <color theme="1"/>
        <rFont val="Arial Narrow"/>
        <family val="2"/>
      </rPr>
      <t xml:space="preserve"> </t>
    </r>
  </si>
  <si>
    <t xml:space="preserve">La empresa realizó la difusion de la Guia Técnica de Radiación UV  por medio de cartas a las autoridades fiscalizadoras </t>
  </si>
  <si>
    <t>La empresa informó a los trabajadores de la obligación de informar de los riesgos laborales que entrañan sus labores y de los metodos correcto de trabajo respecto al agente de riesgo RUV</t>
  </si>
  <si>
    <t>La empresa tiene identificado a sus Grupos de exposición similiar el nivel riesgo de exposición.</t>
  </si>
  <si>
    <t>La empresa proporciona medidas de control especificas a los GES con exposición continua a RUV</t>
  </si>
  <si>
    <r>
      <t>La empresa cuenta con historial de algun trabajador con cancer de piel y/o dermatosis profesional o  alguna afeccion de salud a la piel.-</t>
    </r>
    <r>
      <rPr>
        <b/>
        <i/>
        <u/>
        <sz val="10"/>
        <color theme="1"/>
        <rFont val="Arial Narrow"/>
        <family val="2"/>
      </rPr>
      <t xml:space="preserve"> </t>
    </r>
  </si>
  <si>
    <t>El OAL a establecido medidas prescritas para los trabajadores expuestos a radiación UV</t>
  </si>
  <si>
    <t xml:space="preserve">Los trabajadores que realizan sus actividades al aire libre a exposición RUV cuentas con medidas de control tales como ; techumbres, galpones , toldos u otro elemento que genere sombra. </t>
  </si>
  <si>
    <t xml:space="preserve">La empresa dentro de sus procedimientos o politicas a establecidos alguna medida de control que considere disminuir la exposición a RUV - </t>
  </si>
  <si>
    <t xml:space="preserve">La empresa publica diariamente el Indice UV y medidas de control  acorde a lo establecido en la Guia Técnica de Radiación UV </t>
  </si>
  <si>
    <t>La empresa cuenta con un  SGSST o tiene incorporado dentro de su SGSSO controlar las actividades y disminuir la exposicón a radiación UV  de los trabajadores.</t>
  </si>
  <si>
    <t>La empresa cuenta con un Programa de Prevencion y Proteccion Solar contra la radiación UV -</t>
  </si>
  <si>
    <t>La empresa realizó la difusion del Programa de prevencion y proteccion solar UV  a los trabajadores -</t>
  </si>
  <si>
    <t>La empresa tiene identidicado el Listado de trabajadores o GES  expuestos a RUV acorde al nivel de exposición</t>
  </si>
  <si>
    <r>
      <t>Los elementos de proteccion solar que entrega la empresa cuenta con la resolucion del Instituto Salud Publica ISP - Certificacion Nacional  D.S N° 18.</t>
    </r>
    <r>
      <rPr>
        <b/>
        <i/>
        <u/>
        <sz val="10"/>
        <color theme="1"/>
        <rFont val="Arial Narrow"/>
        <family val="2"/>
      </rPr>
      <t xml:space="preserve"> </t>
    </r>
  </si>
  <si>
    <t>La empresa realiza la supervision de que los trabajadores utilicen los elementos de proteccion personal de RUV en sus actividades de trabajo especialmente la aplicación del Protector Solar FPS</t>
  </si>
  <si>
    <t>La empresa deja registro cuando se realiza el re-cambio del Elemento de proteccion Solar  de los trabajadores</t>
  </si>
  <si>
    <t xml:space="preserve">La empresa cuenta con un stock al menos del 10% de los elementos de proteccion personal a RUV para sus trabajadores. </t>
  </si>
  <si>
    <r>
      <t xml:space="preserve">La empresa ha profundizado sobre algunas propuesta y/o proyecto para disminuir la exposición de los trabajadores expuestos RUV </t>
    </r>
    <r>
      <rPr>
        <b/>
        <i/>
        <sz val="11"/>
        <color theme="1"/>
        <rFont val="Arial Narrow"/>
        <family val="2"/>
      </rPr>
      <t>(Control personal o ambiental de trabajo)</t>
    </r>
  </si>
  <si>
    <t>3.-  APLICACIÓN DEL CUESTIONARIO CEAL-SM/SUSESO</t>
  </si>
  <si>
    <t>¿El comité de aplicación recibe capacitación de difusion por parte del OAL?</t>
  </si>
  <si>
    <t>4.5</t>
  </si>
  <si>
    <t>4.6</t>
  </si>
  <si>
    <t xml:space="preserve">5.- INICIO DE EJECUCION DE MEDIDAS </t>
  </si>
  <si>
    <t xml:space="preserve">7.- INICIO DEL PROCESO DE REEVALUACION </t>
  </si>
  <si>
    <t>¿El comité de aplicación cuenta con representantes del comité paritario pertenecientes a la empresa?</t>
  </si>
  <si>
    <t>6.- MONITOREO Y VERIFICACION DE MEDIDAS</t>
  </si>
  <si>
    <t>¿El comité de aplicación cuenta con un programa o carta gantt de trabajo para la ejecución de las medidas de control prescritas por su OAL?</t>
  </si>
  <si>
    <t>1.- ETAPA 1: INICIO IMPLEMENTACIÓN PROTOCOLO PSICOSOCIAL</t>
  </si>
  <si>
    <r>
      <rPr>
        <b/>
        <sz val="11"/>
        <color rgb="FFFFC000"/>
        <rFont val="Arial Narrow"/>
        <family val="2"/>
      </rPr>
      <t>Riesgo Medio:</t>
    </r>
    <r>
      <rPr>
        <sz val="11"/>
        <color theme="1"/>
        <rFont val="Arial Narrow"/>
        <family val="2"/>
      </rPr>
      <t xml:space="preserve"> La empresa prescribe acciones específicas para los grupos de exposición similar.</t>
    </r>
  </si>
  <si>
    <r>
      <rPr>
        <b/>
        <sz val="11"/>
        <color theme="9"/>
        <rFont val="Arial Narrow"/>
        <family val="2"/>
      </rPr>
      <t xml:space="preserve">Riesgo Bajo: </t>
    </r>
    <r>
      <rPr>
        <sz val="11"/>
        <color theme="1"/>
        <rFont val="Arial Narrow"/>
        <family val="2"/>
      </rPr>
      <t>La empresa prescribe medidas específicas para las dimensiones en riesgo medio y alto.</t>
    </r>
  </si>
  <si>
    <r>
      <t xml:space="preserve">Riesgo Alto: </t>
    </r>
    <r>
      <rPr>
        <sz val="11"/>
        <rFont val="Arial Narrow"/>
        <family val="2"/>
      </rPr>
      <t>La empresa el riesgo de acuerdo a las acciones propias del programa de 
vigilancia ambiental establecidas en este protocolo</t>
    </r>
    <r>
      <rPr>
        <b/>
        <sz val="11"/>
        <color rgb="FFFF0000"/>
        <rFont val="Arial Narrow"/>
        <family val="2"/>
      </rPr>
      <t>.</t>
    </r>
  </si>
  <si>
    <t>4.- PRESENTACIÓN DE RESULTADOS, DISCUSIÓN, ANÁLISIS</t>
  </si>
  <si>
    <t>¿La empresa conforma un comité de aplicación con sus respectivos integrantes para dar inicio a la implementación del protocolo psicosocial CEAL-SM/SUSESO?</t>
  </si>
  <si>
    <r>
      <t xml:space="preserve">¿El comité de aplicación cuenta con representantes por parte del empleador?                          </t>
    </r>
    <r>
      <rPr>
        <b/>
        <i/>
        <sz val="11"/>
        <color theme="1"/>
        <rFont val="Arial Narrow"/>
        <family val="2"/>
      </rPr>
      <t xml:space="preserve">Ejemplo: Encargado de prevención de riesgos u otro que el empleador determine y Área de Recursos Humanos </t>
    </r>
  </si>
  <si>
    <r>
      <t xml:space="preserve">¿El comité de aplicación se conforma de manera igualitaria?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Igualdad de cantidad en representantes del empleador y representantes de los trabajadores</t>
    </r>
  </si>
  <si>
    <r>
      <t xml:space="preserve">¿El comité de aplicación resguarda las condiciones de anonimato y confidencialidad que exige la metodología?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Se definen las unidades de análisis por ocupación, zona geográfica y unidad funcional</t>
    </r>
  </si>
  <si>
    <t xml:space="preserve">2.- ETAPA 2: DIFUSIÓN Y SENSIBILIZACIÓN </t>
  </si>
  <si>
    <r>
      <t xml:space="preserve">¿Se realiza sensibilización a todos los trabajadores y trabajadoras?               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Ejemplo: definir la forma y contenido de campaña de sensibilización, llevar un listado de asistencia, reuniones de difusion, folletos, etc.</t>
    </r>
  </si>
  <si>
    <r>
      <t xml:space="preserve">¿Se elabora un cronograma de trabajo para implementación de actividades iniciales?            </t>
    </r>
    <r>
      <rPr>
        <b/>
        <i/>
        <sz val="11"/>
        <color theme="1"/>
        <rFont val="Arial Narrow"/>
        <family val="2"/>
      </rPr>
      <t>Nota: primera y segunda etapa</t>
    </r>
  </si>
  <si>
    <r>
      <t xml:space="preserve">¿Se cumplen los plazos establecidos para la implementación del protocolo psicosocial en la primera y segunda etapa?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2 meses</t>
    </r>
    <r>
      <rPr>
        <sz val="11"/>
        <color theme="1"/>
        <rFont val="Arial Narrow"/>
        <family val="2"/>
      </rPr>
      <t xml:space="preserve"> </t>
    </r>
  </si>
  <si>
    <r>
      <t xml:space="preserve">¿El comité de aplicación solicita la apertura de plataforma SUSESO para tabular los cuestionarios constestados en base a las exigencias del OAL?                                              </t>
    </r>
    <r>
      <rPr>
        <b/>
        <i/>
        <sz val="11"/>
        <color theme="1"/>
        <rFont val="Arial Narrow"/>
        <family val="2"/>
      </rPr>
      <t>Nota: enviar excel de apertura via correo al OAL</t>
    </r>
    <r>
      <rPr>
        <sz val="11"/>
        <color theme="1"/>
        <rFont val="Arial Narrow"/>
        <family val="2"/>
      </rPr>
      <t xml:space="preserve">
</t>
    </r>
  </si>
  <si>
    <r>
      <t xml:space="preserve">¿Se elabora un cronograma de aplicación para las unidades de análisis identificadas?   </t>
    </r>
    <r>
      <rPr>
        <b/>
        <i/>
        <sz val="11"/>
        <color theme="1"/>
        <rFont val="Arial Narrow"/>
        <family val="2"/>
      </rPr>
      <t>Nota: Cronograma en base a la fechas de aplicación</t>
    </r>
  </si>
  <si>
    <r>
      <t xml:space="preserve">
¿Cumple con los plazos establecidos para la aplicación del cuestionario CEAL-SM/SUSESO?        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Plazo establecido es de 30 días</t>
    </r>
  </si>
  <si>
    <r>
      <t xml:space="preserve">¿El comité de aplicación analiza y discute los resultados obtenidos en el cuestionario CEAL-SM/SUSESO con su asesor OAL?                                                                                           </t>
    </r>
    <r>
      <rPr>
        <b/>
        <sz val="11"/>
        <color theme="1"/>
        <rFont val="Arial Narrow"/>
        <family val="2"/>
      </rPr>
      <t xml:space="preserve">Nota: Mesas de trabajo, evidencias con registros y actas de reuniones         </t>
    </r>
    <r>
      <rPr>
        <sz val="11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</si>
  <si>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¿El comité de aplicación asegura la participación de los trabajadores en las propuestas de medidas de intervención y mitigación?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Focus Group, reuniones, buzon de sugerencias, entre otros.</t>
    </r>
    <r>
      <rPr>
        <sz val="11"/>
        <color theme="1"/>
        <rFont val="Arial Narrow"/>
        <family val="2"/>
      </rPr>
      <t xml:space="preserve">                                           </t>
    </r>
  </si>
  <si>
    <r>
      <t xml:space="preserve">¿El comité de aplicación y su OAL prescriben medidas de intervención, según el estado de riesgo calificado?                                                                                                               </t>
    </r>
    <r>
      <rPr>
        <b/>
        <sz val="11"/>
        <color theme="1"/>
        <rFont val="Arial Narrow"/>
        <family val="2"/>
      </rPr>
      <t>Nota: Riesgo bajo, riesgo medio y riesgo alto</t>
    </r>
  </si>
  <si>
    <r>
      <t xml:space="preserve">¿Se informa a los trabajadores sobre las medidas prescriptivas de intervención psiscosocial tomadas por el comité de aplicación?                                                                                 </t>
    </r>
    <r>
      <rPr>
        <b/>
        <i/>
        <sz val="11"/>
        <color theme="1"/>
        <rFont val="Arial Narrow"/>
        <family val="2"/>
      </rPr>
      <t xml:space="preserve">Nota: evidencias con registros y actas de reuniones   </t>
    </r>
  </si>
  <si>
    <r>
      <t xml:space="preserve">¿La empresa da inicio a la primera medida establecida en su matriz de intervención psicosocial?            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posterior a los 3 meses entregada su matriz de intervención</t>
    </r>
    <r>
      <rPr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>psicosocial</t>
    </r>
  </si>
  <si>
    <r>
      <t xml:space="preserve">¿El comité de aplicación verifica el cumplimiento de las medidas de intervención establecida en su carta gantt?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se debe evidenciar dejando los registros correspondientes</t>
    </r>
  </si>
  <si>
    <t>¿El implementador cuenta con el curso para la implementación del protocolo psicosocial establecido por el OAL?</t>
  </si>
  <si>
    <r>
      <t xml:space="preserve">¿El comité de aplicación cuenta con representantes de los sindicatos pertenecientes a la empresa?                      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Nota: de no existir sindicato, el representante deberá ser elegido en votación por los trabajadores</t>
    </r>
    <r>
      <rPr>
        <sz val="11"/>
        <color theme="1"/>
        <rFont val="Arial Narrow"/>
        <family val="2"/>
      </rPr>
      <t xml:space="preserve"> </t>
    </r>
    <r>
      <rPr>
        <b/>
        <i/>
        <sz val="11"/>
        <color theme="1"/>
        <rFont val="Arial Narrow"/>
        <family val="2"/>
      </rPr>
      <t>y las trabajadoras</t>
    </r>
  </si>
  <si>
    <r>
      <t xml:space="preserve">¿La empresa cuenta con un archivador para almacenamiento de informacion interna?                                                                </t>
    </r>
    <r>
      <rPr>
        <b/>
        <i/>
        <sz val="11"/>
        <color theme="1"/>
        <rFont val="Arial Narrow"/>
        <family val="2"/>
      </rPr>
      <t xml:space="preserve">Ejemplo: </t>
    </r>
    <r>
      <rPr>
        <b/>
        <i/>
        <u/>
        <sz val="11"/>
        <color theme="1"/>
        <rFont val="Arial Narrow"/>
        <family val="2"/>
      </rPr>
      <t>Bitácora</t>
    </r>
    <r>
      <rPr>
        <b/>
        <i/>
        <sz val="11"/>
        <color theme="1"/>
        <rFont val="Arial Narrow"/>
        <family val="2"/>
      </rPr>
      <t xml:space="preserve"> fisica y online para llevar un control interno del proceso,que lleve actas y respaldo de reuniones.</t>
    </r>
  </si>
  <si>
    <r>
      <t xml:space="preserve">¿El comité de aplicación determina el tiempo de aplicación del cuestionario CEAL-SM/SUSESO en la empresa?
</t>
    </r>
    <r>
      <rPr>
        <b/>
        <i/>
        <sz val="11"/>
        <color theme="1"/>
        <rFont val="Arial Narrow"/>
        <family val="2"/>
      </rPr>
      <t>Ejemplo: Comunicado enviado por la empresa con fecha inicial de la aplicación del cuestionario</t>
    </r>
    <r>
      <rPr>
        <b/>
        <sz val="11"/>
        <color theme="1"/>
        <rFont val="Arial Narrow"/>
        <family val="2"/>
      </rPr>
      <t xml:space="preserve"> y fecha de término </t>
    </r>
  </si>
  <si>
    <r>
      <t xml:space="preserve">¿El comité de aplicación define la modalidad de aplicación (fisica u online) del cuestionario CEAL-SM/SUSESO?                                                                                                                     </t>
    </r>
    <r>
      <rPr>
        <i/>
        <sz val="11"/>
        <color theme="1"/>
        <rFont val="Arial Narrow"/>
        <family val="2"/>
      </rPr>
      <t xml:space="preserve">Nota: formato papel  o formato electrónico </t>
    </r>
  </si>
  <si>
    <r>
      <t xml:space="preserve">¿El comité de aplicación notifica los resultados obtenidos del cuestionario CEAL-SM/SUSESO a su OAL?                  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 xml:space="preserve">Ejemplo: Se envía informe psicosocial a través de un correo informativo, no superar los 30 dias. </t>
    </r>
  </si>
  <si>
    <r>
      <t xml:space="preserve">¿El comité de aplicación informa sobre los resultados obtenidos a todos los trabajadores y trabajadoras?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Ejemplo: Correo informativo, reuniones, presentaciones, etc.</t>
    </r>
    <r>
      <rPr>
        <b/>
        <sz val="11"/>
        <color theme="1"/>
        <rFont val="Arial Narrow"/>
        <family val="2"/>
      </rPr>
      <t xml:space="preserve">     </t>
    </r>
    <r>
      <rPr>
        <sz val="11"/>
        <color theme="1"/>
        <rFont val="Arial Narrow"/>
        <family val="2"/>
      </rPr>
      <t xml:space="preserve">
</t>
    </r>
  </si>
  <si>
    <r>
      <t xml:space="preserve">¿La empresa define el orden y prioridades de atención de las medidas de intervención en aquellas dimensiones con mayor riesgo? Corto, Mediano y  Largo plazo                                                                                                                     </t>
    </r>
    <r>
      <rPr>
        <b/>
        <i/>
        <sz val="11"/>
        <color theme="1"/>
        <rFont val="Arial Narrow"/>
        <family val="2"/>
      </rPr>
      <t>Ejemplo: 6 meses, 9 meses y 12 meses</t>
    </r>
  </si>
  <si>
    <r>
      <t xml:space="preserve"> La empresa debe reevaluar cada dos años con la encuesta CEAL-SM SUSESO, independiente del  nivel de riesgo, considerando: planificación, sensibilización, aplicación cuestionario, análisis de resultados y seguimiento.                                                                  </t>
    </r>
    <r>
      <rPr>
        <b/>
        <i/>
        <sz val="11"/>
        <color theme="1"/>
        <rFont val="Arial Narrow"/>
        <family val="2"/>
      </rPr>
      <t>Nota: Adjuntar documentación del proceso anterior (bitácora)</t>
    </r>
  </si>
  <si>
    <t xml:space="preserve">1.- RESPECTO DE LA CAPACITACIÓN </t>
  </si>
  <si>
    <t xml:space="preserve">Informa a Trabajadores sobre los  Riesgos  de la exposición y las  Medidas de control. </t>
  </si>
  <si>
    <r>
      <t xml:space="preserve">Imparte anualmente instrucción Teorico Practica  de 3 horas de duración  sobre el riesgo y las consecuencias para la salud, </t>
    </r>
    <r>
      <rPr>
        <b/>
        <sz val="11"/>
        <rFont val="Arial"/>
        <family val="2"/>
      </rPr>
      <t xml:space="preserve"> teniendo en cuenta las caracteristicas mencionadas en el punto 6 de la Guia Tecnica. </t>
    </r>
  </si>
  <si>
    <t xml:space="preserve">2.- RESPECTO DEL PROGRAMA PREVENTIVO </t>
  </si>
  <si>
    <t xml:space="preserve">Tiene programa Preventivo tendiente a preservar la salud de los trabajadores expuestos a H.I.C, realizado por un Medico o Enfermera con conocimiento en Salud Ocupacional y que considere las caracteristicas mencionadas en el punto 7 de la Guia Tecnica. </t>
  </si>
  <si>
    <t>3.- RESPECTO DE LAS EVALUACIONES DE SALUD</t>
  </si>
  <si>
    <t>Cuenta con autorización sanitaria para realizar trabajos sobre los 5.500 msnm</t>
  </si>
  <si>
    <t xml:space="preserve">Los trabajadores que se van a exponer a H.I.C son evaluados previo a su contratación  (Evaluación Pre Ocupacional)  para  pesquisar contraindicaciones de salud para la exposición.   </t>
  </si>
  <si>
    <t xml:space="preserve">Los trabajadores contratados, con antecedentes de exposición laboral y que se expondran  a H.I.C  tienen evaluacion ocupacional vigente según su edad.  </t>
  </si>
  <si>
    <t xml:space="preserve">Los Trabajadores expuestos a H.I.C  se encuentran en Programa de vigilancia de la Salud. </t>
  </si>
  <si>
    <t xml:space="preserve">Los trabajadores se realizan el chequeo anual preventivo en su sistema previsional de acuerdo al estandar definido por el Ministerio de Salud en la Evaluación Medica Preventiva (EMPA) </t>
  </si>
  <si>
    <r>
      <t xml:space="preserve">Los trabajadores son evaluados por el Programa de Vigilancia de la Salud </t>
    </r>
    <r>
      <rPr>
        <b/>
        <sz val="11"/>
        <rFont val="Arial"/>
        <family val="2"/>
      </rPr>
      <t xml:space="preserve">al termino de la relación contractual </t>
    </r>
    <r>
      <rPr>
        <sz val="11"/>
        <rFont val="Arial"/>
        <family val="2"/>
      </rPr>
      <t xml:space="preserve"> o por cambio de puesto de trabajo bajo los 3000mts en la misma empresa (Examen Pre-egreso) </t>
    </r>
  </si>
  <si>
    <t xml:space="preserve">4.- RESPECTO DE LAS MEDIDAS DE PREVENCIÓN Y MITIGACIÓN </t>
  </si>
  <si>
    <t>3.6</t>
  </si>
  <si>
    <t>Se aplica Oxigenación individual o ambiental en los dormitorios de  aquellos trabajadores que presenten apnea central debido a H.I.C.</t>
  </si>
  <si>
    <t xml:space="preserve">La oxigenación ambiental de los dormitorios permite mantener una presión parcial de Oxigeno equivalente a la existente bajo los 3000msnm y sobre los 2700msnm, con monitoreo permanente de presión parcial de CO2, O2 y vapor de agua. </t>
  </si>
  <si>
    <t>La Oxigenación Individual se administra por naricera a un flujo de 1 a 2 Lts/min, manteniendo una saturación igual o mayor a 85%</t>
  </si>
  <si>
    <t xml:space="preserve">La dependencia donde pernoctan los trabajadores cumple con los siguientes estandares de habitabilidad:
Humidificación entre 40 y 70%
Temperatura de bienestar entre 17 y 22 Grados. 
Ruido menor a 30 Db
Oscuridad menor a 5Lux </t>
  </si>
  <si>
    <t xml:space="preserve">5.- RESPECTO DEL PROTOCOLO DE SEGUIMIENTO  DE ACLIMATACIÓN A LA LLEGADA A LA FAENA Y A LAS 24 Y 48 HORAS. </t>
  </si>
  <si>
    <t xml:space="preserve">Aplica el Protocolo de seguimiento de la aclimatación según Guia Tecnica a los trababjadores que llegan a la faena o lugar de trabajo por primera vez. </t>
  </si>
  <si>
    <t xml:space="preserve">Aplica el Protocolo de seguimiento de la aclimatación según Guia Tecnica a los trabajadores que han pasado mas de 6 meses sin haber subido a gran altitud. </t>
  </si>
  <si>
    <t>6.- RESPECTO DE LOS POLICLINICOS</t>
  </si>
  <si>
    <t xml:space="preserve">Cuenta con la autorización Sanitaria </t>
  </si>
  <si>
    <t xml:space="preserve">Presta atención Diurna y Nocturna </t>
  </si>
  <si>
    <t>Cuenta con el personal de salud según criterios establecidos en el Decreto Supremo 594/1999.</t>
  </si>
  <si>
    <t xml:space="preserve">Cuenta con el arsenal terapeutico  que menciona el punto 14.1 de la Guia Tecnica,  que permita hacer el seguimiento de la aclimatación  a la gran altitud y la atención del mal de montaña agudo, grave y de emergencias medicas traumaticas y cardiorrespiratorias </t>
  </si>
  <si>
    <t xml:space="preserve">Cuenta con ambulancia Basica disponible las 24 horas del día y todos los dias que se desarrollen labores o hayan personas en el lugar.  (Aquellos lugares de trabajo a mas de 50kmts  de un hospital o Policlinico y que tengan puntaje total igual o mayor a 8, de acuerdo a lo establecido en el DS No 28. </t>
  </si>
  <si>
    <t xml:space="preserve">7. RESPECTO DE LA BRIGADA DE EMERGENCIA. </t>
  </si>
  <si>
    <t xml:space="preserve">La faena cuenta con una Brigada de emergencia </t>
  </si>
  <si>
    <t xml:space="preserve">Los integrantes de la Brigada de emergencia estan capacitados en Soporte Vital Basico (BLS) y Auxilio en alta montaña. </t>
  </si>
  <si>
    <t xml:space="preserve">Los Integrantes de la Brigrada de Emergencia son instruidos anualmente en un curso de al menos dos horas que considera: atención de accidentados, primeros auxilios, manejo basico de politraumatizados y extricación, precauciuones estandares de la atención en salud y conceptos basicos de espacios confinados, fugas quimicas, incendios y derrames. </t>
  </si>
  <si>
    <t>PROTOCOLO HIC</t>
  </si>
  <si>
    <t>Protocolo Silice
Ley N° 16.744</t>
  </si>
  <si>
    <t>Protocolo Silice
 D.S N° 44</t>
  </si>
  <si>
    <t xml:space="preserve">Protocolo Silice
D.S N° 594 
D.S N° 40 </t>
  </si>
  <si>
    <t xml:space="preserve">Protocolo Silice
Requerimiento OAL </t>
  </si>
  <si>
    <t xml:space="preserve">Protocolo Silice                            
Requerimiento OAL                                 
Ley N° 16.744 </t>
  </si>
  <si>
    <t xml:space="preserve">Protocolo Silice                                
Requerimiento OAL                                  
D.S N° 40 </t>
  </si>
  <si>
    <t xml:space="preserve">Protocolo Silice                                     
Guia Técnica ISP                                            
D.S N° 594 </t>
  </si>
  <si>
    <t xml:space="preserve"> Protocolo de vigilancia en riesgos psicosociales          
CEAL-SM/SUSESO</t>
  </si>
  <si>
    <t>Protocolo de vigilancia en riesgos psicosociales           
CEAL-SM/SUSESO</t>
  </si>
  <si>
    <t>Prescripcion de medidas                                  
Ley N° 16.744                                  
OAL                                       
Protocolo de vigilancia en riesgos psicosociales                  
CEAL-SM/SUSESO</t>
  </si>
  <si>
    <t>Protocolo de vigilancia en riesgos psicosociales                  
CEAL-SM/SUSESO</t>
  </si>
  <si>
    <t>Guia Técnica UV                                         
D.S N° 44</t>
  </si>
  <si>
    <t xml:space="preserve">Guia Técnica UV                                      
D.S N° 594                                                           </t>
  </si>
  <si>
    <t xml:space="preserve">Guia Técnica UV                                        
Requerimiento OAL  </t>
  </si>
  <si>
    <t xml:space="preserve">Guia Técnica UV                                  
D.S N° 594                                     
Requerimientos OAL </t>
  </si>
  <si>
    <t>Protocolo PREXOR                                              
Ley N° 16.744</t>
  </si>
  <si>
    <t>Protocolo PREXOR                                                  
D.S N° 44</t>
  </si>
  <si>
    <t xml:space="preserve">Protocolo PREXOR                                     
D.S N° 594                                                          </t>
  </si>
  <si>
    <t xml:space="preserve">Protocolo PREXOR       
Requerimientos OAL </t>
  </si>
  <si>
    <t>Protocolo PREXOR                            
Ley N° 16.744</t>
  </si>
  <si>
    <t>Protocolo PREXOR                                   
Requerimientos OAL</t>
  </si>
  <si>
    <t>Protocolo PREXOR                                     
D.S N° 594</t>
  </si>
  <si>
    <t xml:space="preserve">Protocolo PREXOR                            
</t>
  </si>
  <si>
    <t>AÑO 2026</t>
  </si>
  <si>
    <t>AUDITORIA PROTOCOLOS Y GUIAS TECNICAS MINISTERIALES - TMERT</t>
  </si>
  <si>
    <t>PROTOCOLO DE VIGILANCIA OCUPACIONAL POR EXPOSICIÓN A FACTORES DE RIESGO DE TRASTORNOS MUSCULOESQUELÉTICOS EN EL TRABAJO</t>
  </si>
  <si>
    <t xml:space="preserve">       AUDITORIA PROTOCOLOS Y GUIAS TECNICAS MINISTERIALES - PSICOSOCIAL</t>
  </si>
  <si>
    <t xml:space="preserve">       AUDITORIA PROTOCOLOS Y GUIAS TECNICAS MINISTERIALES - HIPOBARIA</t>
  </si>
  <si>
    <t>5. VIGILANCIA DE SALUD</t>
  </si>
  <si>
    <t>7. MEDIDA DE CONTROL</t>
  </si>
  <si>
    <r>
      <t xml:space="preserve">La Empresa tiene identificado en su </t>
    </r>
    <r>
      <rPr>
        <b/>
        <sz val="11"/>
        <color theme="1"/>
        <rFont val="Arial Narrow"/>
        <family val="2"/>
      </rPr>
      <t xml:space="preserve"> Matriz  IPER  , agente riesgo Ruido.</t>
    </r>
  </si>
  <si>
    <t>La empresa realizó la difusion a todos los trabajadores incluyendo linea de mando, sobre el SGSST(etapas) para el control a Ruido - PREXOR</t>
  </si>
  <si>
    <t>El personal o encargado de implementar el Protocolo PREXOR cuenta con un curso , taller y/o  capacitacion</t>
  </si>
  <si>
    <t>Se realizó estudio Previo en conjunto con OAL</t>
  </si>
  <si>
    <t>La Empresa tiene indentificado el  agentes de riesgo UV incluido en su Matriz  IPER</t>
  </si>
  <si>
    <t xml:space="preserve">La Empresa tiene indentificado el  agentes de riesgo Silice incluido en su Matriz  IPER </t>
  </si>
  <si>
    <r>
      <t>La empresa realizó la difusion del Protocolos de Exposición de Vigilancia  a Silice Libre Cristalizada  por medio de cartas a las autoridades fiscalizadoras</t>
    </r>
    <r>
      <rPr>
        <i/>
        <sz val="11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</si>
</sst>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rial Narrow"/>
      <family val="2"/>
    </font>
    <font>
      <b/>
      <sz val="11"/>
      <color theme="0"/>
      <name val="Arial Narrow"/>
      <family val="2"/>
    </font>
    <font>
      <b/>
      <sz val="9"/>
      <color theme="0"/>
      <name val="Arial Narrow"/>
      <family val="2"/>
    </font>
    <font>
      <b/>
      <sz val="11"/>
      <color theme="1"/>
      <name val="Arial Narrow"/>
      <family val="2"/>
    </font>
    <font>
      <b/>
      <u/>
      <sz val="10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i/>
      <sz val="11"/>
      <color theme="1"/>
      <name val="Arial Narrow"/>
      <family val="2"/>
    </font>
    <font>
      <b/>
      <sz val="12"/>
      <name val="Arial Narrow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0"/>
      <name val="Arial Narrow"/>
      <family val="2"/>
    </font>
    <font>
      <b/>
      <u/>
      <sz val="1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u/>
      <sz val="10"/>
      <color theme="1"/>
      <name val="Arial Narrow"/>
      <family val="2"/>
    </font>
    <font>
      <b/>
      <i/>
      <u/>
      <sz val="11"/>
      <color theme="1"/>
      <name val="Arial Narrow"/>
      <family val="2"/>
    </font>
    <font>
      <u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ptos Narrow"/>
      <family val="2"/>
      <scheme val="minor"/>
    </font>
    <font>
      <b/>
      <sz val="22"/>
      <color theme="0"/>
      <name val="Arial Narrow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rial Narrow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theme="0"/>
      <name val="Arial Narrow"/>
      <family val="2"/>
    </font>
    <font>
      <b/>
      <sz val="11"/>
      <color rgb="FFFFC000"/>
      <name val="Arial Narrow"/>
      <family val="2"/>
    </font>
    <font>
      <b/>
      <sz val="11"/>
      <color theme="9"/>
      <name val="Arial Narrow"/>
      <family val="2"/>
    </font>
    <font>
      <b/>
      <sz val="11"/>
      <color rgb="FFFF0000"/>
      <name val="Arial Narrow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2" fillId="0" borderId="0" applyFont="0" applyFill="0" applyBorder="0" applyAlignment="0" applyProtection="0"/>
    <xf numFmtId="0" fontId="34" fillId="0" borderId="0"/>
  </cellStyleXfs>
  <cellXfs count="232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1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21" fillId="0" borderId="1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8" xfId="0" applyFont="1" applyBorder="1" applyAlignment="1">
      <alignment horizontal="left" vertical="top" wrapText="1"/>
    </xf>
    <xf numFmtId="9" fontId="5" fillId="0" borderId="8" xfId="0" applyNumberFormat="1" applyFont="1" applyBorder="1" applyAlignment="1">
      <alignment horizontal="center"/>
    </xf>
    <xf numFmtId="0" fontId="7" fillId="0" borderId="1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3" xfId="0" applyFont="1" applyBorder="1" applyAlignment="1">
      <alignment wrapText="1"/>
    </xf>
    <xf numFmtId="0" fontId="5" fillId="0" borderId="7" xfId="0" applyFont="1" applyBorder="1" applyAlignment="1">
      <alignment horizontal="center" vertical="center" wrapText="1"/>
    </xf>
    <xf numFmtId="9" fontId="24" fillId="7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35" fillId="0" borderId="1" xfId="2" applyFont="1" applyBorder="1" applyAlignment="1">
      <alignment horizontal="left" vertical="center" wrapText="1"/>
    </xf>
    <xf numFmtId="0" fontId="37" fillId="0" borderId="7" xfId="0" applyFont="1" applyBorder="1" applyAlignment="1">
      <alignment horizontal="left" vertical="center" wrapText="1"/>
    </xf>
    <xf numFmtId="0" fontId="16" fillId="8" borderId="47" xfId="0" applyFont="1" applyFill="1" applyBorder="1" applyAlignment="1">
      <alignment horizontal="center" vertical="center"/>
    </xf>
    <xf numFmtId="0" fontId="35" fillId="0" borderId="48" xfId="2" applyFont="1" applyBorder="1" applyAlignment="1">
      <alignment horizontal="left" vertical="center" wrapText="1"/>
    </xf>
    <xf numFmtId="0" fontId="0" fillId="0" borderId="48" xfId="0" applyBorder="1" applyAlignment="1">
      <alignment horizontal="center" vertical="center"/>
    </xf>
    <xf numFmtId="0" fontId="35" fillId="9" borderId="48" xfId="2" applyFont="1" applyFill="1" applyBorder="1" applyAlignment="1">
      <alignment horizontal="justify" vertical="center" wrapText="1"/>
    </xf>
    <xf numFmtId="0" fontId="3" fillId="10" borderId="16" xfId="0" applyFont="1" applyFill="1" applyBorder="1" applyAlignment="1">
      <alignment horizontal="left" vertical="center"/>
    </xf>
    <xf numFmtId="0" fontId="3" fillId="10" borderId="17" xfId="0" applyFont="1" applyFill="1" applyBorder="1" applyAlignment="1">
      <alignment horizontal="left" vertical="center"/>
    </xf>
    <xf numFmtId="0" fontId="3" fillId="10" borderId="18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/>
    </xf>
    <xf numFmtId="0" fontId="24" fillId="7" borderId="2" xfId="0" applyFont="1" applyFill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10" borderId="19" xfId="0" applyFont="1" applyFill="1" applyBorder="1" applyAlignment="1">
      <alignment horizontal="left" vertical="center"/>
    </xf>
    <xf numFmtId="0" fontId="3" fillId="10" borderId="20" xfId="0" applyFont="1" applyFill="1" applyBorder="1" applyAlignment="1">
      <alignment horizontal="left" vertical="center"/>
    </xf>
    <xf numFmtId="0" fontId="3" fillId="10" borderId="2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1" fillId="10" borderId="16" xfId="0" applyFont="1" applyFill="1" applyBorder="1" applyAlignment="1">
      <alignment horizontal="left" vertical="center"/>
    </xf>
    <xf numFmtId="0" fontId="11" fillId="10" borderId="17" xfId="0" applyFont="1" applyFill="1" applyBorder="1" applyAlignment="1">
      <alignment horizontal="left" vertical="center"/>
    </xf>
    <xf numFmtId="0" fontId="11" fillId="10" borderId="18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24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2" borderId="2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10" borderId="3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25" fillId="0" borderId="1" xfId="0" applyFont="1" applyBorder="1" applyAlignment="1">
      <alignment horizontal="center" wrapText="1"/>
    </xf>
    <xf numFmtId="0" fontId="25" fillId="0" borderId="26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9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5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25" fillId="0" borderId="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3" fillId="10" borderId="41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0" borderId="42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/>
    </xf>
    <xf numFmtId="0" fontId="16" fillId="0" borderId="8" xfId="0" applyFont="1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10" borderId="44" xfId="0" applyFont="1" applyFill="1" applyBorder="1" applyAlignment="1">
      <alignment horizontal="left" vertical="center"/>
    </xf>
    <xf numFmtId="0" fontId="3" fillId="10" borderId="43" xfId="0" applyFont="1" applyFill="1" applyBorder="1" applyAlignment="1">
      <alignment horizontal="left" vertical="center"/>
    </xf>
    <xf numFmtId="0" fontId="3" fillId="10" borderId="45" xfId="0" applyFont="1" applyFill="1" applyBorder="1" applyAlignment="1">
      <alignment horizontal="left" vertical="center"/>
    </xf>
    <xf numFmtId="0" fontId="3" fillId="10" borderId="38" xfId="0" applyFont="1" applyFill="1" applyBorder="1" applyAlignment="1">
      <alignment horizontal="left" vertical="center"/>
    </xf>
    <xf numFmtId="0" fontId="3" fillId="10" borderId="46" xfId="0" applyFont="1" applyFill="1" applyBorder="1" applyAlignment="1">
      <alignment horizontal="left" vertical="center"/>
    </xf>
    <xf numFmtId="0" fontId="16" fillId="0" borderId="3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7" xfId="0" applyBorder="1" applyAlignment="1">
      <alignment horizontal="center"/>
    </xf>
    <xf numFmtId="0" fontId="25" fillId="0" borderId="8" xfId="0" applyFont="1" applyBorder="1" applyAlignment="1">
      <alignment horizontal="center" wrapText="1"/>
    </xf>
    <xf numFmtId="0" fontId="25" fillId="0" borderId="29" xfId="0" applyFont="1" applyBorder="1" applyAlignment="1">
      <alignment horizont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16" fillId="0" borderId="49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</cellXfs>
  <cellStyles count="3">
    <cellStyle name="Normal" xfId="0" builtinId="0"/>
    <cellStyle name="Normal 2" xfId="2" xr:uid="{CAC27583-EDCE-4F1C-B01A-4BAE5AF55713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211115</xdr:colOff>
      <xdr:row>0</xdr:row>
      <xdr:rowOff>0</xdr:rowOff>
    </xdr:from>
    <xdr:to>
      <xdr:col>10</xdr:col>
      <xdr:colOff>226786</xdr:colOff>
      <xdr:row>2</xdr:row>
      <xdr:rowOff>157868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4B5507B-6A1C-867E-CAF5-7BFE3062A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8020" y="0"/>
          <a:ext cx="1542695" cy="671916"/>
        </a:xfrm>
        <a:prstGeom prst="rect">
          <a:avLst/>
        </a:prstGeom>
      </xdr:spPr>
    </xdr:pic>
    <xdr:clientData/>
  </xdr:twoCellAnchor>
  <xdr:twoCellAnchor editAs="oneCell">
    <xdr:from>
      <xdr:col>1</xdr:col>
      <xdr:colOff>1156608</xdr:colOff>
      <xdr:row>0</xdr:row>
      <xdr:rowOff>52917</xdr:rowOff>
    </xdr:from>
    <xdr:to>
      <xdr:col>1</xdr:col>
      <xdr:colOff>2298096</xdr:colOff>
      <xdr:row>2</xdr:row>
      <xdr:rowOff>101759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CC4270-B243-AB12-F3C9-5A8BFBA93A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" t="14724" r="4615" b="16458"/>
        <a:stretch>
          <a:fillRect/>
        </a:stretch>
      </xdr:blipFill>
      <xdr:spPr>
        <a:xfrm>
          <a:off x="1451429" y="52917"/>
          <a:ext cx="1141488" cy="562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654050</xdr:colOff>
      <xdr:row>0</xdr:row>
      <xdr:rowOff>76200</xdr:rowOff>
    </xdr:from>
    <xdr:to>
      <xdr:col>1</xdr:col>
      <xdr:colOff>1795538</xdr:colOff>
      <xdr:row>2</xdr:row>
      <xdr:rowOff>131090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80A118-092C-42E6-BA6D-80EBA1EA7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" t="14724" r="4615" b="16458"/>
        <a:stretch>
          <a:fillRect/>
        </a:stretch>
      </xdr:blipFill>
      <xdr:spPr>
        <a:xfrm>
          <a:off x="990600" y="76200"/>
          <a:ext cx="1141488" cy="562890"/>
        </a:xfrm>
        <a:prstGeom prst="rect">
          <a:avLst/>
        </a:prstGeom>
      </xdr:spPr>
    </xdr:pic>
    <xdr:clientData/>
  </xdr:twoCellAnchor>
  <xdr:twoCellAnchor editAs="oneCell">
    <xdr:from>
      <xdr:col>9</xdr:col>
      <xdr:colOff>336550</xdr:colOff>
      <xdr:row>0</xdr:row>
      <xdr:rowOff>6350</xdr:rowOff>
    </xdr:from>
    <xdr:to>
      <xdr:col>11</xdr:col>
      <xdr:colOff>355245</xdr:colOff>
      <xdr:row>2</xdr:row>
      <xdr:rowOff>170266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050788A-F7B3-4ECE-A636-78AF29ABA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0" y="6350"/>
          <a:ext cx="1542695" cy="671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3079750</xdr:colOff>
      <xdr:row>0</xdr:row>
      <xdr:rowOff>101600</xdr:rowOff>
    </xdr:from>
    <xdr:to>
      <xdr:col>1</xdr:col>
      <xdr:colOff>4221238</xdr:colOff>
      <xdr:row>1</xdr:row>
      <xdr:rowOff>61240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87F339-56A1-406B-AF3E-C75BA17845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" t="14724" r="4615" b="16458"/>
        <a:stretch>
          <a:fillRect/>
        </a:stretch>
      </xdr:blipFill>
      <xdr:spPr>
        <a:xfrm>
          <a:off x="3371850" y="101600"/>
          <a:ext cx="1141488" cy="562890"/>
        </a:xfrm>
        <a:prstGeom prst="rect">
          <a:avLst/>
        </a:prstGeom>
      </xdr:spPr>
    </xdr:pic>
    <xdr:clientData/>
  </xdr:twoCellAnchor>
  <xdr:twoCellAnchor editAs="oneCell">
    <xdr:from>
      <xdr:col>8</xdr:col>
      <xdr:colOff>139700</xdr:colOff>
      <xdr:row>0</xdr:row>
      <xdr:rowOff>0</xdr:rowOff>
    </xdr:from>
    <xdr:to>
      <xdr:col>9</xdr:col>
      <xdr:colOff>761645</xdr:colOff>
      <xdr:row>1</xdr:row>
      <xdr:rowOff>68666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BBF4FA-EFD8-4370-B837-98F4A14F1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0" y="0"/>
          <a:ext cx="1542695" cy="671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1746250</xdr:colOff>
      <xdr:row>0</xdr:row>
      <xdr:rowOff>44450</xdr:rowOff>
    </xdr:from>
    <xdr:to>
      <xdr:col>1</xdr:col>
      <xdr:colOff>2887738</xdr:colOff>
      <xdr:row>2</xdr:row>
      <xdr:rowOff>99340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BD17E-17C4-4EA3-B242-1B5179EBA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" t="14724" r="4615" b="16458"/>
        <a:stretch>
          <a:fillRect/>
        </a:stretch>
      </xdr:blipFill>
      <xdr:spPr>
        <a:xfrm>
          <a:off x="2057400" y="44450"/>
          <a:ext cx="1141488" cy="56289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0</xdr:row>
      <xdr:rowOff>0</xdr:rowOff>
    </xdr:from>
    <xdr:to>
      <xdr:col>10</xdr:col>
      <xdr:colOff>488595</xdr:colOff>
      <xdr:row>2</xdr:row>
      <xdr:rowOff>163916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842B85-36F7-479D-AA86-7400239A0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0"/>
          <a:ext cx="1542695" cy="671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1854200</xdr:colOff>
      <xdr:row>0</xdr:row>
      <xdr:rowOff>63500</xdr:rowOff>
    </xdr:from>
    <xdr:to>
      <xdr:col>1</xdr:col>
      <xdr:colOff>2995688</xdr:colOff>
      <xdr:row>2</xdr:row>
      <xdr:rowOff>118390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22A0FD-CC14-44BE-8E5A-9D0877D0A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" t="14724" r="4615" b="16458"/>
        <a:stretch>
          <a:fillRect/>
        </a:stretch>
      </xdr:blipFill>
      <xdr:spPr>
        <a:xfrm>
          <a:off x="2165350" y="63500"/>
          <a:ext cx="1141488" cy="56289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374295</xdr:colOff>
      <xdr:row>2</xdr:row>
      <xdr:rowOff>163916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EFCF8C-EB34-427E-BD88-6E6A39A7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0" y="0"/>
          <a:ext cx="1542695" cy="671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1841500</xdr:colOff>
      <xdr:row>0</xdr:row>
      <xdr:rowOff>76200</xdr:rowOff>
    </xdr:from>
    <xdr:to>
      <xdr:col>1</xdr:col>
      <xdr:colOff>2982988</xdr:colOff>
      <xdr:row>2</xdr:row>
      <xdr:rowOff>131090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ECC973-E499-4BDA-8BE7-CFAA8EBB66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" t="14724" r="4615" b="16458"/>
        <a:stretch>
          <a:fillRect/>
        </a:stretch>
      </xdr:blipFill>
      <xdr:spPr>
        <a:xfrm>
          <a:off x="2152650" y="76200"/>
          <a:ext cx="1141488" cy="56289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</xdr:colOff>
      <xdr:row>0</xdr:row>
      <xdr:rowOff>0</xdr:rowOff>
    </xdr:from>
    <xdr:to>
      <xdr:col>10</xdr:col>
      <xdr:colOff>380645</xdr:colOff>
      <xdr:row>2</xdr:row>
      <xdr:rowOff>163916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648E94-3135-43E6-8615-40169407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5850" y="0"/>
          <a:ext cx="1542695" cy="671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66D5-2359-4759-9AE0-C301FED48933}">
  <dimension ref="A1:L58"/>
  <sheetViews>
    <sheetView topLeftCell="A50" zoomScale="84" zoomScaleNormal="84" workbookViewId="0">
      <selection activeCell="B30" sqref="B30"/>
    </sheetView>
  </sheetViews>
  <sheetFormatPr baseColWidth="10" defaultRowHeight="14.5" x14ac:dyDescent="0.35"/>
  <cols>
    <col min="1" max="1" width="4.1796875" style="8" customWidth="1"/>
    <col min="2" max="2" width="70.81640625" customWidth="1"/>
    <col min="3" max="3" width="16.81640625" customWidth="1"/>
    <col min="4" max="4" width="10.1796875" customWidth="1"/>
    <col min="5" max="5" width="10.81640625" customWidth="1"/>
    <col min="6" max="6" width="10.1796875" customWidth="1"/>
    <col min="7" max="7" width="11" customWidth="1"/>
    <col min="8" max="8" width="13.1796875" customWidth="1"/>
  </cols>
  <sheetData>
    <row r="1" spans="1:12" ht="20" customHeight="1" x14ac:dyDescent="0.35">
      <c r="A1" s="116" t="s">
        <v>91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0" customHeight="1" x14ac:dyDescent="0.3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2" ht="20" customHeight="1" x14ac:dyDescent="0.3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ht="17" customHeight="1" x14ac:dyDescent="0.35">
      <c r="A4" s="117" t="s">
        <v>343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x14ac:dyDescent="0.35">
      <c r="A5" s="118" t="s">
        <v>1</v>
      </c>
      <c r="B5" s="120" t="s">
        <v>11</v>
      </c>
      <c r="C5" s="118" t="s">
        <v>12</v>
      </c>
      <c r="D5" s="121" t="s">
        <v>13</v>
      </c>
      <c r="E5" s="121"/>
      <c r="F5" s="121"/>
      <c r="G5" s="121"/>
      <c r="H5" s="121"/>
      <c r="I5" s="118" t="s">
        <v>14</v>
      </c>
      <c r="J5" s="118"/>
      <c r="K5" s="118"/>
      <c r="L5" s="118"/>
    </row>
    <row r="6" spans="1:12" x14ac:dyDescent="0.35">
      <c r="A6" s="118"/>
      <c r="B6" s="118"/>
      <c r="C6" s="118"/>
      <c r="D6" s="1" t="s">
        <v>0</v>
      </c>
      <c r="E6" s="2" t="s">
        <v>47</v>
      </c>
      <c r="F6" s="3" t="s">
        <v>3</v>
      </c>
      <c r="G6" s="4" t="s">
        <v>2</v>
      </c>
      <c r="H6" s="118" t="s">
        <v>10</v>
      </c>
      <c r="I6" s="118"/>
      <c r="J6" s="118"/>
      <c r="K6" s="118"/>
      <c r="L6" s="118"/>
    </row>
    <row r="7" spans="1:12" ht="15" thickBot="1" x14ac:dyDescent="0.4">
      <c r="A7" s="119"/>
      <c r="B7" s="119"/>
      <c r="C7" s="119"/>
      <c r="D7" s="32">
        <v>0.25</v>
      </c>
      <c r="E7" s="32">
        <v>0.5</v>
      </c>
      <c r="F7" s="32">
        <v>1</v>
      </c>
      <c r="G7" s="19" t="s">
        <v>5</v>
      </c>
      <c r="H7" s="119"/>
      <c r="I7" s="119"/>
      <c r="J7" s="119"/>
      <c r="K7" s="119"/>
      <c r="L7" s="119"/>
    </row>
    <row r="8" spans="1:12" ht="18" customHeight="1" thickBot="1" x14ac:dyDescent="0.4">
      <c r="A8" s="97" t="s">
        <v>36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ht="32.5" customHeight="1" x14ac:dyDescent="0.35">
      <c r="A9" s="49" t="s">
        <v>48</v>
      </c>
      <c r="B9" s="33" t="s">
        <v>166</v>
      </c>
      <c r="C9" s="87" t="s">
        <v>335</v>
      </c>
      <c r="D9" s="23"/>
      <c r="E9" s="24"/>
      <c r="F9" s="24"/>
      <c r="G9" s="25"/>
      <c r="H9" s="26">
        <f>IF(G9="X","No Aplica",MAX(IF(D9="X",0.25,0),IF(E9="X",0.5,0),IF(F9="X",1,0)))</f>
        <v>0</v>
      </c>
      <c r="I9" s="113"/>
      <c r="J9" s="114"/>
      <c r="K9" s="114"/>
      <c r="L9" s="115"/>
    </row>
    <row r="10" spans="1:12" ht="30" customHeight="1" x14ac:dyDescent="0.35">
      <c r="A10" s="50" t="s">
        <v>49</v>
      </c>
      <c r="B10" s="11" t="s">
        <v>350</v>
      </c>
      <c r="C10" s="87"/>
      <c r="D10" s="16"/>
      <c r="E10" s="5"/>
      <c r="F10" s="5"/>
      <c r="G10" s="25"/>
      <c r="H10" s="26">
        <f t="shared" ref="H10:H57" si="0">IF(G10="X","No Aplica",MAX(IF(D10="X",0.25,0),IF(E10="X",0.5,0),IF(F10="X",1,0)))</f>
        <v>0</v>
      </c>
      <c r="I10" s="100"/>
      <c r="J10" s="100"/>
      <c r="K10" s="100"/>
      <c r="L10" s="100"/>
    </row>
    <row r="11" spans="1:12" ht="30" customHeight="1" x14ac:dyDescent="0.35">
      <c r="A11" s="50" t="s">
        <v>50</v>
      </c>
      <c r="B11" s="12" t="s">
        <v>167</v>
      </c>
      <c r="C11" s="87"/>
      <c r="D11" s="16"/>
      <c r="E11" s="5"/>
      <c r="F11" s="5"/>
      <c r="G11" s="25"/>
      <c r="H11" s="26">
        <f t="shared" si="0"/>
        <v>0</v>
      </c>
      <c r="I11" s="94"/>
      <c r="J11" s="95"/>
      <c r="K11" s="95"/>
      <c r="L11" s="96"/>
    </row>
    <row r="12" spans="1:12" ht="50" customHeight="1" x14ac:dyDescent="0.35">
      <c r="A12" s="50" t="s">
        <v>51</v>
      </c>
      <c r="B12" s="11" t="s">
        <v>168</v>
      </c>
      <c r="C12" s="112"/>
      <c r="D12" s="16"/>
      <c r="E12" s="5"/>
      <c r="F12" s="5"/>
      <c r="G12" s="25"/>
      <c r="H12" s="26">
        <f t="shared" si="0"/>
        <v>0</v>
      </c>
      <c r="I12" s="96"/>
      <c r="J12" s="100"/>
      <c r="K12" s="100"/>
      <c r="L12" s="100"/>
    </row>
    <row r="13" spans="1:12" ht="37.5" customHeight="1" x14ac:dyDescent="0.35">
      <c r="A13" s="50" t="s">
        <v>52</v>
      </c>
      <c r="B13" s="11" t="s">
        <v>169</v>
      </c>
      <c r="C13" s="108" t="s">
        <v>4</v>
      </c>
      <c r="D13" s="16"/>
      <c r="E13" s="5"/>
      <c r="F13" s="5"/>
      <c r="G13" s="25"/>
      <c r="H13" s="26">
        <f t="shared" si="0"/>
        <v>0</v>
      </c>
      <c r="I13" s="91"/>
      <c r="J13" s="92"/>
      <c r="K13" s="92"/>
      <c r="L13" s="93"/>
    </row>
    <row r="14" spans="1:12" ht="33.5" customHeight="1" x14ac:dyDescent="0.35">
      <c r="A14" s="50" t="s">
        <v>53</v>
      </c>
      <c r="B14" s="11" t="s">
        <v>351</v>
      </c>
      <c r="C14" s="109"/>
      <c r="D14" s="16"/>
      <c r="E14" s="5"/>
      <c r="F14" s="5"/>
      <c r="G14" s="25"/>
      <c r="H14" s="26">
        <f t="shared" si="0"/>
        <v>0</v>
      </c>
      <c r="I14" s="110"/>
      <c r="J14" s="110"/>
      <c r="K14" s="110"/>
      <c r="L14" s="110"/>
    </row>
    <row r="15" spans="1:12" ht="38" customHeight="1" thickBot="1" x14ac:dyDescent="0.4">
      <c r="A15" s="51" t="s">
        <v>54</v>
      </c>
      <c r="B15" s="17" t="s">
        <v>170</v>
      </c>
      <c r="C15" s="109"/>
      <c r="D15" s="18"/>
      <c r="E15" s="19"/>
      <c r="F15" s="19"/>
      <c r="G15" s="25"/>
      <c r="H15" s="26">
        <f t="shared" si="0"/>
        <v>0</v>
      </c>
      <c r="I15" s="111"/>
      <c r="J15" s="111"/>
      <c r="K15" s="111"/>
      <c r="L15" s="111"/>
    </row>
    <row r="16" spans="1:12" ht="18" customHeight="1" thickBot="1" x14ac:dyDescent="0.4">
      <c r="A16" s="82" t="s">
        <v>37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4"/>
    </row>
    <row r="17" spans="1:12" ht="31.5" customHeight="1" x14ac:dyDescent="0.35">
      <c r="A17" s="49" t="s">
        <v>55</v>
      </c>
      <c r="B17" s="30" t="s">
        <v>34</v>
      </c>
      <c r="C17" s="87" t="s">
        <v>336</v>
      </c>
      <c r="D17" s="23"/>
      <c r="E17" s="24"/>
      <c r="F17" s="24"/>
      <c r="G17" s="25"/>
      <c r="H17" s="26">
        <f t="shared" si="0"/>
        <v>0</v>
      </c>
      <c r="I17" s="85"/>
      <c r="J17" s="85"/>
      <c r="K17" s="85"/>
      <c r="L17" s="85"/>
    </row>
    <row r="18" spans="1:12" ht="33.5" customHeight="1" x14ac:dyDescent="0.35">
      <c r="A18" s="50" t="s">
        <v>56</v>
      </c>
      <c r="B18" s="10" t="s">
        <v>171</v>
      </c>
      <c r="C18" s="87"/>
      <c r="D18" s="16"/>
      <c r="E18" s="5"/>
      <c r="F18" s="5"/>
      <c r="G18" s="25"/>
      <c r="H18" s="26">
        <f t="shared" si="0"/>
        <v>0</v>
      </c>
      <c r="I18" s="100"/>
      <c r="J18" s="100"/>
      <c r="K18" s="100"/>
      <c r="L18" s="100"/>
    </row>
    <row r="19" spans="1:12" ht="42" customHeight="1" x14ac:dyDescent="0.35">
      <c r="A19" s="50" t="s">
        <v>57</v>
      </c>
      <c r="B19" s="10" t="s">
        <v>172</v>
      </c>
      <c r="C19" s="87"/>
      <c r="D19" s="16"/>
      <c r="E19" s="5"/>
      <c r="F19" s="5"/>
      <c r="G19" s="25"/>
      <c r="H19" s="26">
        <f t="shared" si="0"/>
        <v>0</v>
      </c>
      <c r="I19" s="91"/>
      <c r="J19" s="92"/>
      <c r="K19" s="92"/>
      <c r="L19" s="93"/>
    </row>
    <row r="20" spans="1:12" ht="29.75" customHeight="1" thickBot="1" x14ac:dyDescent="0.4">
      <c r="A20" s="51" t="s">
        <v>58</v>
      </c>
      <c r="B20" s="31" t="s">
        <v>173</v>
      </c>
      <c r="C20" s="87"/>
      <c r="D20" s="18"/>
      <c r="E20" s="19"/>
      <c r="F20" s="19"/>
      <c r="G20" s="25"/>
      <c r="H20" s="26">
        <f t="shared" si="0"/>
        <v>0</v>
      </c>
      <c r="I20" s="91"/>
      <c r="J20" s="92"/>
      <c r="K20" s="92"/>
      <c r="L20" s="93"/>
    </row>
    <row r="21" spans="1:12" ht="18" customHeight="1" thickBot="1" x14ac:dyDescent="0.4">
      <c r="A21" s="82" t="s">
        <v>38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4"/>
    </row>
    <row r="22" spans="1:12" ht="33.5" customHeight="1" x14ac:dyDescent="0.35">
      <c r="A22" s="49" t="s">
        <v>59</v>
      </c>
      <c r="B22" s="21" t="s">
        <v>174</v>
      </c>
      <c r="C22" s="87" t="s">
        <v>337</v>
      </c>
      <c r="D22" s="23"/>
      <c r="E22" s="24"/>
      <c r="F22" s="24"/>
      <c r="G22" s="25"/>
      <c r="H22" s="26">
        <f t="shared" si="0"/>
        <v>0</v>
      </c>
      <c r="I22" s="85"/>
      <c r="J22" s="85"/>
      <c r="K22" s="85"/>
      <c r="L22" s="85"/>
    </row>
    <row r="23" spans="1:12" ht="40.25" customHeight="1" x14ac:dyDescent="0.35">
      <c r="A23" s="50" t="s">
        <v>60</v>
      </c>
      <c r="B23" s="11" t="s">
        <v>6</v>
      </c>
      <c r="C23" s="87"/>
      <c r="D23" s="16"/>
      <c r="E23" s="5"/>
      <c r="F23" s="5"/>
      <c r="G23" s="25"/>
      <c r="H23" s="26">
        <f t="shared" si="0"/>
        <v>0</v>
      </c>
      <c r="I23" s="100"/>
      <c r="J23" s="100"/>
      <c r="K23" s="100"/>
      <c r="L23" s="100"/>
    </row>
    <row r="24" spans="1:12" ht="35.75" customHeight="1" x14ac:dyDescent="0.35">
      <c r="A24" s="50" t="s">
        <v>61</v>
      </c>
      <c r="B24" s="11" t="s">
        <v>7</v>
      </c>
      <c r="C24" s="87"/>
      <c r="D24" s="16"/>
      <c r="E24" s="5"/>
      <c r="F24" s="5"/>
      <c r="G24" s="25"/>
      <c r="H24" s="26">
        <f t="shared" si="0"/>
        <v>0</v>
      </c>
      <c r="I24" s="100"/>
      <c r="J24" s="100"/>
      <c r="K24" s="100"/>
      <c r="L24" s="100"/>
    </row>
    <row r="25" spans="1:12" ht="48.5" customHeight="1" thickBot="1" x14ac:dyDescent="0.4">
      <c r="A25" s="51" t="s">
        <v>62</v>
      </c>
      <c r="B25" s="17" t="s">
        <v>175</v>
      </c>
      <c r="C25" s="87"/>
      <c r="D25" s="18"/>
      <c r="E25" s="19"/>
      <c r="F25" s="19"/>
      <c r="G25" s="25"/>
      <c r="H25" s="26">
        <f t="shared" si="0"/>
        <v>0</v>
      </c>
      <c r="I25" s="101"/>
      <c r="J25" s="101"/>
      <c r="K25" s="101"/>
      <c r="L25" s="101"/>
    </row>
    <row r="26" spans="1:12" ht="18" customHeight="1" thickBot="1" x14ac:dyDescent="0.4">
      <c r="A26" s="82" t="s">
        <v>39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 ht="28.5" customHeight="1" x14ac:dyDescent="0.35">
      <c r="A27" s="49" t="s">
        <v>63</v>
      </c>
      <c r="B27" s="21" t="s">
        <v>352</v>
      </c>
      <c r="C27" s="87" t="s">
        <v>338</v>
      </c>
      <c r="D27" s="23"/>
      <c r="E27" s="24"/>
      <c r="F27" s="24"/>
      <c r="G27" s="25"/>
      <c r="H27" s="26">
        <f t="shared" si="0"/>
        <v>0</v>
      </c>
      <c r="I27" s="85"/>
      <c r="J27" s="85"/>
      <c r="K27" s="85"/>
      <c r="L27" s="85"/>
    </row>
    <row r="28" spans="1:12" ht="27" customHeight="1" x14ac:dyDescent="0.35">
      <c r="A28" s="50" t="s">
        <v>64</v>
      </c>
      <c r="B28" s="11" t="s">
        <v>353</v>
      </c>
      <c r="C28" s="87"/>
      <c r="D28" s="16"/>
      <c r="E28" s="5"/>
      <c r="F28" s="5"/>
      <c r="G28" s="25"/>
      <c r="H28" s="26">
        <f t="shared" si="0"/>
        <v>0</v>
      </c>
      <c r="I28" s="100"/>
      <c r="J28" s="100"/>
      <c r="K28" s="100"/>
      <c r="L28" s="100"/>
    </row>
    <row r="29" spans="1:12" ht="30.65" customHeight="1" x14ac:dyDescent="0.35">
      <c r="A29" s="50" t="s">
        <v>65</v>
      </c>
      <c r="B29" s="9" t="s">
        <v>35</v>
      </c>
      <c r="C29" s="87"/>
      <c r="D29" s="16"/>
      <c r="E29" s="5"/>
      <c r="F29" s="6"/>
      <c r="G29" s="6"/>
      <c r="H29" s="26">
        <f t="shared" si="0"/>
        <v>0</v>
      </c>
      <c r="I29" s="105"/>
      <c r="J29" s="106"/>
      <c r="K29" s="106"/>
      <c r="L29" s="107"/>
    </row>
    <row r="30" spans="1:12" ht="34.5" customHeight="1" thickBot="1" x14ac:dyDescent="0.4">
      <c r="A30" s="51" t="s">
        <v>66</v>
      </c>
      <c r="B30" s="17" t="s">
        <v>176</v>
      </c>
      <c r="C30" s="87"/>
      <c r="D30" s="18"/>
      <c r="E30" s="19"/>
      <c r="F30" s="19"/>
      <c r="G30" s="20"/>
      <c r="H30" s="26">
        <f t="shared" si="0"/>
        <v>0</v>
      </c>
      <c r="I30" s="101"/>
      <c r="J30" s="101"/>
      <c r="K30" s="101"/>
      <c r="L30" s="101"/>
    </row>
    <row r="31" spans="1:12" ht="18" customHeight="1" thickBot="1" x14ac:dyDescent="0.4">
      <c r="A31" s="82" t="s">
        <v>40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ht="33" customHeight="1" x14ac:dyDescent="0.35">
      <c r="A32" s="49" t="s">
        <v>67</v>
      </c>
      <c r="B32" s="21" t="s">
        <v>8</v>
      </c>
      <c r="C32" s="87" t="s">
        <v>339</v>
      </c>
      <c r="D32" s="23"/>
      <c r="E32" s="24"/>
      <c r="F32" s="24"/>
      <c r="G32" s="25"/>
      <c r="H32" s="26">
        <f t="shared" si="0"/>
        <v>0</v>
      </c>
      <c r="I32" s="85"/>
      <c r="J32" s="85"/>
      <c r="K32" s="85"/>
      <c r="L32" s="85"/>
    </row>
    <row r="33" spans="1:12" ht="45" customHeight="1" x14ac:dyDescent="0.35">
      <c r="A33" s="50" t="s">
        <v>68</v>
      </c>
      <c r="B33" s="10" t="s">
        <v>177</v>
      </c>
      <c r="C33" s="87"/>
      <c r="D33" s="16"/>
      <c r="E33" s="5"/>
      <c r="F33" s="5"/>
      <c r="G33" s="6"/>
      <c r="H33" s="26">
        <f t="shared" si="0"/>
        <v>0</v>
      </c>
      <c r="I33" s="100"/>
      <c r="J33" s="100"/>
      <c r="K33" s="100"/>
      <c r="L33" s="100"/>
    </row>
    <row r="34" spans="1:12" ht="39" customHeight="1" x14ac:dyDescent="0.35">
      <c r="A34" s="50" t="s">
        <v>69</v>
      </c>
      <c r="B34" s="15" t="s">
        <v>178</v>
      </c>
      <c r="C34" s="87"/>
      <c r="D34" s="16"/>
      <c r="E34" s="5"/>
      <c r="F34" s="5"/>
      <c r="G34" s="6"/>
      <c r="H34" s="26">
        <f t="shared" si="0"/>
        <v>0</v>
      </c>
      <c r="I34" s="100"/>
      <c r="J34" s="100"/>
      <c r="K34" s="100"/>
      <c r="L34" s="100"/>
    </row>
    <row r="35" spans="1:12" ht="30" customHeight="1" x14ac:dyDescent="0.35">
      <c r="A35" s="50" t="s">
        <v>70</v>
      </c>
      <c r="B35" s="12" t="s">
        <v>179</v>
      </c>
      <c r="C35" s="87"/>
      <c r="D35" s="16"/>
      <c r="E35" s="5"/>
      <c r="F35" s="5"/>
      <c r="G35" s="6"/>
      <c r="H35" s="26">
        <f t="shared" si="0"/>
        <v>0</v>
      </c>
      <c r="I35" s="94"/>
      <c r="J35" s="95"/>
      <c r="K35" s="95"/>
      <c r="L35" s="96"/>
    </row>
    <row r="36" spans="1:12" ht="36" customHeight="1" x14ac:dyDescent="0.35">
      <c r="A36" s="50" t="s">
        <v>71</v>
      </c>
      <c r="B36" s="11" t="s">
        <v>180</v>
      </c>
      <c r="C36" s="87"/>
      <c r="D36" s="16"/>
      <c r="E36" s="5"/>
      <c r="F36" s="5"/>
      <c r="G36" s="6"/>
      <c r="H36" s="26">
        <f t="shared" si="0"/>
        <v>0</v>
      </c>
      <c r="I36" s="100"/>
      <c r="J36" s="100"/>
      <c r="K36" s="100"/>
      <c r="L36" s="100"/>
    </row>
    <row r="37" spans="1:12" ht="27" customHeight="1" thickBot="1" x14ac:dyDescent="0.4">
      <c r="A37" s="51" t="s">
        <v>72</v>
      </c>
      <c r="B37" s="29" t="s">
        <v>181</v>
      </c>
      <c r="C37" s="87"/>
      <c r="D37" s="18"/>
      <c r="E37" s="19"/>
      <c r="F37" s="19"/>
      <c r="G37" s="20"/>
      <c r="H37" s="26">
        <f t="shared" si="0"/>
        <v>0</v>
      </c>
      <c r="I37" s="101"/>
      <c r="J37" s="101"/>
      <c r="K37" s="101"/>
      <c r="L37" s="101"/>
    </row>
    <row r="38" spans="1:12" ht="18" customHeight="1" thickBot="1" x14ac:dyDescent="0.4">
      <c r="A38" s="82" t="s">
        <v>41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4"/>
    </row>
    <row r="39" spans="1:12" ht="31.25" customHeight="1" x14ac:dyDescent="0.35">
      <c r="A39" s="49" t="s">
        <v>73</v>
      </c>
      <c r="B39" s="30" t="s">
        <v>182</v>
      </c>
      <c r="C39" s="87" t="s">
        <v>340</v>
      </c>
      <c r="D39" s="23"/>
      <c r="E39" s="24"/>
      <c r="F39" s="24"/>
      <c r="G39" s="25"/>
      <c r="H39" s="26">
        <f t="shared" si="0"/>
        <v>0</v>
      </c>
      <c r="I39" s="85"/>
      <c r="J39" s="85"/>
      <c r="K39" s="85"/>
      <c r="L39" s="85"/>
    </row>
    <row r="40" spans="1:12" ht="30.65" customHeight="1" x14ac:dyDescent="0.35">
      <c r="A40" s="50" t="s">
        <v>74</v>
      </c>
      <c r="B40" s="9" t="s">
        <v>183</v>
      </c>
      <c r="C40" s="87"/>
      <c r="D40" s="16"/>
      <c r="E40" s="5"/>
      <c r="F40" s="5"/>
      <c r="G40" s="6"/>
      <c r="H40" s="26">
        <f t="shared" si="0"/>
        <v>0</v>
      </c>
      <c r="I40" s="100"/>
      <c r="J40" s="100"/>
      <c r="K40" s="100"/>
      <c r="L40" s="100"/>
    </row>
    <row r="41" spans="1:12" ht="40.5" customHeight="1" thickBot="1" x14ac:dyDescent="0.4">
      <c r="A41" s="51" t="s">
        <v>75</v>
      </c>
      <c r="B41" s="29" t="s">
        <v>184</v>
      </c>
      <c r="C41" s="87"/>
      <c r="D41" s="18"/>
      <c r="E41" s="19"/>
      <c r="F41" s="19"/>
      <c r="G41" s="20"/>
      <c r="H41" s="26">
        <f t="shared" si="0"/>
        <v>0</v>
      </c>
      <c r="I41" s="101"/>
      <c r="J41" s="101"/>
      <c r="K41" s="101"/>
      <c r="L41" s="101"/>
    </row>
    <row r="42" spans="1:12" ht="18" customHeight="1" thickBot="1" x14ac:dyDescent="0.4">
      <c r="A42" s="97" t="s">
        <v>42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9"/>
    </row>
    <row r="43" spans="1:12" ht="43.5" customHeight="1" x14ac:dyDescent="0.35">
      <c r="A43" s="49" t="s">
        <v>76</v>
      </c>
      <c r="B43" s="30" t="s">
        <v>9</v>
      </c>
      <c r="C43" s="87" t="s">
        <v>341</v>
      </c>
      <c r="D43" s="23"/>
      <c r="E43" s="24"/>
      <c r="F43" s="24"/>
      <c r="G43" s="25"/>
      <c r="H43" s="26">
        <f t="shared" si="0"/>
        <v>0</v>
      </c>
      <c r="I43" s="102"/>
      <c r="J43" s="103"/>
      <c r="K43" s="103"/>
      <c r="L43" s="104"/>
    </row>
    <row r="44" spans="1:12" ht="43.25" customHeight="1" x14ac:dyDescent="0.35">
      <c r="A44" s="50" t="s">
        <v>77</v>
      </c>
      <c r="B44" s="10" t="s">
        <v>185</v>
      </c>
      <c r="C44" s="87"/>
      <c r="D44" s="16"/>
      <c r="E44" s="5"/>
      <c r="F44" s="5"/>
      <c r="G44" s="6"/>
      <c r="H44" s="26">
        <f t="shared" si="0"/>
        <v>0</v>
      </c>
      <c r="I44" s="91"/>
      <c r="J44" s="92"/>
      <c r="K44" s="92"/>
      <c r="L44" s="93"/>
    </row>
    <row r="45" spans="1:12" ht="44" customHeight="1" x14ac:dyDescent="0.35">
      <c r="A45" s="50" t="s">
        <v>78</v>
      </c>
      <c r="B45" s="15" t="s">
        <v>186</v>
      </c>
      <c r="C45" s="87"/>
      <c r="D45" s="16"/>
      <c r="E45" s="5"/>
      <c r="F45" s="5"/>
      <c r="G45" s="6"/>
      <c r="H45" s="26">
        <f t="shared" si="0"/>
        <v>0</v>
      </c>
      <c r="I45" s="91"/>
      <c r="J45" s="92"/>
      <c r="K45" s="92"/>
      <c r="L45" s="93"/>
    </row>
    <row r="46" spans="1:12" ht="36.5" customHeight="1" thickBot="1" x14ac:dyDescent="0.4">
      <c r="A46" s="51" t="s">
        <v>79</v>
      </c>
      <c r="B46" s="27" t="s">
        <v>187</v>
      </c>
      <c r="C46" s="87"/>
      <c r="D46" s="18"/>
      <c r="E46" s="19"/>
      <c r="F46" s="19"/>
      <c r="G46" s="20"/>
      <c r="H46" s="26">
        <f t="shared" si="0"/>
        <v>0</v>
      </c>
      <c r="I46" s="91"/>
      <c r="J46" s="92"/>
      <c r="K46" s="92"/>
      <c r="L46" s="93"/>
    </row>
    <row r="47" spans="1:12" ht="18" customHeight="1" thickBot="1" x14ac:dyDescent="0.4">
      <c r="A47" s="97" t="s">
        <v>43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9"/>
    </row>
    <row r="48" spans="1:12" ht="44" customHeight="1" x14ac:dyDescent="0.35">
      <c r="A48" s="49" t="s">
        <v>81</v>
      </c>
      <c r="B48" s="28" t="s">
        <v>188</v>
      </c>
      <c r="C48" s="87" t="s">
        <v>342</v>
      </c>
      <c r="D48" s="23"/>
      <c r="E48" s="24"/>
      <c r="F48" s="24"/>
      <c r="G48" s="25"/>
      <c r="H48" s="26">
        <f t="shared" si="0"/>
        <v>0</v>
      </c>
      <c r="I48" s="88"/>
      <c r="J48" s="89"/>
      <c r="K48" s="89"/>
      <c r="L48" s="90"/>
    </row>
    <row r="49" spans="1:12" ht="40.5" customHeight="1" x14ac:dyDescent="0.35">
      <c r="A49" s="50" t="s">
        <v>82</v>
      </c>
      <c r="B49" s="11" t="s">
        <v>80</v>
      </c>
      <c r="C49" s="87"/>
      <c r="D49" s="16"/>
      <c r="E49" s="5"/>
      <c r="F49" s="5"/>
      <c r="G49" s="6"/>
      <c r="H49" s="26">
        <f t="shared" si="0"/>
        <v>0</v>
      </c>
      <c r="I49" s="91"/>
      <c r="J49" s="92"/>
      <c r="K49" s="92"/>
      <c r="L49" s="93"/>
    </row>
    <row r="50" spans="1:12" ht="29.5" customHeight="1" x14ac:dyDescent="0.35">
      <c r="A50" s="50" t="s">
        <v>83</v>
      </c>
      <c r="B50" s="11" t="s">
        <v>189</v>
      </c>
      <c r="C50" s="87"/>
      <c r="D50" s="16"/>
      <c r="E50" s="5"/>
      <c r="F50" s="5"/>
      <c r="G50" s="6"/>
      <c r="H50" s="26">
        <f t="shared" si="0"/>
        <v>0</v>
      </c>
      <c r="I50" s="94"/>
      <c r="J50" s="95"/>
      <c r="K50" s="95"/>
      <c r="L50" s="96"/>
    </row>
    <row r="51" spans="1:12" ht="30.5" customHeight="1" x14ac:dyDescent="0.35">
      <c r="A51" s="50" t="s">
        <v>84</v>
      </c>
      <c r="B51" s="11" t="s">
        <v>190</v>
      </c>
      <c r="C51" s="87"/>
      <c r="D51" s="16"/>
      <c r="E51" s="5"/>
      <c r="F51" s="5"/>
      <c r="G51" s="6"/>
      <c r="H51" s="26">
        <f t="shared" si="0"/>
        <v>0</v>
      </c>
      <c r="I51" s="91"/>
      <c r="J51" s="92"/>
      <c r="K51" s="92"/>
      <c r="L51" s="93"/>
    </row>
    <row r="52" spans="1:12" ht="36" customHeight="1" x14ac:dyDescent="0.35">
      <c r="A52" s="50" t="s">
        <v>85</v>
      </c>
      <c r="B52" s="11" t="s">
        <v>191</v>
      </c>
      <c r="C52" s="87"/>
      <c r="D52" s="16"/>
      <c r="E52" s="5"/>
      <c r="F52" s="5"/>
      <c r="G52" s="6"/>
      <c r="H52" s="26">
        <f t="shared" si="0"/>
        <v>0</v>
      </c>
      <c r="I52" s="91"/>
      <c r="J52" s="92"/>
      <c r="K52" s="92"/>
      <c r="L52" s="93"/>
    </row>
    <row r="53" spans="1:12" ht="48" customHeight="1" x14ac:dyDescent="0.35">
      <c r="A53" s="50" t="s">
        <v>86</v>
      </c>
      <c r="B53" s="11" t="s">
        <v>192</v>
      </c>
      <c r="C53" s="87"/>
      <c r="D53" s="16"/>
      <c r="E53" s="5"/>
      <c r="F53" s="5"/>
      <c r="G53" s="6"/>
      <c r="H53" s="26">
        <f t="shared" si="0"/>
        <v>0</v>
      </c>
      <c r="I53" s="91"/>
      <c r="J53" s="92"/>
      <c r="K53" s="92"/>
      <c r="L53" s="93"/>
    </row>
    <row r="54" spans="1:12" ht="34.25" customHeight="1" x14ac:dyDescent="0.35">
      <c r="A54" s="50" t="s">
        <v>87</v>
      </c>
      <c r="B54" s="11" t="s">
        <v>193</v>
      </c>
      <c r="C54" s="87"/>
      <c r="D54" s="16"/>
      <c r="E54" s="5"/>
      <c r="F54" s="5"/>
      <c r="G54" s="6"/>
      <c r="H54" s="26">
        <f t="shared" si="0"/>
        <v>0</v>
      </c>
      <c r="I54" s="94"/>
      <c r="J54" s="95"/>
      <c r="K54" s="95"/>
      <c r="L54" s="96"/>
    </row>
    <row r="55" spans="1:12" ht="33.5" customHeight="1" thickBot="1" x14ac:dyDescent="0.4">
      <c r="A55" s="51" t="s">
        <v>88</v>
      </c>
      <c r="B55" s="17" t="s">
        <v>194</v>
      </c>
      <c r="C55" s="87"/>
      <c r="D55" s="18"/>
      <c r="E55" s="19"/>
      <c r="F55" s="19"/>
      <c r="G55" s="20"/>
      <c r="H55" s="26">
        <f t="shared" si="0"/>
        <v>0</v>
      </c>
      <c r="I55" s="91"/>
      <c r="J55" s="92"/>
      <c r="K55" s="92"/>
      <c r="L55" s="93"/>
    </row>
    <row r="56" spans="1:12" ht="18" customHeight="1" thickBot="1" x14ac:dyDescent="0.4">
      <c r="A56" s="82" t="s">
        <v>90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4"/>
    </row>
    <row r="57" spans="1:12" ht="41" customHeight="1" x14ac:dyDescent="0.35">
      <c r="A57" s="49" t="s">
        <v>89</v>
      </c>
      <c r="B57" s="21" t="s">
        <v>30</v>
      </c>
      <c r="C57" s="22"/>
      <c r="D57" s="23"/>
      <c r="E57" s="24"/>
      <c r="F57" s="24"/>
      <c r="G57" s="25"/>
      <c r="H57" s="26">
        <f t="shared" si="0"/>
        <v>0</v>
      </c>
      <c r="I57" s="85"/>
      <c r="J57" s="85"/>
      <c r="K57" s="85"/>
      <c r="L57" s="85"/>
    </row>
    <row r="58" spans="1:12" ht="18.5" x14ac:dyDescent="0.45">
      <c r="D58" s="86" t="s">
        <v>109</v>
      </c>
      <c r="E58" s="86"/>
      <c r="F58" s="86"/>
      <c r="G58" s="86"/>
      <c r="H58" s="47">
        <f>IFERROR(IF(COUNTIF(H9:H57,"&lt;&gt;No Aplica")=0,"No Aplica",AVERAGEIF(H9:H57,"&lt;&gt;No Aplica")),"No Aplica")</f>
        <v>0</v>
      </c>
    </row>
  </sheetData>
  <mergeCells count="68">
    <mergeCell ref="A1:L3"/>
    <mergeCell ref="A4:L4"/>
    <mergeCell ref="A5:A7"/>
    <mergeCell ref="B5:B7"/>
    <mergeCell ref="C5:C7"/>
    <mergeCell ref="D5:H5"/>
    <mergeCell ref="I5:L7"/>
    <mergeCell ref="H6:H7"/>
    <mergeCell ref="A8:L8"/>
    <mergeCell ref="C9:C12"/>
    <mergeCell ref="I9:L9"/>
    <mergeCell ref="I10:L10"/>
    <mergeCell ref="I11:L11"/>
    <mergeCell ref="I12:L12"/>
    <mergeCell ref="C17:C20"/>
    <mergeCell ref="I17:L17"/>
    <mergeCell ref="I18:L18"/>
    <mergeCell ref="I19:L19"/>
    <mergeCell ref="I20:L20"/>
    <mergeCell ref="C13:C15"/>
    <mergeCell ref="I13:L13"/>
    <mergeCell ref="I14:L14"/>
    <mergeCell ref="I15:L15"/>
    <mergeCell ref="A16:L16"/>
    <mergeCell ref="A21:L21"/>
    <mergeCell ref="C22:C25"/>
    <mergeCell ref="I22:L22"/>
    <mergeCell ref="I23:L23"/>
    <mergeCell ref="I24:L24"/>
    <mergeCell ref="I25:L25"/>
    <mergeCell ref="A26:L26"/>
    <mergeCell ref="C27:C30"/>
    <mergeCell ref="I27:L27"/>
    <mergeCell ref="I28:L28"/>
    <mergeCell ref="I29:L29"/>
    <mergeCell ref="I30:L30"/>
    <mergeCell ref="A31:L31"/>
    <mergeCell ref="C32:C37"/>
    <mergeCell ref="I32:L32"/>
    <mergeCell ref="I33:L33"/>
    <mergeCell ref="I34:L34"/>
    <mergeCell ref="I35:L35"/>
    <mergeCell ref="I36:L36"/>
    <mergeCell ref="I37:L37"/>
    <mergeCell ref="A47:L47"/>
    <mergeCell ref="A38:L38"/>
    <mergeCell ref="C39:C41"/>
    <mergeCell ref="I39:L39"/>
    <mergeCell ref="I40:L40"/>
    <mergeCell ref="I41:L41"/>
    <mergeCell ref="A42:L42"/>
    <mergeCell ref="C43:C46"/>
    <mergeCell ref="I43:L43"/>
    <mergeCell ref="I44:L44"/>
    <mergeCell ref="I45:L45"/>
    <mergeCell ref="I46:L46"/>
    <mergeCell ref="A56:L56"/>
    <mergeCell ref="I57:L57"/>
    <mergeCell ref="D58:G58"/>
    <mergeCell ref="C48:C55"/>
    <mergeCell ref="I48:L48"/>
    <mergeCell ref="I49:L49"/>
    <mergeCell ref="I50:L50"/>
    <mergeCell ref="I51:L51"/>
    <mergeCell ref="I52:L52"/>
    <mergeCell ref="I53:L53"/>
    <mergeCell ref="I54:L54"/>
    <mergeCell ref="I55:L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E9A6-CEE1-44B4-8B42-456E499A181A}">
  <dimension ref="A1:L49"/>
  <sheetViews>
    <sheetView topLeftCell="A43" zoomScaleNormal="100" workbookViewId="0">
      <selection activeCell="B11" sqref="B11"/>
    </sheetView>
  </sheetViews>
  <sheetFormatPr baseColWidth="10" defaultRowHeight="14.5" x14ac:dyDescent="0.35"/>
  <cols>
    <col min="1" max="1" width="4.81640625" style="7" customWidth="1"/>
    <col min="2" max="2" width="51.54296875" customWidth="1"/>
    <col min="3" max="3" width="22" customWidth="1"/>
    <col min="12" max="12" width="13" customWidth="1"/>
  </cols>
  <sheetData>
    <row r="1" spans="1:12" ht="20" customHeight="1" x14ac:dyDescent="0.35">
      <c r="A1" s="144" t="s">
        <v>103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2" ht="20" customHeight="1" x14ac:dyDescent="0.35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20" customHeight="1" x14ac:dyDescent="0.35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2" ht="16" x14ac:dyDescent="0.4">
      <c r="A4" s="145" t="s">
        <v>343</v>
      </c>
      <c r="B4" s="145"/>
      <c r="C4" s="145"/>
      <c r="D4" s="145"/>
      <c r="E4" s="145"/>
      <c r="F4" s="145"/>
      <c r="G4" s="145"/>
    </row>
    <row r="5" spans="1:12" x14ac:dyDescent="0.35">
      <c r="A5" s="146" t="s">
        <v>1</v>
      </c>
      <c r="B5" s="118" t="s">
        <v>11</v>
      </c>
      <c r="C5" s="118" t="s">
        <v>12</v>
      </c>
      <c r="D5" s="121" t="s">
        <v>13</v>
      </c>
      <c r="E5" s="121"/>
      <c r="F5" s="121"/>
      <c r="G5" s="121"/>
      <c r="H5" s="121"/>
      <c r="I5" s="118" t="s">
        <v>14</v>
      </c>
      <c r="J5" s="118"/>
      <c r="K5" s="118"/>
      <c r="L5" s="118"/>
    </row>
    <row r="6" spans="1:12" x14ac:dyDescent="0.35">
      <c r="A6" s="146"/>
      <c r="B6" s="118"/>
      <c r="C6" s="118"/>
      <c r="D6" s="1" t="s">
        <v>0</v>
      </c>
      <c r="E6" s="2" t="s">
        <v>47</v>
      </c>
      <c r="F6" s="3" t="s">
        <v>3</v>
      </c>
      <c r="G6" s="4" t="s">
        <v>2</v>
      </c>
      <c r="H6" s="118" t="s">
        <v>10</v>
      </c>
      <c r="I6" s="118"/>
      <c r="J6" s="118"/>
      <c r="K6" s="118"/>
      <c r="L6" s="118"/>
    </row>
    <row r="7" spans="1:12" ht="15" thickBot="1" x14ac:dyDescent="0.4">
      <c r="A7" s="147"/>
      <c r="B7" s="119"/>
      <c r="C7" s="119"/>
      <c r="D7" s="32">
        <v>0.25</v>
      </c>
      <c r="E7" s="32">
        <v>0.5</v>
      </c>
      <c r="F7" s="32">
        <v>1</v>
      </c>
      <c r="G7" s="19" t="s">
        <v>5</v>
      </c>
      <c r="H7" s="119"/>
      <c r="I7" s="119"/>
      <c r="J7" s="119"/>
      <c r="K7" s="119"/>
      <c r="L7" s="119"/>
    </row>
    <row r="8" spans="1:12" s="44" customFormat="1" ht="18" customHeight="1" thickBot="1" x14ac:dyDescent="0.4">
      <c r="A8" s="140" t="s">
        <v>36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2"/>
    </row>
    <row r="9" spans="1:12" ht="28" x14ac:dyDescent="0.35">
      <c r="A9" s="49" t="s">
        <v>48</v>
      </c>
      <c r="B9" s="21" t="s">
        <v>227</v>
      </c>
      <c r="C9" s="133" t="s">
        <v>163</v>
      </c>
      <c r="D9" s="36"/>
      <c r="E9" s="36"/>
      <c r="F9" s="36"/>
      <c r="G9" s="36"/>
      <c r="H9" s="26">
        <f>IF(G9="X","No Aplica",MAX(IF(D9="X",0.25,0),IF(E9="X",0.5,0),IF(F9="X",1,0)))</f>
        <v>0</v>
      </c>
      <c r="I9" s="139"/>
      <c r="J9" s="139"/>
      <c r="K9" s="139"/>
      <c r="L9" s="139"/>
    </row>
    <row r="10" spans="1:12" ht="28.5" x14ac:dyDescent="0.35">
      <c r="A10" s="50" t="s">
        <v>49</v>
      </c>
      <c r="B10" s="10" t="s">
        <v>354</v>
      </c>
      <c r="C10" s="133"/>
      <c r="D10" s="36"/>
      <c r="E10" s="36"/>
      <c r="F10" s="36"/>
      <c r="G10" s="36"/>
      <c r="H10" s="26">
        <f t="shared" ref="H10:H48" si="0">IF(G10="X","No Aplica",MAX(IF(D10="X",0.25,0),IF(E10="X",0.5,0),IF(F10="X",1,0)))</f>
        <v>0</v>
      </c>
      <c r="I10" s="100"/>
      <c r="J10" s="100"/>
      <c r="K10" s="100"/>
      <c r="L10" s="100"/>
    </row>
    <row r="11" spans="1:12" ht="42.5" x14ac:dyDescent="0.35">
      <c r="A11" s="50" t="s">
        <v>50</v>
      </c>
      <c r="B11" s="10" t="s">
        <v>228</v>
      </c>
      <c r="C11" s="133"/>
      <c r="D11" s="36"/>
      <c r="E11" s="36"/>
      <c r="F11" s="36"/>
      <c r="G11" s="36"/>
      <c r="H11" s="26">
        <f t="shared" si="0"/>
        <v>0</v>
      </c>
      <c r="I11" s="143"/>
      <c r="J11" s="143"/>
      <c r="K11" s="143"/>
      <c r="L11" s="143"/>
    </row>
    <row r="12" spans="1:12" ht="28.5" x14ac:dyDescent="0.35">
      <c r="A12" s="50" t="s">
        <v>51</v>
      </c>
      <c r="B12" s="10" t="s">
        <v>229</v>
      </c>
      <c r="C12" s="133"/>
      <c r="D12" s="36"/>
      <c r="E12" s="36"/>
      <c r="F12" s="36"/>
      <c r="G12" s="36"/>
      <c r="H12" s="26">
        <f t="shared" si="0"/>
        <v>0</v>
      </c>
      <c r="I12" s="138"/>
      <c r="J12" s="138"/>
      <c r="K12" s="138"/>
      <c r="L12" s="138"/>
    </row>
    <row r="13" spans="1:12" ht="28" x14ac:dyDescent="0.35">
      <c r="A13" s="50" t="s">
        <v>52</v>
      </c>
      <c r="B13" s="11" t="s">
        <v>230</v>
      </c>
      <c r="C13" s="133"/>
      <c r="D13" s="36"/>
      <c r="E13" s="36"/>
      <c r="F13" s="36"/>
      <c r="G13" s="36"/>
      <c r="H13" s="26">
        <f t="shared" si="0"/>
        <v>0</v>
      </c>
      <c r="I13" s="100"/>
      <c r="J13" s="100"/>
      <c r="K13" s="100"/>
      <c r="L13" s="100"/>
    </row>
    <row r="14" spans="1:12" ht="40.25" customHeight="1" thickBot="1" x14ac:dyDescent="0.4">
      <c r="A14" s="51" t="s">
        <v>53</v>
      </c>
      <c r="B14" s="17" t="s">
        <v>44</v>
      </c>
      <c r="C14" s="133"/>
      <c r="D14" s="43"/>
      <c r="E14" s="43"/>
      <c r="F14" s="36"/>
      <c r="G14" s="43"/>
      <c r="H14" s="26">
        <f t="shared" si="0"/>
        <v>0</v>
      </c>
      <c r="I14" s="101"/>
      <c r="J14" s="101"/>
      <c r="K14" s="101"/>
      <c r="L14" s="101"/>
    </row>
    <row r="15" spans="1:12" s="44" customFormat="1" ht="18" customHeight="1" thickBot="1" x14ac:dyDescent="0.4">
      <c r="A15" s="82" t="s">
        <v>37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ht="42.5" x14ac:dyDescent="0.35">
      <c r="A16" s="49" t="s">
        <v>55</v>
      </c>
      <c r="B16" s="30" t="s">
        <v>45</v>
      </c>
      <c r="C16" s="133" t="s">
        <v>331</v>
      </c>
      <c r="D16" s="36"/>
      <c r="E16" s="36"/>
      <c r="F16" s="36"/>
      <c r="G16" s="36"/>
      <c r="H16" s="26">
        <f t="shared" si="0"/>
        <v>0</v>
      </c>
      <c r="I16" s="123"/>
      <c r="J16" s="123"/>
      <c r="K16" s="123"/>
      <c r="L16" s="124"/>
    </row>
    <row r="17" spans="1:12" ht="28.5" x14ac:dyDescent="0.35">
      <c r="A17" s="50" t="s">
        <v>56</v>
      </c>
      <c r="B17" s="10" t="s">
        <v>16</v>
      </c>
      <c r="C17" s="133"/>
      <c r="D17" s="36"/>
      <c r="E17" s="36"/>
      <c r="F17" s="36"/>
      <c r="G17" s="36"/>
      <c r="H17" s="26">
        <f t="shared" si="0"/>
        <v>0</v>
      </c>
      <c r="I17" s="95"/>
      <c r="J17" s="95"/>
      <c r="K17" s="95"/>
      <c r="L17" s="96"/>
    </row>
    <row r="18" spans="1:12" ht="42.5" x14ac:dyDescent="0.35">
      <c r="A18" s="50" t="s">
        <v>57</v>
      </c>
      <c r="B18" s="10" t="s">
        <v>17</v>
      </c>
      <c r="C18" s="133"/>
      <c r="D18" s="36"/>
      <c r="E18" s="36"/>
      <c r="F18" s="36"/>
      <c r="G18" s="36"/>
      <c r="H18" s="26">
        <f t="shared" si="0"/>
        <v>0</v>
      </c>
      <c r="I18" s="95"/>
      <c r="J18" s="95"/>
      <c r="K18" s="95"/>
      <c r="L18" s="96"/>
    </row>
    <row r="19" spans="1:12" ht="43" thickBot="1" x14ac:dyDescent="0.4">
      <c r="A19" s="51" t="s">
        <v>58</v>
      </c>
      <c r="B19" s="29" t="s">
        <v>18</v>
      </c>
      <c r="C19" s="133"/>
      <c r="D19" s="43"/>
      <c r="E19" s="43"/>
      <c r="F19" s="36"/>
      <c r="G19" s="43"/>
      <c r="H19" s="26">
        <f t="shared" si="0"/>
        <v>0</v>
      </c>
      <c r="I19" s="92"/>
      <c r="J19" s="92"/>
      <c r="K19" s="92"/>
      <c r="L19" s="93"/>
    </row>
    <row r="20" spans="1:12" s="44" customFormat="1" ht="18" customHeight="1" thickBot="1" x14ac:dyDescent="0.4">
      <c r="A20" s="82" t="s">
        <v>38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ht="45" customHeight="1" x14ac:dyDescent="0.35">
      <c r="A21" s="49" t="s">
        <v>59</v>
      </c>
      <c r="B21" s="21" t="s">
        <v>104</v>
      </c>
      <c r="C21" s="133" t="s">
        <v>332</v>
      </c>
      <c r="D21" s="36"/>
      <c r="E21" s="36"/>
      <c r="F21" s="36"/>
      <c r="G21" s="36"/>
      <c r="H21" s="26">
        <f t="shared" si="0"/>
        <v>0</v>
      </c>
      <c r="I21" s="139"/>
      <c r="J21" s="139"/>
      <c r="K21" s="139"/>
      <c r="L21" s="139"/>
    </row>
    <row r="22" spans="1:12" ht="42.5" x14ac:dyDescent="0.35">
      <c r="A22" s="50" t="s">
        <v>60</v>
      </c>
      <c r="B22" s="10" t="s">
        <v>20</v>
      </c>
      <c r="C22" s="133"/>
      <c r="D22" s="36"/>
      <c r="E22" s="36"/>
      <c r="F22" s="36"/>
      <c r="G22" s="36"/>
      <c r="H22" s="26">
        <f t="shared" si="0"/>
        <v>0</v>
      </c>
      <c r="I22" s="100"/>
      <c r="J22" s="100"/>
      <c r="K22" s="100"/>
      <c r="L22" s="100"/>
    </row>
    <row r="23" spans="1:12" ht="42" x14ac:dyDescent="0.35">
      <c r="A23" s="50" t="s">
        <v>61</v>
      </c>
      <c r="B23" s="11" t="s">
        <v>31</v>
      </c>
      <c r="C23" s="133"/>
      <c r="D23" s="36"/>
      <c r="E23" s="36"/>
      <c r="F23" s="36"/>
      <c r="G23" s="36"/>
      <c r="H23" s="26">
        <f t="shared" si="0"/>
        <v>0</v>
      </c>
      <c r="I23" s="100"/>
      <c r="J23" s="100"/>
      <c r="K23" s="100"/>
      <c r="L23" s="100"/>
    </row>
    <row r="24" spans="1:12" ht="42.5" thickBot="1" x14ac:dyDescent="0.4">
      <c r="A24" s="51" t="s">
        <v>62</v>
      </c>
      <c r="B24" s="17" t="s">
        <v>231</v>
      </c>
      <c r="C24" s="133"/>
      <c r="D24" s="43"/>
      <c r="E24" s="43"/>
      <c r="F24" s="36"/>
      <c r="G24" s="43"/>
      <c r="H24" s="26">
        <f t="shared" si="0"/>
        <v>0</v>
      </c>
      <c r="I24" s="101"/>
      <c r="J24" s="101"/>
      <c r="K24" s="101"/>
      <c r="L24" s="101"/>
    </row>
    <row r="25" spans="1:12" s="44" customFormat="1" ht="18" customHeight="1" thickBot="1" x14ac:dyDescent="0.4">
      <c r="A25" s="82" t="s">
        <v>93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2" ht="28.5" thickBot="1" x14ac:dyDescent="0.4">
      <c r="A26" s="52" t="s">
        <v>63</v>
      </c>
      <c r="B26" s="41" t="s">
        <v>15</v>
      </c>
      <c r="C26" s="14" t="s">
        <v>32</v>
      </c>
      <c r="D26" s="43"/>
      <c r="E26" s="43"/>
      <c r="F26" s="43"/>
      <c r="G26" s="43"/>
      <c r="H26" s="26">
        <f t="shared" si="0"/>
        <v>0</v>
      </c>
      <c r="I26" s="135"/>
      <c r="J26" s="135"/>
      <c r="K26" s="135"/>
      <c r="L26" s="135"/>
    </row>
    <row r="27" spans="1:12" s="44" customFormat="1" ht="18" customHeight="1" thickBot="1" x14ac:dyDescent="0.4">
      <c r="A27" s="82" t="s">
        <v>94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ht="28" x14ac:dyDescent="0.35">
      <c r="A28" s="49" t="s">
        <v>67</v>
      </c>
      <c r="B28" s="21" t="s">
        <v>232</v>
      </c>
      <c r="C28" s="136" t="s">
        <v>33</v>
      </c>
      <c r="D28" s="36"/>
      <c r="E28" s="36"/>
      <c r="F28" s="36"/>
      <c r="G28" s="36"/>
      <c r="H28" s="26">
        <f t="shared" si="0"/>
        <v>0</v>
      </c>
      <c r="I28" s="137"/>
      <c r="J28" s="137"/>
      <c r="K28" s="137"/>
      <c r="L28" s="137"/>
    </row>
    <row r="29" spans="1:12" ht="28" x14ac:dyDescent="0.35">
      <c r="A29" s="50" t="s">
        <v>68</v>
      </c>
      <c r="B29" s="11" t="s">
        <v>233</v>
      </c>
      <c r="C29" s="136"/>
      <c r="D29" s="36"/>
      <c r="E29" s="36"/>
      <c r="F29" s="36"/>
      <c r="G29" s="36"/>
      <c r="H29" s="26">
        <f t="shared" si="0"/>
        <v>0</v>
      </c>
      <c r="I29" s="138"/>
      <c r="J29" s="138"/>
      <c r="K29" s="138"/>
      <c r="L29" s="138"/>
    </row>
    <row r="30" spans="1:12" ht="42" x14ac:dyDescent="0.35">
      <c r="A30" s="50" t="s">
        <v>69</v>
      </c>
      <c r="B30" s="11" t="s">
        <v>19</v>
      </c>
      <c r="C30" s="136"/>
      <c r="D30" s="36"/>
      <c r="E30" s="36"/>
      <c r="F30" s="36"/>
      <c r="G30" s="36"/>
      <c r="H30" s="26">
        <f t="shared" si="0"/>
        <v>0</v>
      </c>
      <c r="I30" s="100"/>
      <c r="J30" s="100"/>
      <c r="K30" s="100"/>
      <c r="L30" s="100"/>
    </row>
    <row r="31" spans="1:12" ht="28.5" thickBot="1" x14ac:dyDescent="0.4">
      <c r="A31" s="51" t="s">
        <v>70</v>
      </c>
      <c r="B31" s="17" t="s">
        <v>234</v>
      </c>
      <c r="C31" s="136"/>
      <c r="D31" s="43"/>
      <c r="E31" s="43"/>
      <c r="F31" s="43"/>
      <c r="G31" s="36"/>
      <c r="H31" s="26">
        <f t="shared" si="0"/>
        <v>0</v>
      </c>
      <c r="I31" s="101"/>
      <c r="J31" s="101"/>
      <c r="K31" s="101"/>
      <c r="L31" s="101"/>
    </row>
    <row r="32" spans="1:12" s="44" customFormat="1" ht="18" customHeight="1" thickBot="1" x14ac:dyDescent="0.4">
      <c r="A32" s="97" t="s">
        <v>105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</row>
    <row r="33" spans="1:12" ht="28.5" x14ac:dyDescent="0.35">
      <c r="A33" s="49" t="s">
        <v>73</v>
      </c>
      <c r="B33" s="30" t="s">
        <v>235</v>
      </c>
      <c r="C33" s="133" t="s">
        <v>333</v>
      </c>
      <c r="D33" s="36"/>
      <c r="E33" s="36"/>
      <c r="F33" s="36"/>
      <c r="G33" s="36"/>
      <c r="H33" s="26">
        <f t="shared" si="0"/>
        <v>0</v>
      </c>
      <c r="I33" s="85"/>
      <c r="J33" s="85"/>
      <c r="K33" s="85"/>
      <c r="L33" s="85"/>
    </row>
    <row r="34" spans="1:12" ht="42" x14ac:dyDescent="0.35">
      <c r="A34" s="50" t="s">
        <v>74</v>
      </c>
      <c r="B34" s="11" t="s">
        <v>236</v>
      </c>
      <c r="C34" s="133"/>
      <c r="D34" s="36"/>
      <c r="E34" s="36"/>
      <c r="F34" s="36"/>
      <c r="G34" s="36"/>
      <c r="H34" s="26">
        <f t="shared" si="0"/>
        <v>0</v>
      </c>
      <c r="I34" s="100"/>
      <c r="J34" s="100"/>
      <c r="K34" s="100"/>
      <c r="L34" s="100"/>
    </row>
    <row r="35" spans="1:12" ht="42.5" x14ac:dyDescent="0.35">
      <c r="A35" s="50" t="s">
        <v>75</v>
      </c>
      <c r="B35" s="10" t="s">
        <v>46</v>
      </c>
      <c r="C35" s="133"/>
      <c r="D35" s="36"/>
      <c r="E35" s="36"/>
      <c r="F35" s="36"/>
      <c r="G35" s="36"/>
      <c r="H35" s="26">
        <f t="shared" si="0"/>
        <v>0</v>
      </c>
      <c r="I35" s="100"/>
      <c r="J35" s="100"/>
      <c r="K35" s="100"/>
      <c r="L35" s="100"/>
    </row>
    <row r="36" spans="1:12" ht="42" x14ac:dyDescent="0.35">
      <c r="A36" s="50" t="s">
        <v>95</v>
      </c>
      <c r="B36" s="11" t="s">
        <v>237</v>
      </c>
      <c r="C36" s="133"/>
      <c r="D36" s="36"/>
      <c r="E36" s="36"/>
      <c r="F36" s="36"/>
      <c r="G36" s="36"/>
      <c r="H36" s="26">
        <f t="shared" si="0"/>
        <v>0</v>
      </c>
      <c r="I36" s="100"/>
      <c r="J36" s="100"/>
      <c r="K36" s="100"/>
      <c r="L36" s="100"/>
    </row>
    <row r="37" spans="1:12" ht="47" customHeight="1" thickBot="1" x14ac:dyDescent="0.4">
      <c r="A37" s="51" t="s">
        <v>106</v>
      </c>
      <c r="B37" s="17" t="s">
        <v>238</v>
      </c>
      <c r="C37" s="133"/>
      <c r="D37" s="43"/>
      <c r="E37" s="43"/>
      <c r="F37" s="43"/>
      <c r="G37" s="43"/>
      <c r="H37" s="26">
        <f t="shared" si="0"/>
        <v>0</v>
      </c>
      <c r="I37" s="134"/>
      <c r="J37" s="134"/>
      <c r="K37" s="134"/>
      <c r="L37" s="134"/>
    </row>
    <row r="38" spans="1:12" s="44" customFormat="1" ht="18" customHeight="1" thickBot="1" x14ac:dyDescent="0.4">
      <c r="A38" s="97" t="s">
        <v>107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9"/>
    </row>
    <row r="39" spans="1:12" ht="42.65" customHeight="1" x14ac:dyDescent="0.35">
      <c r="A39" s="49" t="s">
        <v>76</v>
      </c>
      <c r="B39" s="45" t="s">
        <v>239</v>
      </c>
      <c r="C39" s="125" t="s">
        <v>334</v>
      </c>
      <c r="D39" s="36"/>
      <c r="E39" s="36"/>
      <c r="F39" s="36"/>
      <c r="G39" s="36"/>
      <c r="H39" s="26">
        <f t="shared" si="0"/>
        <v>0</v>
      </c>
      <c r="I39" s="126"/>
      <c r="J39" s="126"/>
      <c r="K39" s="126"/>
      <c r="L39" s="126"/>
    </row>
    <row r="40" spans="1:12" ht="28" x14ac:dyDescent="0.35">
      <c r="A40" s="50" t="s">
        <v>77</v>
      </c>
      <c r="B40" s="11" t="s">
        <v>240</v>
      </c>
      <c r="C40" s="125"/>
      <c r="D40" s="36"/>
      <c r="E40" s="36"/>
      <c r="F40" s="36"/>
      <c r="G40" s="36"/>
      <c r="H40" s="26">
        <f t="shared" si="0"/>
        <v>0</v>
      </c>
      <c r="I40" s="127"/>
      <c r="J40" s="127"/>
      <c r="K40" s="127"/>
      <c r="L40" s="127"/>
    </row>
    <row r="41" spans="1:12" ht="28.5" x14ac:dyDescent="0.35">
      <c r="A41" s="50" t="s">
        <v>78</v>
      </c>
      <c r="B41" s="10" t="s">
        <v>241</v>
      </c>
      <c r="C41" s="125"/>
      <c r="D41" s="36"/>
      <c r="E41" s="36"/>
      <c r="F41" s="36"/>
      <c r="G41" s="36"/>
      <c r="H41" s="26">
        <f t="shared" si="0"/>
        <v>0</v>
      </c>
      <c r="I41" s="128"/>
      <c r="J41" s="128"/>
      <c r="K41" s="128"/>
      <c r="L41" s="128"/>
    </row>
    <row r="42" spans="1:12" ht="42.65" customHeight="1" x14ac:dyDescent="0.35">
      <c r="A42" s="50" t="s">
        <v>79</v>
      </c>
      <c r="B42" s="11" t="s">
        <v>242</v>
      </c>
      <c r="C42" s="125"/>
      <c r="D42" s="36"/>
      <c r="E42" s="36"/>
      <c r="F42" s="36"/>
      <c r="G42" s="36"/>
      <c r="H42" s="26">
        <f t="shared" si="0"/>
        <v>0</v>
      </c>
      <c r="I42" s="129"/>
      <c r="J42" s="129"/>
      <c r="K42" s="129"/>
      <c r="L42" s="129"/>
    </row>
    <row r="43" spans="1:12" ht="42.5" x14ac:dyDescent="0.35">
      <c r="A43" s="50" t="s">
        <v>96</v>
      </c>
      <c r="B43" s="10" t="s">
        <v>243</v>
      </c>
      <c r="C43" s="125"/>
      <c r="D43" s="36"/>
      <c r="E43" s="36"/>
      <c r="F43" s="36"/>
      <c r="G43" s="36"/>
      <c r="H43" s="26">
        <f t="shared" si="0"/>
        <v>0</v>
      </c>
      <c r="I43" s="128"/>
      <c r="J43" s="128"/>
      <c r="K43" s="128"/>
      <c r="L43" s="128"/>
    </row>
    <row r="44" spans="1:12" ht="42" x14ac:dyDescent="0.35">
      <c r="A44" s="50" t="s">
        <v>97</v>
      </c>
      <c r="B44" s="11" t="s">
        <v>244</v>
      </c>
      <c r="C44" s="125"/>
      <c r="D44" s="36"/>
      <c r="E44" s="36"/>
      <c r="F44" s="36"/>
      <c r="G44" s="36"/>
      <c r="H44" s="26">
        <f t="shared" si="0"/>
        <v>0</v>
      </c>
      <c r="I44" s="130"/>
      <c r="J44" s="130"/>
      <c r="K44" s="130"/>
      <c r="L44" s="130"/>
    </row>
    <row r="45" spans="1:12" ht="28" x14ac:dyDescent="0.35">
      <c r="A45" s="50" t="s">
        <v>98</v>
      </c>
      <c r="B45" s="11" t="s">
        <v>245</v>
      </c>
      <c r="C45" s="125"/>
      <c r="D45" s="36"/>
      <c r="E45" s="36"/>
      <c r="F45" s="36"/>
      <c r="G45" s="36"/>
      <c r="H45" s="26">
        <f t="shared" si="0"/>
        <v>0</v>
      </c>
      <c r="I45" s="131"/>
      <c r="J45" s="131"/>
      <c r="K45" s="131"/>
      <c r="L45" s="131"/>
    </row>
    <row r="46" spans="1:12" ht="28.5" thickBot="1" x14ac:dyDescent="0.4">
      <c r="A46" s="51" t="s">
        <v>99</v>
      </c>
      <c r="B46" s="17" t="s">
        <v>246</v>
      </c>
      <c r="C46" s="125"/>
      <c r="D46" s="43"/>
      <c r="E46" s="43"/>
      <c r="F46" s="36"/>
      <c r="G46" s="43"/>
      <c r="H46" s="26">
        <f t="shared" si="0"/>
        <v>0</v>
      </c>
      <c r="I46" s="132"/>
      <c r="J46" s="132"/>
      <c r="K46" s="132"/>
      <c r="L46" s="132"/>
    </row>
    <row r="47" spans="1:12" s="44" customFormat="1" ht="18" customHeight="1" thickBot="1" x14ac:dyDescent="0.4">
      <c r="A47" s="97" t="s">
        <v>108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9"/>
    </row>
    <row r="48" spans="1:12" ht="42" x14ac:dyDescent="0.35">
      <c r="A48" s="49" t="s">
        <v>81</v>
      </c>
      <c r="B48" s="21" t="s">
        <v>247</v>
      </c>
      <c r="C48" s="46"/>
      <c r="D48" s="36"/>
      <c r="E48" s="36"/>
      <c r="F48" s="36"/>
      <c r="G48" s="36"/>
      <c r="H48" s="26">
        <f t="shared" si="0"/>
        <v>0</v>
      </c>
      <c r="I48" s="122"/>
      <c r="J48" s="123"/>
      <c r="K48" s="123"/>
      <c r="L48" s="124"/>
    </row>
    <row r="49" spans="4:8" ht="18.5" x14ac:dyDescent="0.45">
      <c r="D49" s="86" t="s">
        <v>109</v>
      </c>
      <c r="E49" s="86"/>
      <c r="F49" s="86"/>
      <c r="G49" s="86"/>
      <c r="H49" s="47">
        <f>IFERROR(IF(COUNTIF(H9:H48,"&lt;&gt;No Aplica")=0,"No Aplica",AVERAGEIF(H9:H48,"&lt;&gt;No Aplica")),"No Aplica")</f>
        <v>0</v>
      </c>
    </row>
  </sheetData>
  <mergeCells count="56">
    <mergeCell ref="A1:L3"/>
    <mergeCell ref="A4:G4"/>
    <mergeCell ref="A5:A7"/>
    <mergeCell ref="B5:B7"/>
    <mergeCell ref="C5:C7"/>
    <mergeCell ref="D5:H5"/>
    <mergeCell ref="I5:L7"/>
    <mergeCell ref="H6:H7"/>
    <mergeCell ref="A8:L8"/>
    <mergeCell ref="C9:C14"/>
    <mergeCell ref="I9:L9"/>
    <mergeCell ref="I10:L10"/>
    <mergeCell ref="I11:L11"/>
    <mergeCell ref="I12:L12"/>
    <mergeCell ref="I13:L13"/>
    <mergeCell ref="I14:L14"/>
    <mergeCell ref="A15:L15"/>
    <mergeCell ref="C16:C19"/>
    <mergeCell ref="I16:L16"/>
    <mergeCell ref="I17:L17"/>
    <mergeCell ref="I18:L18"/>
    <mergeCell ref="I19:L19"/>
    <mergeCell ref="A20:L20"/>
    <mergeCell ref="C21:C24"/>
    <mergeCell ref="I21:L21"/>
    <mergeCell ref="I22:L22"/>
    <mergeCell ref="I23:L23"/>
    <mergeCell ref="I24:L24"/>
    <mergeCell ref="A25:L25"/>
    <mergeCell ref="I26:L26"/>
    <mergeCell ref="A27:L27"/>
    <mergeCell ref="C28:C31"/>
    <mergeCell ref="I28:L28"/>
    <mergeCell ref="I29:L29"/>
    <mergeCell ref="I30:L30"/>
    <mergeCell ref="I31:L31"/>
    <mergeCell ref="A32:L32"/>
    <mergeCell ref="C33:C37"/>
    <mergeCell ref="I33:L33"/>
    <mergeCell ref="I34:L34"/>
    <mergeCell ref="I35:L35"/>
    <mergeCell ref="I36:L36"/>
    <mergeCell ref="I37:L37"/>
    <mergeCell ref="A47:L47"/>
    <mergeCell ref="I48:L48"/>
    <mergeCell ref="D49:G49"/>
    <mergeCell ref="A38:L38"/>
    <mergeCell ref="C39:C46"/>
    <mergeCell ref="I39:L39"/>
    <mergeCell ref="I40:L40"/>
    <mergeCell ref="I41:L41"/>
    <mergeCell ref="I42:L42"/>
    <mergeCell ref="I43:L43"/>
    <mergeCell ref="I44:L44"/>
    <mergeCell ref="I45:L45"/>
    <mergeCell ref="I46:L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F402-F971-4FEE-9952-4EC0901B5D55}">
  <dimension ref="A1:M28"/>
  <sheetViews>
    <sheetView topLeftCell="A24" workbookViewId="0">
      <selection activeCell="I28" sqref="I28"/>
    </sheetView>
  </sheetViews>
  <sheetFormatPr baseColWidth="10" defaultRowHeight="14.5" x14ac:dyDescent="0.35"/>
  <cols>
    <col min="1" max="1" width="4.1796875" style="8" customWidth="1"/>
    <col min="2" max="2" width="70.81640625" customWidth="1"/>
    <col min="3" max="3" width="28.54296875" customWidth="1"/>
    <col min="4" max="4" width="39.1796875" customWidth="1"/>
    <col min="5" max="5" width="10.1796875" customWidth="1"/>
    <col min="6" max="6" width="10.81640625" customWidth="1"/>
    <col min="7" max="7" width="10.1796875" customWidth="1"/>
    <col min="8" max="8" width="11" customWidth="1"/>
    <col min="9" max="9" width="13.1796875" customWidth="1"/>
  </cols>
  <sheetData>
    <row r="1" spans="1:13" ht="47.75" customHeight="1" x14ac:dyDescent="0.35">
      <c r="A1" s="116" t="s">
        <v>344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0" customHeight="1" x14ac:dyDescent="0.35">
      <c r="A2" s="48"/>
      <c r="B2" s="148" t="s">
        <v>345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7" customHeight="1" x14ac:dyDescent="0.35">
      <c r="A3" s="117" t="s">
        <v>343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x14ac:dyDescent="0.35">
      <c r="A4" s="118" t="s">
        <v>1</v>
      </c>
      <c r="B4" s="120" t="s">
        <v>110</v>
      </c>
      <c r="C4" s="149" t="s">
        <v>111</v>
      </c>
      <c r="D4" s="118" t="s">
        <v>112</v>
      </c>
      <c r="E4" s="121" t="s">
        <v>13</v>
      </c>
      <c r="F4" s="121"/>
      <c r="G4" s="121"/>
      <c r="H4" s="121"/>
      <c r="I4" s="121"/>
      <c r="J4" s="118" t="s">
        <v>14</v>
      </c>
      <c r="K4" s="118"/>
      <c r="L4" s="118"/>
      <c r="M4" s="118"/>
    </row>
    <row r="5" spans="1:13" x14ac:dyDescent="0.35">
      <c r="A5" s="118"/>
      <c r="B5" s="118"/>
      <c r="C5" s="150"/>
      <c r="D5" s="118"/>
      <c r="E5" s="1" t="s">
        <v>0</v>
      </c>
      <c r="F5" s="2" t="s">
        <v>47</v>
      </c>
      <c r="G5" s="3" t="s">
        <v>3</v>
      </c>
      <c r="H5" s="4" t="s">
        <v>2</v>
      </c>
      <c r="I5" s="118" t="s">
        <v>10</v>
      </c>
      <c r="J5" s="118"/>
      <c r="K5" s="118"/>
      <c r="L5" s="118"/>
      <c r="M5" s="118"/>
    </row>
    <row r="6" spans="1:13" ht="15" thickBot="1" x14ac:dyDescent="0.4">
      <c r="A6" s="119"/>
      <c r="B6" s="119"/>
      <c r="C6" s="151"/>
      <c r="D6" s="119"/>
      <c r="E6" s="32">
        <v>0.25</v>
      </c>
      <c r="F6" s="32">
        <v>0.5</v>
      </c>
      <c r="G6" s="32">
        <v>1</v>
      </c>
      <c r="H6" s="19" t="s">
        <v>5</v>
      </c>
      <c r="I6" s="119"/>
      <c r="J6" s="119"/>
      <c r="K6" s="119"/>
      <c r="L6" s="119"/>
      <c r="M6" s="119"/>
    </row>
    <row r="7" spans="1:13" ht="18" customHeight="1" thickBot="1" x14ac:dyDescent="0.4">
      <c r="A7" s="97" t="s">
        <v>138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9"/>
    </row>
    <row r="8" spans="1:13" ht="101.75" customHeight="1" x14ac:dyDescent="0.35">
      <c r="A8" s="49" t="s">
        <v>48</v>
      </c>
      <c r="B8" s="65" t="s">
        <v>116</v>
      </c>
      <c r="C8" s="59" t="s">
        <v>117</v>
      </c>
      <c r="D8" s="68" t="s">
        <v>118</v>
      </c>
      <c r="E8" s="23"/>
      <c r="F8" s="24"/>
      <c r="G8" s="24"/>
      <c r="H8" s="25"/>
      <c r="I8" s="26">
        <f>IF(H8="X","No Aplica",MAX(IF(E8="X",0.25,0),IF(F8="X",0.5,0),IF(G8="X",1,0)))</f>
        <v>0</v>
      </c>
      <c r="J8" s="113"/>
      <c r="K8" s="114"/>
      <c r="L8" s="114"/>
      <c r="M8" s="115"/>
    </row>
    <row r="9" spans="1:13" ht="50.75" customHeight="1" x14ac:dyDescent="0.35">
      <c r="A9" s="49" t="s">
        <v>49</v>
      </c>
      <c r="B9" s="65" t="s">
        <v>119</v>
      </c>
      <c r="C9" s="59" t="s">
        <v>117</v>
      </c>
      <c r="D9" s="68" t="s">
        <v>122</v>
      </c>
      <c r="E9" s="23"/>
      <c r="F9" s="24"/>
      <c r="G9" s="24"/>
      <c r="H9" s="25"/>
      <c r="I9" s="26">
        <f t="shared" ref="I9:I27" si="0">IF(H9="X","No Aplica",MAX(IF(E9="X",0.25,0),IF(F9="X",0.5,0),IF(G9="X",1,0)))</f>
        <v>0</v>
      </c>
      <c r="J9" s="105"/>
      <c r="K9" s="106"/>
      <c r="L9" s="106"/>
      <c r="M9" s="107"/>
    </row>
    <row r="10" spans="1:13" ht="79.25" customHeight="1" x14ac:dyDescent="0.35">
      <c r="A10" s="49" t="s">
        <v>50</v>
      </c>
      <c r="B10" s="65" t="s">
        <v>120</v>
      </c>
      <c r="C10" s="59" t="s">
        <v>117</v>
      </c>
      <c r="D10" s="68" t="s">
        <v>164</v>
      </c>
      <c r="E10" s="16"/>
      <c r="F10" s="5"/>
      <c r="G10" s="5"/>
      <c r="H10" s="25"/>
      <c r="I10" s="26">
        <f t="shared" si="0"/>
        <v>0</v>
      </c>
      <c r="J10" s="100"/>
      <c r="K10" s="100"/>
      <c r="L10" s="100"/>
      <c r="M10" s="100"/>
    </row>
    <row r="11" spans="1:13" ht="63.5" customHeight="1" x14ac:dyDescent="0.35">
      <c r="A11" s="49" t="s">
        <v>51</v>
      </c>
      <c r="B11" s="65" t="s">
        <v>123</v>
      </c>
      <c r="C11" s="59" t="s">
        <v>121</v>
      </c>
      <c r="D11" s="68" t="s">
        <v>137</v>
      </c>
      <c r="E11" s="16"/>
      <c r="F11" s="5"/>
      <c r="G11" s="5"/>
      <c r="H11" s="25"/>
      <c r="I11" s="26">
        <f t="shared" si="0"/>
        <v>0</v>
      </c>
      <c r="J11" s="94"/>
      <c r="K11" s="95"/>
      <c r="L11" s="95"/>
      <c r="M11" s="96"/>
    </row>
    <row r="12" spans="1:13" ht="46.5" customHeight="1" x14ac:dyDescent="0.35">
      <c r="A12" s="49" t="s">
        <v>52</v>
      </c>
      <c r="B12" s="66" t="s">
        <v>140</v>
      </c>
      <c r="C12" s="60" t="s">
        <v>121</v>
      </c>
      <c r="D12" s="69" t="s">
        <v>139</v>
      </c>
      <c r="E12" s="16"/>
      <c r="F12" s="5"/>
      <c r="G12" s="5"/>
      <c r="H12" s="25"/>
      <c r="I12" s="26">
        <f t="shared" si="0"/>
        <v>0</v>
      </c>
      <c r="J12" s="100"/>
      <c r="K12" s="100"/>
      <c r="L12" s="100"/>
      <c r="M12" s="100"/>
    </row>
    <row r="13" spans="1:13" ht="45.5" customHeight="1" thickBot="1" x14ac:dyDescent="0.4">
      <c r="A13" s="52" t="s">
        <v>53</v>
      </c>
      <c r="B13" s="67" t="s">
        <v>141</v>
      </c>
      <c r="C13" s="61" t="s">
        <v>121</v>
      </c>
      <c r="D13" s="70" t="s">
        <v>142</v>
      </c>
      <c r="E13" s="18"/>
      <c r="F13" s="19"/>
      <c r="G13" s="19"/>
      <c r="H13" s="58"/>
      <c r="I13" s="26">
        <f t="shared" si="0"/>
        <v>0</v>
      </c>
      <c r="J13" s="101"/>
      <c r="K13" s="101"/>
      <c r="L13" s="101"/>
      <c r="M13" s="101"/>
    </row>
    <row r="14" spans="1:13" ht="18" customHeight="1" thickBot="1" x14ac:dyDescent="0.4">
      <c r="A14" s="97" t="s">
        <v>143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9"/>
    </row>
    <row r="15" spans="1:13" ht="45.5" customHeight="1" x14ac:dyDescent="0.35">
      <c r="A15" s="49" t="s">
        <v>55</v>
      </c>
      <c r="B15" s="63" t="s">
        <v>124</v>
      </c>
      <c r="C15" s="62" t="s">
        <v>121</v>
      </c>
      <c r="D15" s="71" t="s">
        <v>125</v>
      </c>
      <c r="E15" s="16"/>
      <c r="F15" s="5"/>
      <c r="G15" s="5"/>
      <c r="H15" s="25"/>
      <c r="I15" s="26">
        <f t="shared" si="0"/>
        <v>0</v>
      </c>
      <c r="J15" s="152"/>
      <c r="K15" s="152"/>
      <c r="L15" s="152"/>
      <c r="M15" s="152"/>
    </row>
    <row r="16" spans="1:13" ht="69.5" customHeight="1" x14ac:dyDescent="0.35">
      <c r="A16" s="50" t="s">
        <v>56</v>
      </c>
      <c r="B16" s="64" t="s">
        <v>144</v>
      </c>
      <c r="C16" s="59" t="s">
        <v>121</v>
      </c>
      <c r="D16" s="68" t="s">
        <v>145</v>
      </c>
      <c r="E16" s="16"/>
      <c r="F16" s="5"/>
      <c r="G16" s="5"/>
      <c r="H16" s="25"/>
      <c r="I16" s="26">
        <f t="shared" si="0"/>
        <v>0</v>
      </c>
      <c r="J16" s="100"/>
      <c r="K16" s="100"/>
      <c r="L16" s="100"/>
      <c r="M16" s="100"/>
    </row>
    <row r="17" spans="1:13" ht="76.25" customHeight="1" x14ac:dyDescent="0.35">
      <c r="A17" s="50" t="s">
        <v>57</v>
      </c>
      <c r="B17" s="64" t="s">
        <v>147</v>
      </c>
      <c r="C17" s="59" t="s">
        <v>121</v>
      </c>
      <c r="D17" s="68" t="s">
        <v>165</v>
      </c>
      <c r="E17" s="16"/>
      <c r="F17" s="5"/>
      <c r="G17" s="5"/>
      <c r="H17" s="25"/>
      <c r="I17" s="26">
        <f t="shared" si="0"/>
        <v>0</v>
      </c>
      <c r="J17" s="94"/>
      <c r="K17" s="95"/>
      <c r="L17" s="95"/>
      <c r="M17" s="96"/>
    </row>
    <row r="18" spans="1:13" ht="82.5" customHeight="1" x14ac:dyDescent="0.35">
      <c r="A18" s="50" t="s">
        <v>58</v>
      </c>
      <c r="B18" s="64" t="s">
        <v>148</v>
      </c>
      <c r="C18" s="59" t="s">
        <v>121</v>
      </c>
      <c r="D18" s="59" t="s">
        <v>146</v>
      </c>
      <c r="E18" s="16"/>
      <c r="F18" s="5"/>
      <c r="G18" s="5"/>
      <c r="H18" s="25"/>
      <c r="I18" s="26">
        <f t="shared" si="0"/>
        <v>0</v>
      </c>
      <c r="J18" s="100"/>
      <c r="K18" s="100"/>
      <c r="L18" s="100"/>
      <c r="M18" s="100"/>
    </row>
    <row r="19" spans="1:13" ht="46.25" customHeight="1" x14ac:dyDescent="0.35">
      <c r="A19" s="50" t="s">
        <v>154</v>
      </c>
      <c r="B19" s="64" t="s">
        <v>150</v>
      </c>
      <c r="C19" s="59" t="s">
        <v>121</v>
      </c>
      <c r="D19" s="68" t="s">
        <v>114</v>
      </c>
      <c r="E19" s="16"/>
      <c r="F19" s="5"/>
      <c r="G19" s="5"/>
      <c r="H19" s="25"/>
      <c r="I19" s="26">
        <f t="shared" si="0"/>
        <v>0</v>
      </c>
      <c r="J19" s="94"/>
      <c r="K19" s="95"/>
      <c r="L19" s="95"/>
      <c r="M19" s="96"/>
    </row>
    <row r="20" spans="1:13" ht="61.5" customHeight="1" x14ac:dyDescent="0.35">
      <c r="A20" s="50" t="s">
        <v>155</v>
      </c>
      <c r="B20" s="64" t="s">
        <v>126</v>
      </c>
      <c r="C20" s="59" t="s">
        <v>121</v>
      </c>
      <c r="D20" s="68" t="s">
        <v>127</v>
      </c>
      <c r="E20" s="16"/>
      <c r="F20" s="5"/>
      <c r="G20" s="5"/>
      <c r="H20" s="25"/>
      <c r="I20" s="26">
        <f t="shared" si="0"/>
        <v>0</v>
      </c>
      <c r="J20" s="110"/>
      <c r="K20" s="110"/>
      <c r="L20" s="110"/>
      <c r="M20" s="110"/>
    </row>
    <row r="21" spans="1:13" ht="74.75" customHeight="1" x14ac:dyDescent="0.35">
      <c r="A21" s="50" t="s">
        <v>156</v>
      </c>
      <c r="B21" s="64" t="s">
        <v>135</v>
      </c>
      <c r="C21" s="59" t="s">
        <v>121</v>
      </c>
      <c r="D21" s="68" t="s">
        <v>136</v>
      </c>
      <c r="E21" s="16"/>
      <c r="F21" s="5"/>
      <c r="G21" s="5"/>
      <c r="H21" s="25"/>
      <c r="I21" s="26">
        <f t="shared" si="0"/>
        <v>0</v>
      </c>
      <c r="J21" s="100"/>
      <c r="K21" s="100"/>
      <c r="L21" s="100"/>
      <c r="M21" s="100"/>
    </row>
    <row r="22" spans="1:13" ht="71.75" customHeight="1" x14ac:dyDescent="0.35">
      <c r="A22" s="50" t="s">
        <v>157</v>
      </c>
      <c r="B22" s="64" t="s">
        <v>128</v>
      </c>
      <c r="C22" s="59" t="s">
        <v>121</v>
      </c>
      <c r="D22" s="68" t="s">
        <v>129</v>
      </c>
      <c r="E22" s="16"/>
      <c r="F22" s="5"/>
      <c r="G22" s="5"/>
      <c r="H22" s="25"/>
      <c r="I22" s="26">
        <f t="shared" si="0"/>
        <v>0</v>
      </c>
      <c r="J22" s="100"/>
      <c r="K22" s="100"/>
      <c r="L22" s="100"/>
      <c r="M22" s="100"/>
    </row>
    <row r="23" spans="1:13" ht="44.75" customHeight="1" x14ac:dyDescent="0.35">
      <c r="A23" s="50" t="s">
        <v>158</v>
      </c>
      <c r="B23" s="64" t="s">
        <v>149</v>
      </c>
      <c r="C23" s="59" t="s">
        <v>130</v>
      </c>
      <c r="D23" s="68" t="s">
        <v>131</v>
      </c>
      <c r="E23" s="16"/>
      <c r="F23" s="5"/>
      <c r="G23" s="5"/>
      <c r="H23" s="25"/>
      <c r="I23" s="26">
        <f t="shared" si="0"/>
        <v>0</v>
      </c>
      <c r="J23" s="100"/>
      <c r="K23" s="100"/>
      <c r="L23" s="100"/>
      <c r="M23" s="100"/>
    </row>
    <row r="24" spans="1:13" ht="46.25" customHeight="1" x14ac:dyDescent="0.35">
      <c r="A24" s="50" t="s">
        <v>159</v>
      </c>
      <c r="B24" s="64" t="s">
        <v>132</v>
      </c>
      <c r="C24" s="59" t="s">
        <v>133</v>
      </c>
      <c r="D24" s="68" t="s">
        <v>134</v>
      </c>
      <c r="E24" s="16"/>
      <c r="F24" s="5"/>
      <c r="G24" s="5"/>
      <c r="H24" s="25"/>
      <c r="I24" s="26">
        <f t="shared" si="0"/>
        <v>0</v>
      </c>
      <c r="J24" s="100"/>
      <c r="K24" s="100"/>
      <c r="L24" s="100"/>
      <c r="M24" s="100"/>
    </row>
    <row r="25" spans="1:13" ht="46.25" customHeight="1" x14ac:dyDescent="0.35">
      <c r="A25" s="50" t="s">
        <v>160</v>
      </c>
      <c r="B25" s="64" t="s">
        <v>113</v>
      </c>
      <c r="C25" s="59" t="s">
        <v>121</v>
      </c>
      <c r="D25" s="68" t="s">
        <v>153</v>
      </c>
      <c r="E25" s="16"/>
      <c r="F25" s="5"/>
      <c r="G25" s="5"/>
      <c r="H25" s="25"/>
      <c r="I25" s="26">
        <f t="shared" si="0"/>
        <v>0</v>
      </c>
      <c r="J25" s="94"/>
      <c r="K25" s="95"/>
      <c r="L25" s="95"/>
      <c r="M25" s="96"/>
    </row>
    <row r="26" spans="1:13" ht="46.25" customHeight="1" x14ac:dyDescent="0.35">
      <c r="A26" s="50" t="s">
        <v>161</v>
      </c>
      <c r="B26" s="64" t="s">
        <v>151</v>
      </c>
      <c r="C26" s="59" t="s">
        <v>121</v>
      </c>
      <c r="D26" s="68" t="s">
        <v>122</v>
      </c>
      <c r="E26" s="16"/>
      <c r="F26" s="5"/>
      <c r="G26" s="5"/>
      <c r="H26" s="25"/>
      <c r="I26" s="26">
        <f t="shared" si="0"/>
        <v>0</v>
      </c>
      <c r="J26" s="94"/>
      <c r="K26" s="95"/>
      <c r="L26" s="95"/>
      <c r="M26" s="96"/>
    </row>
    <row r="27" spans="1:13" ht="52.25" customHeight="1" x14ac:dyDescent="0.35">
      <c r="A27" s="50" t="s">
        <v>162</v>
      </c>
      <c r="B27" s="64" t="s">
        <v>152</v>
      </c>
      <c r="C27" s="59" t="s">
        <v>121</v>
      </c>
      <c r="D27" s="68" t="s">
        <v>114</v>
      </c>
      <c r="E27" s="16"/>
      <c r="F27" s="5"/>
      <c r="G27" s="5"/>
      <c r="H27" s="25"/>
      <c r="I27" s="26">
        <f t="shared" si="0"/>
        <v>0</v>
      </c>
      <c r="J27" s="94"/>
      <c r="K27" s="95"/>
      <c r="L27" s="95"/>
      <c r="M27" s="96"/>
    </row>
    <row r="28" spans="1:13" ht="18.5" x14ac:dyDescent="0.45">
      <c r="E28" s="153" t="s">
        <v>109</v>
      </c>
      <c r="F28" s="153"/>
      <c r="G28" s="153"/>
      <c r="H28" s="153"/>
      <c r="I28" s="47">
        <f>IFERROR(IF(COUNTIF(I8:I27,"&lt;&gt;No Aplica")=0,"No Aplica",AVERAGEIF(I8:I27,"&lt;&gt;No Aplica")),"No Aplica")</f>
        <v>0</v>
      </c>
    </row>
  </sheetData>
  <mergeCells count="32">
    <mergeCell ref="J26:M26"/>
    <mergeCell ref="J25:M25"/>
    <mergeCell ref="E28:H28"/>
    <mergeCell ref="A14:M14"/>
    <mergeCell ref="J17:M17"/>
    <mergeCell ref="J19:M19"/>
    <mergeCell ref="J27:M27"/>
    <mergeCell ref="J18:M18"/>
    <mergeCell ref="J22:M22"/>
    <mergeCell ref="J23:M23"/>
    <mergeCell ref="J24:M24"/>
    <mergeCell ref="J21:M21"/>
    <mergeCell ref="J12:M12"/>
    <mergeCell ref="J13:M13"/>
    <mergeCell ref="J15:M15"/>
    <mergeCell ref="J20:M20"/>
    <mergeCell ref="J16:M16"/>
    <mergeCell ref="A7:M7"/>
    <mergeCell ref="J8:M8"/>
    <mergeCell ref="J9:M9"/>
    <mergeCell ref="J10:M10"/>
    <mergeCell ref="J11:M11"/>
    <mergeCell ref="A1:M1"/>
    <mergeCell ref="B2:M2"/>
    <mergeCell ref="A3:M3"/>
    <mergeCell ref="A4:A6"/>
    <mergeCell ref="B4:B6"/>
    <mergeCell ref="C4:C6"/>
    <mergeCell ref="D4:D6"/>
    <mergeCell ref="E4:I4"/>
    <mergeCell ref="J4:M6"/>
    <mergeCell ref="I5:I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AD0-1A9D-4D14-BD33-4384C9B40D9F}">
  <dimension ref="A1:L55"/>
  <sheetViews>
    <sheetView topLeftCell="B41" workbookViewId="0">
      <selection activeCell="H9" sqref="H9"/>
    </sheetView>
  </sheetViews>
  <sheetFormatPr baseColWidth="10" defaultRowHeight="14.5" x14ac:dyDescent="0.35"/>
  <cols>
    <col min="1" max="1" width="4.453125" customWidth="1"/>
    <col min="2" max="2" width="67.1796875" customWidth="1"/>
    <col min="3" max="3" width="23.81640625" customWidth="1"/>
    <col min="9" max="9" width="5.81640625" customWidth="1"/>
    <col min="12" max="12" width="15.81640625" customWidth="1"/>
  </cols>
  <sheetData>
    <row r="1" spans="1:12" ht="20" customHeight="1" x14ac:dyDescent="0.35">
      <c r="A1" s="154" t="s">
        <v>346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0" customHeight="1" x14ac:dyDescent="0.3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1:12" ht="20" customHeight="1" x14ac:dyDescent="0.3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2" ht="16.5" thickBot="1" x14ac:dyDescent="0.45">
      <c r="A4" s="155" t="s">
        <v>343</v>
      </c>
      <c r="B4" s="156"/>
      <c r="C4" s="156"/>
      <c r="D4" s="156"/>
      <c r="E4" s="156"/>
      <c r="F4" s="156"/>
      <c r="G4" s="156"/>
      <c r="H4" s="156"/>
    </row>
    <row r="5" spans="1:12" x14ac:dyDescent="0.35">
      <c r="A5" s="157" t="s">
        <v>1</v>
      </c>
      <c r="B5" s="160" t="s">
        <v>11</v>
      </c>
      <c r="C5" s="160" t="s">
        <v>12</v>
      </c>
      <c r="D5" s="161" t="s">
        <v>13</v>
      </c>
      <c r="E5" s="161"/>
      <c r="F5" s="161"/>
      <c r="G5" s="161"/>
      <c r="H5" s="161"/>
      <c r="I5" s="160" t="s">
        <v>14</v>
      </c>
      <c r="J5" s="160"/>
      <c r="K5" s="160"/>
      <c r="L5" s="162"/>
    </row>
    <row r="6" spans="1:12" x14ac:dyDescent="0.35">
      <c r="A6" s="158"/>
      <c r="B6" s="118"/>
      <c r="C6" s="118"/>
      <c r="D6" s="1" t="s">
        <v>0</v>
      </c>
      <c r="E6" s="2" t="s">
        <v>47</v>
      </c>
      <c r="F6" s="3" t="s">
        <v>3</v>
      </c>
      <c r="G6" s="4" t="s">
        <v>2</v>
      </c>
      <c r="H6" s="118" t="s">
        <v>10</v>
      </c>
      <c r="I6" s="118"/>
      <c r="J6" s="118"/>
      <c r="K6" s="118"/>
      <c r="L6" s="163"/>
    </row>
    <row r="7" spans="1:12" ht="15" thickBot="1" x14ac:dyDescent="0.4">
      <c r="A7" s="159"/>
      <c r="B7" s="119"/>
      <c r="C7" s="119"/>
      <c r="D7" s="32">
        <v>0.25</v>
      </c>
      <c r="E7" s="32">
        <v>0.5</v>
      </c>
      <c r="F7" s="32">
        <v>1</v>
      </c>
      <c r="G7" s="19" t="s">
        <v>5</v>
      </c>
      <c r="H7" s="119"/>
      <c r="I7" s="119"/>
      <c r="J7" s="119"/>
      <c r="K7" s="119"/>
      <c r="L7" s="164"/>
    </row>
    <row r="8" spans="1:12" ht="18" customHeight="1" thickBot="1" x14ac:dyDescent="0.4">
      <c r="A8" s="82" t="s">
        <v>257</v>
      </c>
      <c r="B8" s="83"/>
      <c r="C8" s="165"/>
      <c r="D8" s="83"/>
      <c r="E8" s="83"/>
      <c r="F8" s="83"/>
      <c r="G8" s="83"/>
      <c r="H8" s="83"/>
      <c r="I8" s="83"/>
      <c r="J8" s="83"/>
      <c r="K8" s="83"/>
      <c r="L8" s="84"/>
    </row>
    <row r="9" spans="1:12" ht="34.5" customHeight="1" x14ac:dyDescent="0.35">
      <c r="A9" s="53" t="s">
        <v>48</v>
      </c>
      <c r="B9" s="33" t="s">
        <v>279</v>
      </c>
      <c r="C9" s="199" t="s">
        <v>327</v>
      </c>
      <c r="D9" s="72"/>
      <c r="E9" s="36"/>
      <c r="F9" s="36"/>
      <c r="G9" s="36"/>
      <c r="H9" s="26">
        <f>IF(G9="X","No Aplica",MAX(IF(D9="X",0.25,0),IF(E9="X",0.5,0),IF(F9="X",1,0)))</f>
        <v>0</v>
      </c>
      <c r="I9" s="166"/>
      <c r="J9" s="166"/>
      <c r="K9" s="166"/>
      <c r="L9" s="167"/>
    </row>
    <row r="10" spans="1:12" ht="34.5" customHeight="1" x14ac:dyDescent="0.35">
      <c r="A10" s="53" t="s">
        <v>49</v>
      </c>
      <c r="B10" s="33" t="s">
        <v>262</v>
      </c>
      <c r="C10" s="199"/>
      <c r="D10" s="72"/>
      <c r="E10" s="36"/>
      <c r="F10" s="36"/>
      <c r="G10" s="36"/>
      <c r="H10" s="26">
        <f t="shared" ref="H10:H45" si="0">IF(G10="X","No Aplica",MAX(IF(D10="X",0.25,0),IF(E10="X",0.5,0),IF(F10="X",1,0)))</f>
        <v>0</v>
      </c>
      <c r="I10" s="184"/>
      <c r="J10" s="201"/>
      <c r="K10" s="201"/>
      <c r="L10" s="202"/>
    </row>
    <row r="11" spans="1:12" ht="38" customHeight="1" x14ac:dyDescent="0.35">
      <c r="A11" s="54" t="s">
        <v>50</v>
      </c>
      <c r="B11" s="12" t="s">
        <v>254</v>
      </c>
      <c r="C11" s="200"/>
      <c r="D11" s="72"/>
      <c r="E11" s="34"/>
      <c r="F11" s="36"/>
      <c r="G11" s="34"/>
      <c r="H11" s="26">
        <f t="shared" si="0"/>
        <v>0</v>
      </c>
      <c r="I11" s="168"/>
      <c r="J11" s="168"/>
      <c r="K11" s="168"/>
      <c r="L11" s="169"/>
    </row>
    <row r="12" spans="1:12" ht="64.5" customHeight="1" x14ac:dyDescent="0.35">
      <c r="A12" s="54" t="s">
        <v>51</v>
      </c>
      <c r="B12" s="12" t="s">
        <v>280</v>
      </c>
      <c r="C12" s="200"/>
      <c r="D12" s="72"/>
      <c r="E12" s="34"/>
      <c r="F12" s="36"/>
      <c r="G12" s="34"/>
      <c r="H12" s="26">
        <f t="shared" si="0"/>
        <v>0</v>
      </c>
      <c r="I12" s="187"/>
      <c r="J12" s="180"/>
      <c r="K12" s="180"/>
      <c r="L12" s="181"/>
    </row>
    <row r="13" spans="1:12" ht="50" customHeight="1" x14ac:dyDescent="0.35">
      <c r="A13" s="54" t="s">
        <v>52</v>
      </c>
      <c r="B13" s="9" t="s">
        <v>263</v>
      </c>
      <c r="C13" s="200"/>
      <c r="D13" s="72"/>
      <c r="E13" s="34"/>
      <c r="F13" s="36"/>
      <c r="G13" s="34"/>
      <c r="H13" s="26">
        <f t="shared" si="0"/>
        <v>0</v>
      </c>
      <c r="I13" s="170"/>
      <c r="J13" s="170"/>
      <c r="K13" s="170"/>
      <c r="L13" s="171"/>
    </row>
    <row r="14" spans="1:12" ht="50" customHeight="1" x14ac:dyDescent="0.35">
      <c r="A14" s="54" t="s">
        <v>53</v>
      </c>
      <c r="B14" s="9" t="s">
        <v>264</v>
      </c>
      <c r="C14" s="200"/>
      <c r="D14" s="72"/>
      <c r="E14" s="34"/>
      <c r="F14" s="36"/>
      <c r="G14" s="34"/>
      <c r="H14" s="26">
        <f t="shared" si="0"/>
        <v>0</v>
      </c>
      <c r="I14" s="179"/>
      <c r="J14" s="180"/>
      <c r="K14" s="180"/>
      <c r="L14" s="181"/>
    </row>
    <row r="15" spans="1:12" ht="47.5" customHeight="1" x14ac:dyDescent="0.35">
      <c r="A15" s="54" t="s">
        <v>54</v>
      </c>
      <c r="B15" s="12" t="s">
        <v>281</v>
      </c>
      <c r="C15" s="200"/>
      <c r="D15" s="72"/>
      <c r="E15" s="34"/>
      <c r="F15" s="36"/>
      <c r="G15" s="34"/>
      <c r="H15" s="26">
        <f t="shared" si="0"/>
        <v>0</v>
      </c>
      <c r="I15" s="172"/>
      <c r="J15" s="172"/>
      <c r="K15" s="172"/>
      <c r="L15" s="173"/>
    </row>
    <row r="16" spans="1:12" ht="20" customHeight="1" x14ac:dyDescent="0.35">
      <c r="A16" s="188" t="s">
        <v>266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90"/>
    </row>
    <row r="17" spans="1:12" ht="36" customHeight="1" x14ac:dyDescent="0.35">
      <c r="A17" s="53" t="s">
        <v>55</v>
      </c>
      <c r="B17" s="33" t="s">
        <v>249</v>
      </c>
      <c r="C17" s="196" t="s">
        <v>328</v>
      </c>
      <c r="D17" s="72"/>
      <c r="E17" s="36"/>
      <c r="F17" s="36"/>
      <c r="G17" s="36"/>
      <c r="H17" s="26">
        <f t="shared" si="0"/>
        <v>0</v>
      </c>
      <c r="I17" s="182"/>
      <c r="J17" s="182"/>
      <c r="K17" s="182"/>
      <c r="L17" s="183"/>
    </row>
    <row r="18" spans="1:12" ht="60.5" customHeight="1" x14ac:dyDescent="0.35">
      <c r="A18" s="53" t="s">
        <v>56</v>
      </c>
      <c r="B18" s="33" t="s">
        <v>265</v>
      </c>
      <c r="C18" s="197"/>
      <c r="D18" s="72"/>
      <c r="E18" s="36"/>
      <c r="F18" s="36"/>
      <c r="G18" s="36"/>
      <c r="H18" s="26">
        <f t="shared" si="0"/>
        <v>0</v>
      </c>
      <c r="I18" s="184"/>
      <c r="J18" s="185"/>
      <c r="K18" s="185"/>
      <c r="L18" s="186"/>
    </row>
    <row r="19" spans="1:12" ht="50" customHeight="1" x14ac:dyDescent="0.35">
      <c r="A19" s="53" t="s">
        <v>57</v>
      </c>
      <c r="B19" s="12" t="s">
        <v>267</v>
      </c>
      <c r="C19" s="197"/>
      <c r="D19" s="72"/>
      <c r="E19" s="34"/>
      <c r="F19" s="36"/>
      <c r="G19" s="34"/>
      <c r="H19" s="26">
        <f t="shared" si="0"/>
        <v>0</v>
      </c>
      <c r="I19" s="187"/>
      <c r="J19" s="180"/>
      <c r="K19" s="180"/>
      <c r="L19" s="181"/>
    </row>
    <row r="20" spans="1:12" ht="48" customHeight="1" x14ac:dyDescent="0.35">
      <c r="A20" s="53" t="s">
        <v>58</v>
      </c>
      <c r="B20" s="12" t="s">
        <v>268</v>
      </c>
      <c r="C20" s="197"/>
      <c r="D20" s="72"/>
      <c r="E20" s="34"/>
      <c r="F20" s="36"/>
      <c r="G20" s="34"/>
      <c r="H20" s="26">
        <f t="shared" si="0"/>
        <v>0</v>
      </c>
      <c r="I20" s="187"/>
      <c r="J20" s="180"/>
      <c r="K20" s="180"/>
      <c r="L20" s="181"/>
    </row>
    <row r="21" spans="1:12" ht="58.75" customHeight="1" x14ac:dyDescent="0.35">
      <c r="A21" s="53" t="s">
        <v>154</v>
      </c>
      <c r="B21" s="12" t="s">
        <v>269</v>
      </c>
      <c r="C21" s="198"/>
      <c r="D21" s="72"/>
      <c r="E21" s="34"/>
      <c r="F21" s="36"/>
      <c r="G21" s="34"/>
      <c r="H21" s="26">
        <f t="shared" si="0"/>
        <v>0</v>
      </c>
      <c r="I21" s="168"/>
      <c r="J21" s="168"/>
      <c r="K21" s="168"/>
      <c r="L21" s="169"/>
    </row>
    <row r="22" spans="1:12" ht="30" customHeight="1" x14ac:dyDescent="0.35">
      <c r="A22" s="188" t="s">
        <v>248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90"/>
    </row>
    <row r="23" spans="1:12" ht="59.5" customHeight="1" x14ac:dyDescent="0.35">
      <c r="A23" s="53" t="s">
        <v>59</v>
      </c>
      <c r="B23" s="30" t="s">
        <v>270</v>
      </c>
      <c r="C23" s="176" t="s">
        <v>328</v>
      </c>
      <c r="D23" s="36"/>
      <c r="E23" s="36"/>
      <c r="F23" s="36"/>
      <c r="G23" s="36"/>
      <c r="H23" s="26">
        <f t="shared" si="0"/>
        <v>0</v>
      </c>
      <c r="I23" s="191"/>
      <c r="J23" s="191"/>
      <c r="K23" s="191"/>
      <c r="L23" s="192"/>
    </row>
    <row r="24" spans="1:12" ht="60.5" customHeight="1" x14ac:dyDescent="0.35">
      <c r="A24" s="54" t="s">
        <v>60</v>
      </c>
      <c r="B24" s="10" t="s">
        <v>282</v>
      </c>
      <c r="C24" s="177"/>
      <c r="D24" s="36"/>
      <c r="E24" s="34"/>
      <c r="F24" s="36"/>
      <c r="G24" s="34"/>
      <c r="H24" s="26">
        <f t="shared" si="0"/>
        <v>0</v>
      </c>
      <c r="I24" s="193"/>
      <c r="J24" s="193"/>
      <c r="K24" s="193"/>
      <c r="L24" s="194"/>
    </row>
    <row r="25" spans="1:12" ht="46.5" customHeight="1" x14ac:dyDescent="0.35">
      <c r="A25" s="54" t="s">
        <v>61</v>
      </c>
      <c r="B25" s="10" t="s">
        <v>283</v>
      </c>
      <c r="C25" s="177"/>
      <c r="D25" s="36"/>
      <c r="E25" s="34"/>
      <c r="F25" s="36"/>
      <c r="G25" s="34"/>
      <c r="H25" s="26">
        <f t="shared" si="0"/>
        <v>0</v>
      </c>
      <c r="I25" s="170"/>
      <c r="J25" s="170"/>
      <c r="K25" s="170"/>
      <c r="L25" s="171"/>
    </row>
    <row r="26" spans="1:12" ht="37" customHeight="1" x14ac:dyDescent="0.35">
      <c r="A26" s="55" t="s">
        <v>62</v>
      </c>
      <c r="B26" s="29" t="s">
        <v>271</v>
      </c>
      <c r="C26" s="177"/>
      <c r="D26" s="36"/>
      <c r="E26" s="35"/>
      <c r="F26" s="36"/>
      <c r="G26" s="35"/>
      <c r="H26" s="26">
        <f t="shared" si="0"/>
        <v>0</v>
      </c>
      <c r="I26" s="179"/>
      <c r="J26" s="180"/>
      <c r="K26" s="180"/>
      <c r="L26" s="181"/>
    </row>
    <row r="27" spans="1:12" s="44" customFormat="1" ht="61" customHeight="1" thickBot="1" x14ac:dyDescent="0.4">
      <c r="A27" s="55" t="s">
        <v>115</v>
      </c>
      <c r="B27" s="17" t="s">
        <v>272</v>
      </c>
      <c r="C27" s="178"/>
      <c r="D27" s="36"/>
      <c r="E27" s="35"/>
      <c r="F27" s="36"/>
      <c r="G27" s="35"/>
      <c r="H27" s="26">
        <f t="shared" si="0"/>
        <v>0</v>
      </c>
      <c r="I27" s="174"/>
      <c r="J27" s="174"/>
      <c r="K27" s="174"/>
      <c r="L27" s="175"/>
    </row>
    <row r="28" spans="1:12" ht="21.5" customHeight="1" thickBot="1" x14ac:dyDescent="0.4">
      <c r="A28" s="82" t="s">
        <v>261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s="44" customFormat="1" ht="62" customHeight="1" x14ac:dyDescent="0.35">
      <c r="A29" s="53" t="s">
        <v>63</v>
      </c>
      <c r="B29" s="21" t="s">
        <v>284</v>
      </c>
      <c r="C29" s="87" t="s">
        <v>329</v>
      </c>
      <c r="D29" s="36"/>
      <c r="E29" s="36"/>
      <c r="F29" s="36"/>
      <c r="G29" s="36"/>
      <c r="H29" s="26">
        <f t="shared" si="0"/>
        <v>0</v>
      </c>
      <c r="I29" s="191"/>
      <c r="J29" s="191"/>
      <c r="K29" s="191"/>
      <c r="L29" s="192"/>
    </row>
    <row r="30" spans="1:12" ht="50.5" customHeight="1" x14ac:dyDescent="0.35">
      <c r="A30" s="53" t="s">
        <v>64</v>
      </c>
      <c r="B30" s="11" t="s">
        <v>273</v>
      </c>
      <c r="C30" s="87"/>
      <c r="D30" s="34"/>
      <c r="E30" s="34"/>
      <c r="F30" s="36"/>
      <c r="G30" s="36"/>
      <c r="H30" s="26">
        <f t="shared" si="0"/>
        <v>0</v>
      </c>
      <c r="I30" s="168"/>
      <c r="J30" s="168"/>
      <c r="K30" s="168"/>
      <c r="L30" s="169"/>
    </row>
    <row r="31" spans="1:12" ht="53.5" customHeight="1" x14ac:dyDescent="0.35">
      <c r="A31" s="53" t="s">
        <v>65</v>
      </c>
      <c r="B31" s="11" t="s">
        <v>285</v>
      </c>
      <c r="C31" s="87"/>
      <c r="D31" s="34"/>
      <c r="E31" s="34"/>
      <c r="F31" s="36"/>
      <c r="G31" s="36"/>
      <c r="H31" s="26">
        <f t="shared" si="0"/>
        <v>0</v>
      </c>
      <c r="I31" s="168"/>
      <c r="J31" s="168"/>
      <c r="K31" s="168"/>
      <c r="L31" s="169"/>
    </row>
    <row r="32" spans="1:12" ht="45.5" customHeight="1" x14ac:dyDescent="0.35">
      <c r="A32" s="53" t="s">
        <v>66</v>
      </c>
      <c r="B32" s="11" t="s">
        <v>274</v>
      </c>
      <c r="C32" s="87"/>
      <c r="D32" s="34"/>
      <c r="E32" s="34"/>
      <c r="F32" s="36"/>
      <c r="G32" s="36"/>
      <c r="H32" s="26">
        <f t="shared" si="0"/>
        <v>0</v>
      </c>
      <c r="I32" s="168"/>
      <c r="J32" s="168"/>
      <c r="K32" s="168"/>
      <c r="L32" s="169"/>
    </row>
    <row r="33" spans="1:12" ht="47" customHeight="1" x14ac:dyDescent="0.35">
      <c r="A33" s="53" t="s">
        <v>250</v>
      </c>
      <c r="B33" s="11" t="s">
        <v>275</v>
      </c>
      <c r="C33" s="87"/>
      <c r="D33" s="34"/>
      <c r="E33" s="34"/>
      <c r="F33" s="36"/>
      <c r="G33" s="36"/>
      <c r="H33" s="26">
        <f t="shared" si="0"/>
        <v>0</v>
      </c>
      <c r="I33" s="168"/>
      <c r="J33" s="168"/>
      <c r="K33" s="168"/>
      <c r="L33" s="169"/>
    </row>
    <row r="34" spans="1:12" ht="54.5" customHeight="1" thickBot="1" x14ac:dyDescent="0.4">
      <c r="A34" s="53" t="s">
        <v>251</v>
      </c>
      <c r="B34" s="29" t="s">
        <v>276</v>
      </c>
      <c r="C34" s="87"/>
      <c r="D34" s="35"/>
      <c r="E34" s="35"/>
      <c r="F34" s="36"/>
      <c r="G34" s="36"/>
      <c r="H34" s="26">
        <f t="shared" si="0"/>
        <v>0</v>
      </c>
      <c r="I34" s="174"/>
      <c r="J34" s="174"/>
      <c r="K34" s="174"/>
      <c r="L34" s="175"/>
    </row>
    <row r="35" spans="1:12" ht="37.5" customHeight="1" thickBot="1" x14ac:dyDescent="0.4">
      <c r="A35" s="82" t="s">
        <v>252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</row>
    <row r="36" spans="1:12" ht="39.5" customHeight="1" x14ac:dyDescent="0.35">
      <c r="A36" s="53" t="s">
        <v>67</v>
      </c>
      <c r="B36" s="30" t="s">
        <v>256</v>
      </c>
      <c r="C36" s="87" t="s">
        <v>329</v>
      </c>
      <c r="D36" s="36"/>
      <c r="E36" s="36"/>
      <c r="F36" s="36"/>
      <c r="G36" s="36"/>
      <c r="H36" s="26">
        <f t="shared" si="0"/>
        <v>0</v>
      </c>
      <c r="I36" s="191"/>
      <c r="J36" s="191"/>
      <c r="K36" s="191"/>
      <c r="L36" s="192"/>
    </row>
    <row r="37" spans="1:12" ht="47" customHeight="1" x14ac:dyDescent="0.35">
      <c r="A37" s="53" t="s">
        <v>68</v>
      </c>
      <c r="B37" s="11" t="s">
        <v>286</v>
      </c>
      <c r="C37" s="87"/>
      <c r="D37" s="34"/>
      <c r="E37" s="34"/>
      <c r="F37" s="34"/>
      <c r="G37" s="34"/>
      <c r="H37" s="26">
        <f t="shared" si="0"/>
        <v>0</v>
      </c>
      <c r="I37" s="168"/>
      <c r="J37" s="168"/>
      <c r="K37" s="168"/>
      <c r="L37" s="169"/>
    </row>
    <row r="38" spans="1:12" ht="48" customHeight="1" thickBot="1" x14ac:dyDescent="0.4">
      <c r="A38" s="53" t="s">
        <v>69</v>
      </c>
      <c r="B38" s="11" t="s">
        <v>277</v>
      </c>
      <c r="C38" s="87"/>
      <c r="D38" s="34"/>
      <c r="E38" s="34"/>
      <c r="F38" s="34"/>
      <c r="G38" s="34"/>
      <c r="H38" s="26">
        <f t="shared" si="0"/>
        <v>0</v>
      </c>
      <c r="I38" s="172"/>
      <c r="J38" s="172"/>
      <c r="K38" s="172"/>
      <c r="L38" s="173"/>
    </row>
    <row r="39" spans="1:12" ht="35.5" customHeight="1" x14ac:dyDescent="0.35">
      <c r="A39" s="205" t="s">
        <v>255</v>
      </c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206"/>
    </row>
    <row r="40" spans="1:12" ht="44" customHeight="1" x14ac:dyDescent="0.35">
      <c r="A40" s="53" t="s">
        <v>73</v>
      </c>
      <c r="B40" s="33" t="s">
        <v>259</v>
      </c>
      <c r="C40" s="199" t="s">
        <v>329</v>
      </c>
      <c r="D40" s="72"/>
      <c r="E40" s="36"/>
      <c r="F40" s="36"/>
      <c r="G40" s="36"/>
      <c r="H40" s="26">
        <f t="shared" si="0"/>
        <v>0</v>
      </c>
      <c r="I40" s="191"/>
      <c r="J40" s="191"/>
      <c r="K40" s="191"/>
      <c r="L40" s="192"/>
    </row>
    <row r="41" spans="1:12" ht="47.75" customHeight="1" x14ac:dyDescent="0.35">
      <c r="A41" s="53" t="s">
        <v>74</v>
      </c>
      <c r="B41" s="12" t="s">
        <v>258</v>
      </c>
      <c r="C41" s="200"/>
      <c r="D41" s="73"/>
      <c r="E41" s="34"/>
      <c r="F41" s="34"/>
      <c r="G41" s="34"/>
      <c r="H41" s="26">
        <f t="shared" si="0"/>
        <v>0</v>
      </c>
      <c r="I41" s="168"/>
      <c r="J41" s="168"/>
      <c r="K41" s="168"/>
      <c r="L41" s="169"/>
    </row>
    <row r="42" spans="1:12" ht="36.5" customHeight="1" x14ac:dyDescent="0.35">
      <c r="A42" s="53" t="s">
        <v>75</v>
      </c>
      <c r="B42" s="74" t="s">
        <v>260</v>
      </c>
      <c r="C42" s="200"/>
      <c r="D42" s="73"/>
      <c r="E42" s="34"/>
      <c r="F42" s="34"/>
      <c r="G42" s="34"/>
      <c r="H42" s="26">
        <f t="shared" si="0"/>
        <v>0</v>
      </c>
      <c r="I42" s="168"/>
      <c r="J42" s="168"/>
      <c r="K42" s="168"/>
      <c r="L42" s="169"/>
    </row>
    <row r="43" spans="1:12" ht="53.5" customHeight="1" x14ac:dyDescent="0.35">
      <c r="A43" s="53" t="s">
        <v>95</v>
      </c>
      <c r="B43" s="12" t="s">
        <v>278</v>
      </c>
      <c r="C43" s="200"/>
      <c r="D43" s="73"/>
      <c r="E43" s="34"/>
      <c r="F43" s="34"/>
      <c r="G43" s="34"/>
      <c r="H43" s="26">
        <f t="shared" si="0"/>
        <v>0</v>
      </c>
      <c r="I43" s="168"/>
      <c r="J43" s="168"/>
      <c r="K43" s="168"/>
      <c r="L43" s="169"/>
    </row>
    <row r="44" spans="1:12" ht="30" customHeight="1" thickBot="1" x14ac:dyDescent="0.4">
      <c r="A44" s="207" t="s">
        <v>253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9"/>
    </row>
    <row r="45" spans="1:12" ht="66.5" customHeight="1" thickBot="1" x14ac:dyDescent="0.4">
      <c r="A45" s="57" t="s">
        <v>76</v>
      </c>
      <c r="B45" s="38" t="s">
        <v>287</v>
      </c>
      <c r="C45" s="39" t="s">
        <v>330</v>
      </c>
      <c r="D45" s="40"/>
      <c r="E45" s="40"/>
      <c r="F45" s="40"/>
      <c r="G45" s="40"/>
      <c r="H45" s="26">
        <f t="shared" si="0"/>
        <v>0</v>
      </c>
      <c r="I45" s="203"/>
      <c r="J45" s="203"/>
      <c r="K45" s="203"/>
      <c r="L45" s="204"/>
    </row>
    <row r="46" spans="1:12" ht="21" customHeight="1" x14ac:dyDescent="0.45">
      <c r="D46" s="195" t="s">
        <v>109</v>
      </c>
      <c r="E46" s="195"/>
      <c r="F46" s="195"/>
      <c r="G46" s="195"/>
      <c r="H46" s="47">
        <f>IFERROR(IF(COUNTIF(H9:H45,"&lt;&gt;No Aplica")=0,"No Aplica",AVERAGEIF(H9:H45,"&lt;&gt;No Aplica")),"No Aplica")</f>
        <v>0</v>
      </c>
    </row>
    <row r="50" ht="41.5" customHeight="1" x14ac:dyDescent="0.35"/>
    <row r="55" ht="18" customHeight="1" x14ac:dyDescent="0.35"/>
  </sheetData>
  <mergeCells count="53">
    <mergeCell ref="A28:L28"/>
    <mergeCell ref="A35:L35"/>
    <mergeCell ref="A39:L39"/>
    <mergeCell ref="A44:L44"/>
    <mergeCell ref="I37:L37"/>
    <mergeCell ref="I38:L38"/>
    <mergeCell ref="C29:C34"/>
    <mergeCell ref="I29:L29"/>
    <mergeCell ref="I30:L30"/>
    <mergeCell ref="I31:L31"/>
    <mergeCell ref="I32:L32"/>
    <mergeCell ref="I33:L33"/>
    <mergeCell ref="I34:L34"/>
    <mergeCell ref="D46:G46"/>
    <mergeCell ref="C17:C21"/>
    <mergeCell ref="C40:C43"/>
    <mergeCell ref="I10:L10"/>
    <mergeCell ref="A16:L16"/>
    <mergeCell ref="I12:L12"/>
    <mergeCell ref="C9:C15"/>
    <mergeCell ref="I14:L14"/>
    <mergeCell ref="I45:L45"/>
    <mergeCell ref="I19:L19"/>
    <mergeCell ref="I40:L40"/>
    <mergeCell ref="I41:L41"/>
    <mergeCell ref="I42:L42"/>
    <mergeCell ref="I43:L43"/>
    <mergeCell ref="C36:C38"/>
    <mergeCell ref="I36:L36"/>
    <mergeCell ref="I25:L25"/>
    <mergeCell ref="I27:L27"/>
    <mergeCell ref="C23:C27"/>
    <mergeCell ref="I26:L26"/>
    <mergeCell ref="I17:L17"/>
    <mergeCell ref="I21:L21"/>
    <mergeCell ref="I18:L18"/>
    <mergeCell ref="I20:L20"/>
    <mergeCell ref="A22:L22"/>
    <mergeCell ref="I23:L23"/>
    <mergeCell ref="I24:L24"/>
    <mergeCell ref="A8:L8"/>
    <mergeCell ref="I9:L9"/>
    <mergeCell ref="I11:L11"/>
    <mergeCell ref="I13:L13"/>
    <mergeCell ref="I15:L15"/>
    <mergeCell ref="A1:L3"/>
    <mergeCell ref="A4:H4"/>
    <mergeCell ref="A5:A7"/>
    <mergeCell ref="B5:B7"/>
    <mergeCell ref="C5:C7"/>
    <mergeCell ref="D5:H5"/>
    <mergeCell ref="I5:L7"/>
    <mergeCell ref="H6:H7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1443-570D-43A7-B036-477825695E57}">
  <dimension ref="A1:L60"/>
  <sheetViews>
    <sheetView topLeftCell="B52" workbookViewId="0">
      <selection activeCell="B14" sqref="B14"/>
    </sheetView>
  </sheetViews>
  <sheetFormatPr baseColWidth="10" defaultRowHeight="14.5" x14ac:dyDescent="0.35"/>
  <cols>
    <col min="1" max="1" width="4.453125" customWidth="1"/>
    <col min="2" max="2" width="67.1796875" customWidth="1"/>
    <col min="3" max="3" width="23.81640625" customWidth="1"/>
    <col min="9" max="9" width="5.81640625" customWidth="1"/>
    <col min="12" max="12" width="15.81640625" customWidth="1"/>
  </cols>
  <sheetData>
    <row r="1" spans="1:12" ht="20" customHeight="1" x14ac:dyDescent="0.35">
      <c r="A1" s="154" t="s">
        <v>92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0" customHeight="1" x14ac:dyDescent="0.3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1:12" ht="20" customHeight="1" x14ac:dyDescent="0.3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2" ht="16.5" thickBot="1" x14ac:dyDescent="0.45">
      <c r="A4" s="155" t="s">
        <v>343</v>
      </c>
      <c r="B4" s="156"/>
      <c r="C4" s="156"/>
      <c r="D4" s="156"/>
      <c r="E4" s="156"/>
      <c r="F4" s="156"/>
      <c r="G4" s="156"/>
      <c r="H4" s="156"/>
    </row>
    <row r="5" spans="1:12" x14ac:dyDescent="0.35">
      <c r="A5" s="157" t="s">
        <v>1</v>
      </c>
      <c r="B5" s="160" t="s">
        <v>11</v>
      </c>
      <c r="C5" s="160" t="s">
        <v>12</v>
      </c>
      <c r="D5" s="161" t="s">
        <v>13</v>
      </c>
      <c r="E5" s="161"/>
      <c r="F5" s="161"/>
      <c r="G5" s="161"/>
      <c r="H5" s="161"/>
      <c r="I5" s="160" t="s">
        <v>14</v>
      </c>
      <c r="J5" s="160"/>
      <c r="K5" s="160"/>
      <c r="L5" s="162"/>
    </row>
    <row r="6" spans="1:12" x14ac:dyDescent="0.35">
      <c r="A6" s="158"/>
      <c r="B6" s="118"/>
      <c r="C6" s="118"/>
      <c r="D6" s="1" t="s">
        <v>0</v>
      </c>
      <c r="E6" s="2" t="s">
        <v>47</v>
      </c>
      <c r="F6" s="3" t="s">
        <v>3</v>
      </c>
      <c r="G6" s="4" t="s">
        <v>2</v>
      </c>
      <c r="H6" s="118" t="s">
        <v>10</v>
      </c>
      <c r="I6" s="118"/>
      <c r="J6" s="118"/>
      <c r="K6" s="118"/>
      <c r="L6" s="163"/>
    </row>
    <row r="7" spans="1:12" ht="15" thickBot="1" x14ac:dyDescent="0.4">
      <c r="A7" s="159"/>
      <c r="B7" s="119"/>
      <c r="C7" s="119"/>
      <c r="D7" s="32">
        <v>0.25</v>
      </c>
      <c r="E7" s="32">
        <v>0.5</v>
      </c>
      <c r="F7" s="32">
        <v>1</v>
      </c>
      <c r="G7" s="19" t="s">
        <v>5</v>
      </c>
      <c r="H7" s="119"/>
      <c r="I7" s="119"/>
      <c r="J7" s="119"/>
      <c r="K7" s="119"/>
      <c r="L7" s="164"/>
    </row>
    <row r="8" spans="1:12" ht="18" customHeight="1" thickBot="1" x14ac:dyDescent="0.4">
      <c r="A8" s="82" t="s">
        <v>36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ht="34.5" customHeight="1" x14ac:dyDescent="0.35">
      <c r="A9" s="53" t="s">
        <v>48</v>
      </c>
      <c r="B9" s="21" t="s">
        <v>195</v>
      </c>
      <c r="C9" s="210" t="s">
        <v>320</v>
      </c>
      <c r="D9" s="36"/>
      <c r="E9" s="36"/>
      <c r="F9" s="36"/>
      <c r="G9" s="36"/>
      <c r="H9" s="26">
        <f>IF(G9="X","No Aplica",MAX(IF(D9="X",0.25,0),IF(E9="X",0.5,0),IF(F9="X",1,0)))</f>
        <v>0</v>
      </c>
      <c r="I9" s="166"/>
      <c r="J9" s="166"/>
      <c r="K9" s="166"/>
      <c r="L9" s="167"/>
    </row>
    <row r="10" spans="1:12" ht="38" customHeight="1" x14ac:dyDescent="0.35">
      <c r="A10" s="54" t="s">
        <v>49</v>
      </c>
      <c r="B10" s="11" t="s">
        <v>355</v>
      </c>
      <c r="C10" s="211"/>
      <c r="D10" s="34"/>
      <c r="E10" s="34"/>
      <c r="F10" s="34"/>
      <c r="G10" s="34"/>
      <c r="H10" s="26">
        <f t="shared" ref="H10:H59" si="0">IF(G10="X","No Aplica",MAX(IF(D10="X",0.25,0),IF(E10="X",0.5,0),IF(F10="X",1,0)))</f>
        <v>0</v>
      </c>
      <c r="I10" s="168"/>
      <c r="J10" s="168"/>
      <c r="K10" s="168"/>
      <c r="L10" s="169"/>
    </row>
    <row r="11" spans="1:12" ht="28.5" x14ac:dyDescent="0.35">
      <c r="A11" s="54" t="s">
        <v>50</v>
      </c>
      <c r="B11" s="10" t="s">
        <v>21</v>
      </c>
      <c r="C11" s="211"/>
      <c r="D11" s="34"/>
      <c r="E11" s="34"/>
      <c r="F11" s="34"/>
      <c r="G11" s="34"/>
      <c r="H11" s="26">
        <f t="shared" si="0"/>
        <v>0</v>
      </c>
      <c r="I11" s="170"/>
      <c r="J11" s="170"/>
      <c r="K11" s="170"/>
      <c r="L11" s="171"/>
    </row>
    <row r="12" spans="1:12" ht="36.5" customHeight="1" x14ac:dyDescent="0.35">
      <c r="A12" s="54" t="s">
        <v>51</v>
      </c>
      <c r="B12" s="11" t="s">
        <v>196</v>
      </c>
      <c r="C12" s="212"/>
      <c r="D12" s="34"/>
      <c r="E12" s="34"/>
      <c r="F12" s="34"/>
      <c r="G12" s="34"/>
      <c r="H12" s="26">
        <f t="shared" si="0"/>
        <v>0</v>
      </c>
      <c r="I12" s="172"/>
      <c r="J12" s="172"/>
      <c r="K12" s="172"/>
      <c r="L12" s="173"/>
    </row>
    <row r="13" spans="1:12" ht="47.75" customHeight="1" x14ac:dyDescent="0.35">
      <c r="A13" s="54" t="s">
        <v>52</v>
      </c>
      <c r="B13" s="11" t="s">
        <v>356</v>
      </c>
      <c r="C13" s="108" t="s">
        <v>27</v>
      </c>
      <c r="D13" s="34"/>
      <c r="E13" s="34"/>
      <c r="F13" s="34"/>
      <c r="G13" s="34"/>
      <c r="H13" s="26">
        <f t="shared" si="0"/>
        <v>0</v>
      </c>
      <c r="I13" s="172"/>
      <c r="J13" s="172"/>
      <c r="K13" s="172"/>
      <c r="L13" s="173"/>
    </row>
    <row r="14" spans="1:12" ht="29" thickBot="1" x14ac:dyDescent="0.4">
      <c r="A14" s="55" t="s">
        <v>53</v>
      </c>
      <c r="B14" s="29" t="s">
        <v>22</v>
      </c>
      <c r="C14" s="109"/>
      <c r="D14" s="35"/>
      <c r="E14" s="35"/>
      <c r="F14" s="35"/>
      <c r="G14" s="35"/>
      <c r="H14" s="26">
        <f t="shared" si="0"/>
        <v>0</v>
      </c>
      <c r="I14" s="216"/>
      <c r="J14" s="216"/>
      <c r="K14" s="216"/>
      <c r="L14" s="217"/>
    </row>
    <row r="15" spans="1:12" ht="18" customHeight="1" thickBot="1" x14ac:dyDescent="0.4">
      <c r="A15" s="82" t="s">
        <v>37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ht="30.5" customHeight="1" x14ac:dyDescent="0.35">
      <c r="A16" s="53" t="s">
        <v>55</v>
      </c>
      <c r="B16" s="21" t="s">
        <v>23</v>
      </c>
      <c r="C16" s="87" t="s">
        <v>321</v>
      </c>
      <c r="D16" s="36"/>
      <c r="E16" s="36"/>
      <c r="F16" s="36"/>
      <c r="G16" s="36"/>
      <c r="H16" s="26">
        <f t="shared" si="0"/>
        <v>0</v>
      </c>
      <c r="I16" s="182"/>
      <c r="J16" s="182"/>
      <c r="K16" s="182"/>
      <c r="L16" s="183"/>
    </row>
    <row r="17" spans="1:12" ht="35" customHeight="1" x14ac:dyDescent="0.35">
      <c r="A17" s="54" t="s">
        <v>56</v>
      </c>
      <c r="B17" s="11" t="s">
        <v>197</v>
      </c>
      <c r="C17" s="87"/>
      <c r="D17" s="34"/>
      <c r="E17" s="34"/>
      <c r="F17" s="36"/>
      <c r="G17" s="34"/>
      <c r="H17" s="26">
        <f t="shared" si="0"/>
        <v>0</v>
      </c>
      <c r="I17" s="168"/>
      <c r="J17" s="168"/>
      <c r="K17" s="168"/>
      <c r="L17" s="169"/>
    </row>
    <row r="18" spans="1:12" ht="28" x14ac:dyDescent="0.35">
      <c r="A18" s="54" t="s">
        <v>57</v>
      </c>
      <c r="B18" s="11" t="s">
        <v>198</v>
      </c>
      <c r="C18" s="87"/>
      <c r="D18" s="34"/>
      <c r="E18" s="34"/>
      <c r="F18" s="36"/>
      <c r="G18" s="34"/>
      <c r="H18" s="26">
        <f t="shared" si="0"/>
        <v>0</v>
      </c>
      <c r="I18" s="168"/>
      <c r="J18" s="168"/>
      <c r="K18" s="168"/>
      <c r="L18" s="169"/>
    </row>
    <row r="19" spans="1:12" ht="28.5" thickBot="1" x14ac:dyDescent="0.4">
      <c r="A19" s="55" t="s">
        <v>58</v>
      </c>
      <c r="B19" s="17" t="s">
        <v>199</v>
      </c>
      <c r="C19" s="87"/>
      <c r="D19" s="35"/>
      <c r="E19" s="35"/>
      <c r="F19" s="36"/>
      <c r="G19" s="35"/>
      <c r="H19" s="26">
        <f t="shared" si="0"/>
        <v>0</v>
      </c>
      <c r="I19" s="213"/>
      <c r="J19" s="214"/>
      <c r="K19" s="214"/>
      <c r="L19" s="215"/>
    </row>
    <row r="20" spans="1:12" ht="18" customHeight="1" thickBot="1" x14ac:dyDescent="0.4">
      <c r="A20" s="82" t="s">
        <v>38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ht="43.5" customHeight="1" x14ac:dyDescent="0.35">
      <c r="A21" s="53" t="s">
        <v>59</v>
      </c>
      <c r="B21" s="30" t="s">
        <v>200</v>
      </c>
      <c r="C21" s="87" t="s">
        <v>322</v>
      </c>
      <c r="D21" s="36"/>
      <c r="E21" s="36"/>
      <c r="F21" s="36"/>
      <c r="G21" s="36"/>
      <c r="H21" s="26">
        <f t="shared" si="0"/>
        <v>0</v>
      </c>
      <c r="I21" s="191"/>
      <c r="J21" s="191"/>
      <c r="K21" s="191"/>
      <c r="L21" s="192"/>
    </row>
    <row r="22" spans="1:12" ht="31.25" customHeight="1" x14ac:dyDescent="0.35">
      <c r="A22" s="54" t="s">
        <v>60</v>
      </c>
      <c r="B22" s="10" t="s">
        <v>24</v>
      </c>
      <c r="C22" s="87"/>
      <c r="D22" s="34"/>
      <c r="E22" s="34"/>
      <c r="F22" s="34"/>
      <c r="G22" s="34"/>
      <c r="H22" s="26">
        <f t="shared" si="0"/>
        <v>0</v>
      </c>
      <c r="I22" s="193"/>
      <c r="J22" s="193"/>
      <c r="K22" s="193"/>
      <c r="L22" s="194"/>
    </row>
    <row r="23" spans="1:12" ht="28.5" x14ac:dyDescent="0.35">
      <c r="A23" s="54" t="s">
        <v>61</v>
      </c>
      <c r="B23" s="10" t="s">
        <v>25</v>
      </c>
      <c r="C23" s="87"/>
      <c r="D23" s="34"/>
      <c r="E23" s="34"/>
      <c r="F23" s="34"/>
      <c r="G23" s="34"/>
      <c r="H23" s="26">
        <f t="shared" si="0"/>
        <v>0</v>
      </c>
      <c r="I23" s="170"/>
      <c r="J23" s="170"/>
      <c r="K23" s="170"/>
      <c r="L23" s="171"/>
    </row>
    <row r="24" spans="1:12" ht="48.65" customHeight="1" thickBot="1" x14ac:dyDescent="0.4">
      <c r="A24" s="55" t="s">
        <v>62</v>
      </c>
      <c r="B24" s="17" t="s">
        <v>201</v>
      </c>
      <c r="C24" s="87"/>
      <c r="D24" s="35"/>
      <c r="E24" s="35"/>
      <c r="F24" s="35"/>
      <c r="G24" s="35"/>
      <c r="H24" s="26">
        <f t="shared" si="0"/>
        <v>0</v>
      </c>
      <c r="I24" s="174"/>
      <c r="J24" s="174"/>
      <c r="K24" s="174"/>
      <c r="L24" s="175"/>
    </row>
    <row r="25" spans="1:12" s="44" customFormat="1" ht="18" customHeight="1" thickBot="1" x14ac:dyDescent="0.4">
      <c r="A25" s="82" t="s">
        <v>93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2" ht="26.5" thickBot="1" x14ac:dyDescent="0.4">
      <c r="A26" s="56" t="s">
        <v>63</v>
      </c>
      <c r="B26" s="41" t="s">
        <v>202</v>
      </c>
      <c r="C26" s="42" t="s">
        <v>323</v>
      </c>
      <c r="D26" s="43"/>
      <c r="E26" s="43"/>
      <c r="F26" s="43"/>
      <c r="G26" s="43"/>
      <c r="H26" s="26">
        <f t="shared" si="0"/>
        <v>0</v>
      </c>
      <c r="I26" s="220"/>
      <c r="J26" s="220"/>
      <c r="K26" s="220"/>
      <c r="L26" s="221"/>
    </row>
    <row r="27" spans="1:12" s="44" customFormat="1" ht="18" customHeight="1" thickBot="1" x14ac:dyDescent="0.4">
      <c r="A27" s="82" t="s">
        <v>348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ht="28" x14ac:dyDescent="0.35">
      <c r="A28" s="53" t="s">
        <v>67</v>
      </c>
      <c r="B28" s="21" t="s">
        <v>203</v>
      </c>
      <c r="C28" s="87" t="s">
        <v>324</v>
      </c>
      <c r="D28" s="36"/>
      <c r="E28" s="36"/>
      <c r="F28" s="36"/>
      <c r="G28" s="36"/>
      <c r="H28" s="26">
        <f t="shared" si="0"/>
        <v>0</v>
      </c>
      <c r="I28" s="191"/>
      <c r="J28" s="191"/>
      <c r="K28" s="191"/>
      <c r="L28" s="192"/>
    </row>
    <row r="29" spans="1:12" ht="57" customHeight="1" x14ac:dyDescent="0.35">
      <c r="A29" s="54" t="s">
        <v>68</v>
      </c>
      <c r="B29" s="11" t="s">
        <v>204</v>
      </c>
      <c r="C29" s="87"/>
      <c r="D29" s="34"/>
      <c r="E29" s="34"/>
      <c r="F29" s="34"/>
      <c r="G29" s="36"/>
      <c r="H29" s="26">
        <f t="shared" si="0"/>
        <v>0</v>
      </c>
      <c r="I29" s="168"/>
      <c r="J29" s="168"/>
      <c r="K29" s="168"/>
      <c r="L29" s="169"/>
    </row>
    <row r="30" spans="1:12" ht="42" customHeight="1" x14ac:dyDescent="0.35">
      <c r="A30" s="54" t="s">
        <v>69</v>
      </c>
      <c r="B30" s="11" t="s">
        <v>205</v>
      </c>
      <c r="C30" s="87"/>
      <c r="D30" s="34"/>
      <c r="E30" s="34"/>
      <c r="F30" s="34"/>
      <c r="G30" s="36"/>
      <c r="H30" s="26">
        <f t="shared" si="0"/>
        <v>0</v>
      </c>
      <c r="I30" s="168"/>
      <c r="J30" s="168"/>
      <c r="K30" s="168"/>
      <c r="L30" s="169"/>
    </row>
    <row r="31" spans="1:12" ht="37.25" customHeight="1" x14ac:dyDescent="0.35">
      <c r="A31" s="54" t="s">
        <v>70</v>
      </c>
      <c r="B31" s="11" t="s">
        <v>206</v>
      </c>
      <c r="C31" s="87"/>
      <c r="D31" s="34"/>
      <c r="E31" s="34"/>
      <c r="F31" s="34"/>
      <c r="G31" s="36"/>
      <c r="H31" s="26">
        <f t="shared" si="0"/>
        <v>0</v>
      </c>
      <c r="I31" s="168"/>
      <c r="J31" s="168"/>
      <c r="K31" s="168"/>
      <c r="L31" s="169"/>
    </row>
    <row r="32" spans="1:12" ht="28" x14ac:dyDescent="0.35">
      <c r="A32" s="54" t="s">
        <v>71</v>
      </c>
      <c r="B32" s="11" t="s">
        <v>207</v>
      </c>
      <c r="C32" s="87"/>
      <c r="D32" s="34"/>
      <c r="E32" s="34"/>
      <c r="F32" s="34"/>
      <c r="G32" s="36"/>
      <c r="H32" s="26">
        <f t="shared" si="0"/>
        <v>0</v>
      </c>
      <c r="I32" s="168"/>
      <c r="J32" s="168"/>
      <c r="K32" s="168"/>
      <c r="L32" s="169"/>
    </row>
    <row r="33" spans="1:12" ht="29" thickBot="1" x14ac:dyDescent="0.4">
      <c r="A33" s="55" t="s">
        <v>72</v>
      </c>
      <c r="B33" s="29" t="s">
        <v>208</v>
      </c>
      <c r="C33" s="87"/>
      <c r="D33" s="35"/>
      <c r="E33" s="35"/>
      <c r="F33" s="35"/>
      <c r="G33" s="36"/>
      <c r="H33" s="26">
        <f t="shared" si="0"/>
        <v>0</v>
      </c>
      <c r="I33" s="174"/>
      <c r="J33" s="174"/>
      <c r="K33" s="174"/>
      <c r="L33" s="175"/>
    </row>
    <row r="34" spans="1:12" ht="18" customHeight="1" thickBot="1" x14ac:dyDescent="0.4">
      <c r="A34" s="82" t="s">
        <v>41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</row>
    <row r="35" spans="1:12" ht="28.5" x14ac:dyDescent="0.35">
      <c r="A35" s="53" t="s">
        <v>73</v>
      </c>
      <c r="B35" s="30" t="s">
        <v>209</v>
      </c>
      <c r="C35" s="87" t="s">
        <v>325</v>
      </c>
      <c r="D35" s="36"/>
      <c r="E35" s="36"/>
      <c r="F35" s="36"/>
      <c r="G35" s="36"/>
      <c r="H35" s="26">
        <f t="shared" si="0"/>
        <v>0</v>
      </c>
      <c r="I35" s="191"/>
      <c r="J35" s="191"/>
      <c r="K35" s="191"/>
      <c r="L35" s="192"/>
    </row>
    <row r="36" spans="1:12" ht="48" customHeight="1" x14ac:dyDescent="0.35">
      <c r="A36" s="54" t="s">
        <v>74</v>
      </c>
      <c r="B36" s="11" t="s">
        <v>210</v>
      </c>
      <c r="C36" s="87"/>
      <c r="D36" s="34"/>
      <c r="E36" s="34"/>
      <c r="F36" s="34"/>
      <c r="G36" s="34"/>
      <c r="H36" s="26">
        <f t="shared" si="0"/>
        <v>0</v>
      </c>
      <c r="I36" s="168"/>
      <c r="J36" s="168"/>
      <c r="K36" s="168"/>
      <c r="L36" s="169"/>
    </row>
    <row r="37" spans="1:12" ht="28" x14ac:dyDescent="0.35">
      <c r="A37" s="54" t="s">
        <v>75</v>
      </c>
      <c r="B37" s="11" t="s">
        <v>211</v>
      </c>
      <c r="C37" s="87"/>
      <c r="D37" s="34"/>
      <c r="E37" s="34"/>
      <c r="F37" s="34"/>
      <c r="G37" s="34"/>
      <c r="H37" s="26">
        <f t="shared" si="0"/>
        <v>0</v>
      </c>
      <c r="I37" s="172"/>
      <c r="J37" s="172"/>
      <c r="K37" s="172"/>
      <c r="L37" s="173"/>
    </row>
    <row r="38" spans="1:12" ht="53.5" customHeight="1" thickBot="1" x14ac:dyDescent="0.4">
      <c r="A38" s="55" t="s">
        <v>95</v>
      </c>
      <c r="B38" s="17" t="s">
        <v>212</v>
      </c>
      <c r="C38" s="87"/>
      <c r="D38" s="35"/>
      <c r="E38" s="35"/>
      <c r="F38" s="35"/>
      <c r="G38" s="35"/>
      <c r="H38" s="26">
        <f t="shared" si="0"/>
        <v>0</v>
      </c>
      <c r="I38" s="174"/>
      <c r="J38" s="174"/>
      <c r="K38" s="174"/>
      <c r="L38" s="175"/>
    </row>
    <row r="39" spans="1:12" ht="18" customHeight="1" thickBot="1" x14ac:dyDescent="0.4">
      <c r="A39" s="82" t="s">
        <v>349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4"/>
    </row>
    <row r="40" spans="1:12" ht="47.75" customHeight="1" x14ac:dyDescent="0.35">
      <c r="A40" s="53" t="s">
        <v>76</v>
      </c>
      <c r="B40" s="21" t="s">
        <v>26</v>
      </c>
      <c r="C40" s="109" t="s">
        <v>27</v>
      </c>
      <c r="D40" s="36"/>
      <c r="E40" s="36"/>
      <c r="F40" s="36"/>
      <c r="G40" s="36"/>
      <c r="H40" s="26">
        <f t="shared" si="0"/>
        <v>0</v>
      </c>
      <c r="I40" s="191"/>
      <c r="J40" s="191"/>
      <c r="K40" s="191"/>
      <c r="L40" s="192"/>
    </row>
    <row r="41" spans="1:12" ht="28" x14ac:dyDescent="0.35">
      <c r="A41" s="54" t="s">
        <v>77</v>
      </c>
      <c r="B41" s="11" t="s">
        <v>28</v>
      </c>
      <c r="C41" s="109"/>
      <c r="D41" s="34"/>
      <c r="E41" s="34"/>
      <c r="F41" s="34"/>
      <c r="G41" s="34"/>
      <c r="H41" s="26">
        <f t="shared" si="0"/>
        <v>0</v>
      </c>
      <c r="I41" s="168"/>
      <c r="J41" s="168"/>
      <c r="K41" s="168"/>
      <c r="L41" s="169"/>
    </row>
    <row r="42" spans="1:12" ht="28" x14ac:dyDescent="0.35">
      <c r="A42" s="54" t="s">
        <v>78</v>
      </c>
      <c r="B42" s="11" t="s">
        <v>213</v>
      </c>
      <c r="C42" s="109"/>
      <c r="D42" s="34"/>
      <c r="E42" s="34"/>
      <c r="F42" s="34"/>
      <c r="G42" s="34"/>
      <c r="H42" s="26">
        <f t="shared" si="0"/>
        <v>0</v>
      </c>
      <c r="I42" s="168"/>
      <c r="J42" s="168"/>
      <c r="K42" s="168"/>
      <c r="L42" s="169"/>
    </row>
    <row r="43" spans="1:12" ht="28" x14ac:dyDescent="0.35">
      <c r="A43" s="54" t="s">
        <v>79</v>
      </c>
      <c r="B43" s="11" t="s">
        <v>214</v>
      </c>
      <c r="C43" s="109"/>
      <c r="D43" s="34"/>
      <c r="E43" s="34"/>
      <c r="F43" s="34"/>
      <c r="G43" s="34"/>
      <c r="H43" s="26">
        <f t="shared" si="0"/>
        <v>0</v>
      </c>
      <c r="I43" s="168"/>
      <c r="J43" s="168"/>
      <c r="K43" s="168"/>
      <c r="L43" s="169"/>
    </row>
    <row r="44" spans="1:12" ht="28" x14ac:dyDescent="0.35">
      <c r="A44" s="54" t="s">
        <v>96</v>
      </c>
      <c r="B44" s="11" t="s">
        <v>215</v>
      </c>
      <c r="C44" s="109"/>
      <c r="D44" s="34"/>
      <c r="E44" s="34"/>
      <c r="F44" s="34"/>
      <c r="G44" s="34"/>
      <c r="H44" s="26">
        <f t="shared" si="0"/>
        <v>0</v>
      </c>
      <c r="I44" s="168"/>
      <c r="J44" s="168"/>
      <c r="K44" s="168"/>
      <c r="L44" s="169"/>
    </row>
    <row r="45" spans="1:12" ht="28" x14ac:dyDescent="0.35">
      <c r="A45" s="54" t="s">
        <v>97</v>
      </c>
      <c r="B45" s="11" t="s">
        <v>216</v>
      </c>
      <c r="C45" s="109"/>
      <c r="D45" s="34"/>
      <c r="E45" s="34"/>
      <c r="F45" s="34"/>
      <c r="G45" s="34"/>
      <c r="H45" s="26">
        <f t="shared" si="0"/>
        <v>0</v>
      </c>
      <c r="I45" s="168"/>
      <c r="J45" s="168"/>
      <c r="K45" s="168"/>
      <c r="L45" s="169"/>
    </row>
    <row r="46" spans="1:12" ht="26" x14ac:dyDescent="0.35">
      <c r="A46" s="54" t="s">
        <v>98</v>
      </c>
      <c r="B46" s="13" t="s">
        <v>217</v>
      </c>
      <c r="C46" s="109"/>
      <c r="D46" s="34"/>
      <c r="E46" s="34"/>
      <c r="F46" s="34"/>
      <c r="G46" s="34"/>
      <c r="H46" s="26">
        <f t="shared" si="0"/>
        <v>0</v>
      </c>
      <c r="I46" s="168"/>
      <c r="J46" s="168"/>
      <c r="K46" s="168"/>
      <c r="L46" s="169"/>
    </row>
    <row r="47" spans="1:12" ht="30" customHeight="1" thickBot="1" x14ac:dyDescent="0.4">
      <c r="A47" s="55" t="s">
        <v>99</v>
      </c>
      <c r="B47" s="37" t="s">
        <v>218</v>
      </c>
      <c r="C47" s="109"/>
      <c r="D47" s="35"/>
      <c r="E47" s="35"/>
      <c r="F47" s="35"/>
      <c r="G47" s="35"/>
      <c r="H47" s="26">
        <f t="shared" si="0"/>
        <v>0</v>
      </c>
      <c r="I47" s="174"/>
      <c r="J47" s="174"/>
      <c r="K47" s="174"/>
      <c r="L47" s="175"/>
    </row>
    <row r="48" spans="1:12" ht="18" customHeight="1" thickBot="1" x14ac:dyDescent="0.4">
      <c r="A48" s="82" t="s">
        <v>100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4"/>
    </row>
    <row r="49" spans="1:12" ht="59" customHeight="1" x14ac:dyDescent="0.35">
      <c r="A49" s="53" t="s">
        <v>81</v>
      </c>
      <c r="B49" s="21" t="s">
        <v>219</v>
      </c>
      <c r="C49" s="87" t="s">
        <v>326</v>
      </c>
      <c r="D49" s="36"/>
      <c r="E49" s="36"/>
      <c r="F49" s="36"/>
      <c r="G49" s="36"/>
      <c r="H49" s="26">
        <f t="shared" si="0"/>
        <v>0</v>
      </c>
      <c r="I49" s="191"/>
      <c r="J49" s="191"/>
      <c r="K49" s="191"/>
      <c r="L49" s="192"/>
    </row>
    <row r="50" spans="1:12" ht="28.5" x14ac:dyDescent="0.35">
      <c r="A50" s="54" t="s">
        <v>82</v>
      </c>
      <c r="B50" s="10" t="s">
        <v>29</v>
      </c>
      <c r="C50" s="87"/>
      <c r="D50" s="34"/>
      <c r="E50" s="34"/>
      <c r="F50" s="34"/>
      <c r="G50" s="34"/>
      <c r="H50" s="26">
        <f t="shared" si="0"/>
        <v>0</v>
      </c>
      <c r="I50" s="168"/>
      <c r="J50" s="168"/>
      <c r="K50" s="168"/>
      <c r="L50" s="169"/>
    </row>
    <row r="51" spans="1:12" ht="28" x14ac:dyDescent="0.35">
      <c r="A51" s="54" t="s">
        <v>83</v>
      </c>
      <c r="B51" s="11" t="s">
        <v>220</v>
      </c>
      <c r="C51" s="87"/>
      <c r="D51" s="34"/>
      <c r="E51" s="34"/>
      <c r="F51" s="34"/>
      <c r="G51" s="34"/>
      <c r="H51" s="26">
        <f t="shared" si="0"/>
        <v>0</v>
      </c>
      <c r="I51" s="168"/>
      <c r="J51" s="168"/>
      <c r="K51" s="168"/>
      <c r="L51" s="169"/>
    </row>
    <row r="52" spans="1:12" x14ac:dyDescent="0.35">
      <c r="A52" s="54" t="s">
        <v>84</v>
      </c>
      <c r="B52" s="10" t="s">
        <v>221</v>
      </c>
      <c r="C52" s="87"/>
      <c r="D52" s="34"/>
      <c r="E52" s="34"/>
      <c r="F52" s="34"/>
      <c r="G52" s="34"/>
      <c r="H52" s="26">
        <f t="shared" si="0"/>
        <v>0</v>
      </c>
      <c r="I52" s="168"/>
      <c r="J52" s="168"/>
      <c r="K52" s="168"/>
      <c r="L52" s="169"/>
    </row>
    <row r="53" spans="1:12" ht="41.5" customHeight="1" x14ac:dyDescent="0.35">
      <c r="A53" s="54" t="s">
        <v>85</v>
      </c>
      <c r="B53" s="10" t="s">
        <v>222</v>
      </c>
      <c r="C53" s="87"/>
      <c r="D53" s="34"/>
      <c r="E53" s="34"/>
      <c r="F53" s="34"/>
      <c r="G53" s="34"/>
      <c r="H53" s="26">
        <f t="shared" si="0"/>
        <v>0</v>
      </c>
      <c r="I53" s="172"/>
      <c r="J53" s="172"/>
      <c r="K53" s="172"/>
      <c r="L53" s="173"/>
    </row>
    <row r="54" spans="1:12" ht="41.5" x14ac:dyDescent="0.35">
      <c r="A54" s="54" t="s">
        <v>86</v>
      </c>
      <c r="B54" s="10" t="s">
        <v>223</v>
      </c>
      <c r="C54" s="87"/>
      <c r="D54" s="34"/>
      <c r="E54" s="34"/>
      <c r="F54" s="34"/>
      <c r="G54" s="34"/>
      <c r="H54" s="26">
        <f t="shared" si="0"/>
        <v>0</v>
      </c>
      <c r="I54" s="168"/>
      <c r="J54" s="168"/>
      <c r="K54" s="168"/>
      <c r="L54" s="169"/>
    </row>
    <row r="55" spans="1:12" ht="28" x14ac:dyDescent="0.35">
      <c r="A55" s="54" t="s">
        <v>87</v>
      </c>
      <c r="B55" s="11" t="s">
        <v>224</v>
      </c>
      <c r="C55" s="87"/>
      <c r="D55" s="34"/>
      <c r="E55" s="34"/>
      <c r="F55" s="34"/>
      <c r="G55" s="34"/>
      <c r="H55" s="26">
        <f t="shared" si="0"/>
        <v>0</v>
      </c>
      <c r="I55" s="172"/>
      <c r="J55" s="172"/>
      <c r="K55" s="172"/>
      <c r="L55" s="173"/>
    </row>
    <row r="56" spans="1:12" ht="28" x14ac:dyDescent="0.35">
      <c r="A56" s="54" t="s">
        <v>88</v>
      </c>
      <c r="B56" s="11" t="s">
        <v>225</v>
      </c>
      <c r="C56" s="87"/>
      <c r="D56" s="34"/>
      <c r="E56" s="34"/>
      <c r="F56" s="34"/>
      <c r="G56" s="34"/>
      <c r="H56" s="26">
        <f t="shared" si="0"/>
        <v>0</v>
      </c>
      <c r="I56" s="172"/>
      <c r="J56" s="172"/>
      <c r="K56" s="172"/>
      <c r="L56" s="173"/>
    </row>
    <row r="57" spans="1:12" ht="28.5" thickBot="1" x14ac:dyDescent="0.4">
      <c r="A57" s="55" t="s">
        <v>101</v>
      </c>
      <c r="B57" s="17" t="s">
        <v>226</v>
      </c>
      <c r="C57" s="87"/>
      <c r="D57" s="35"/>
      <c r="E57" s="35"/>
      <c r="F57" s="35"/>
      <c r="G57" s="35"/>
      <c r="H57" s="26">
        <f t="shared" si="0"/>
        <v>0</v>
      </c>
      <c r="I57" s="218"/>
      <c r="J57" s="218"/>
      <c r="K57" s="218"/>
      <c r="L57" s="219"/>
    </row>
    <row r="58" spans="1:12" ht="18" customHeight="1" thickBot="1" x14ac:dyDescent="0.4">
      <c r="A58" s="82" t="s">
        <v>90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4"/>
    </row>
    <row r="59" spans="1:12" ht="42.5" thickBot="1" x14ac:dyDescent="0.4">
      <c r="A59" s="57" t="s">
        <v>89</v>
      </c>
      <c r="B59" s="38" t="s">
        <v>102</v>
      </c>
      <c r="C59" s="39"/>
      <c r="D59" s="40"/>
      <c r="E59" s="40"/>
      <c r="F59" s="40"/>
      <c r="G59" s="40"/>
      <c r="H59" s="26">
        <f t="shared" si="0"/>
        <v>0</v>
      </c>
      <c r="I59" s="203"/>
      <c r="J59" s="203"/>
      <c r="K59" s="203"/>
      <c r="L59" s="204"/>
    </row>
    <row r="60" spans="1:12" ht="18.5" x14ac:dyDescent="0.45">
      <c r="D60" s="195" t="s">
        <v>109</v>
      </c>
      <c r="E60" s="195"/>
      <c r="F60" s="195"/>
      <c r="G60" s="195"/>
      <c r="H60" s="47">
        <f>IFERROR(IF(COUNTIF(H9:H59,"&lt;&gt;No Aplica")=0,"No Aplica",AVERAGEIF(H9:H59,"&lt;&gt;No Aplica")),"No Aplica")</f>
        <v>0</v>
      </c>
    </row>
  </sheetData>
  <mergeCells count="69">
    <mergeCell ref="I59:L59"/>
    <mergeCell ref="I51:L51"/>
    <mergeCell ref="I52:L52"/>
    <mergeCell ref="I53:L53"/>
    <mergeCell ref="I54:L54"/>
    <mergeCell ref="I55:L55"/>
    <mergeCell ref="A58:L58"/>
    <mergeCell ref="A39:L39"/>
    <mergeCell ref="I21:L21"/>
    <mergeCell ref="I22:L22"/>
    <mergeCell ref="I23:L23"/>
    <mergeCell ref="I24:L24"/>
    <mergeCell ref="I28:L28"/>
    <mergeCell ref="I29:L29"/>
    <mergeCell ref="I30:L30"/>
    <mergeCell ref="I31:L31"/>
    <mergeCell ref="I32:L32"/>
    <mergeCell ref="I33:L33"/>
    <mergeCell ref="I35:L35"/>
    <mergeCell ref="A34:L34"/>
    <mergeCell ref="I26:L26"/>
    <mergeCell ref="C35:C38"/>
    <mergeCell ref="I36:L36"/>
    <mergeCell ref="I40:L40"/>
    <mergeCell ref="I50:L50"/>
    <mergeCell ref="C49:C57"/>
    <mergeCell ref="C40:C47"/>
    <mergeCell ref="A48:L48"/>
    <mergeCell ref="I43:L43"/>
    <mergeCell ref="I41:L41"/>
    <mergeCell ref="I42:L42"/>
    <mergeCell ref="I44:L44"/>
    <mergeCell ref="I45:L45"/>
    <mergeCell ref="I46:L46"/>
    <mergeCell ref="I47:L47"/>
    <mergeCell ref="I49:L49"/>
    <mergeCell ref="I56:L56"/>
    <mergeCell ref="I57:L57"/>
    <mergeCell ref="I37:L37"/>
    <mergeCell ref="I38:L38"/>
    <mergeCell ref="C13:C14"/>
    <mergeCell ref="C21:C24"/>
    <mergeCell ref="C28:C33"/>
    <mergeCell ref="A27:L27"/>
    <mergeCell ref="A25:L25"/>
    <mergeCell ref="I16:L16"/>
    <mergeCell ref="I17:L17"/>
    <mergeCell ref="I18:L18"/>
    <mergeCell ref="I10:L10"/>
    <mergeCell ref="I11:L11"/>
    <mergeCell ref="I12:L12"/>
    <mergeCell ref="I13:L13"/>
    <mergeCell ref="I14:L14"/>
    <mergeCell ref="C9:C12"/>
    <mergeCell ref="D60:G60"/>
    <mergeCell ref="I5:L7"/>
    <mergeCell ref="H6:H7"/>
    <mergeCell ref="A1:L3"/>
    <mergeCell ref="A8:L8"/>
    <mergeCell ref="A5:A7"/>
    <mergeCell ref="B5:B7"/>
    <mergeCell ref="C5:C7"/>
    <mergeCell ref="D5:H5"/>
    <mergeCell ref="A4:H4"/>
    <mergeCell ref="C16:C19"/>
    <mergeCell ref="A20:L20"/>
    <mergeCell ref="I19:L19"/>
    <mergeCell ref="I9:L9"/>
    <mergeCell ref="A15:L15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9C92-F5FC-4A28-9EBE-CCF5A631D0B8}">
  <dimension ref="A1:L38"/>
  <sheetViews>
    <sheetView tabSelected="1" topLeftCell="B33" workbookViewId="0">
      <selection activeCell="H9" sqref="H9"/>
    </sheetView>
  </sheetViews>
  <sheetFormatPr baseColWidth="10" defaultRowHeight="14.5" x14ac:dyDescent="0.35"/>
  <cols>
    <col min="1" max="1" width="4.453125" customWidth="1"/>
    <col min="2" max="2" width="67.1796875" customWidth="1"/>
    <col min="3" max="3" width="23.81640625" customWidth="1"/>
    <col min="9" max="9" width="5.81640625" customWidth="1"/>
    <col min="12" max="12" width="15.81640625" customWidth="1"/>
  </cols>
  <sheetData>
    <row r="1" spans="1:12" ht="20" customHeight="1" x14ac:dyDescent="0.35">
      <c r="A1" s="154" t="s">
        <v>347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0" customHeight="1" x14ac:dyDescent="0.3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1:12" ht="20" customHeight="1" x14ac:dyDescent="0.3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2" ht="16.5" thickBot="1" x14ac:dyDescent="0.45">
      <c r="A4" s="155" t="s">
        <v>343</v>
      </c>
      <c r="B4" s="156"/>
      <c r="C4" s="156"/>
      <c r="D4" s="156"/>
      <c r="E4" s="156"/>
      <c r="F4" s="156"/>
      <c r="G4" s="156"/>
      <c r="H4" s="156"/>
    </row>
    <row r="5" spans="1:12" ht="14" customHeight="1" x14ac:dyDescent="0.35">
      <c r="A5" s="157" t="s">
        <v>1</v>
      </c>
      <c r="B5" s="160" t="s">
        <v>11</v>
      </c>
      <c r="C5" s="160" t="s">
        <v>12</v>
      </c>
      <c r="D5" s="161" t="s">
        <v>13</v>
      </c>
      <c r="E5" s="161"/>
      <c r="F5" s="161"/>
      <c r="G5" s="161"/>
      <c r="H5" s="161"/>
      <c r="I5" s="160" t="s">
        <v>14</v>
      </c>
      <c r="J5" s="160"/>
      <c r="K5" s="160"/>
      <c r="L5" s="162"/>
    </row>
    <row r="6" spans="1:12" x14ac:dyDescent="0.35">
      <c r="A6" s="158"/>
      <c r="B6" s="118"/>
      <c r="C6" s="118"/>
      <c r="D6" s="1" t="s">
        <v>0</v>
      </c>
      <c r="E6" s="2" t="s">
        <v>47</v>
      </c>
      <c r="F6" s="3" t="s">
        <v>3</v>
      </c>
      <c r="G6" s="4" t="s">
        <v>2</v>
      </c>
      <c r="H6" s="118" t="s">
        <v>10</v>
      </c>
      <c r="I6" s="118"/>
      <c r="J6" s="118"/>
      <c r="K6" s="118"/>
      <c r="L6" s="163"/>
    </row>
    <row r="7" spans="1:12" ht="15" thickBot="1" x14ac:dyDescent="0.4">
      <c r="A7" s="159"/>
      <c r="B7" s="119"/>
      <c r="C7" s="119"/>
      <c r="D7" s="32">
        <v>0.25</v>
      </c>
      <c r="E7" s="32">
        <v>0.5</v>
      </c>
      <c r="F7" s="32">
        <v>1</v>
      </c>
      <c r="G7" s="19" t="s">
        <v>5</v>
      </c>
      <c r="H7" s="119"/>
      <c r="I7" s="119"/>
      <c r="J7" s="119"/>
      <c r="K7" s="119"/>
      <c r="L7" s="164"/>
    </row>
    <row r="8" spans="1:12" ht="18" customHeight="1" thickBot="1" x14ac:dyDescent="0.4">
      <c r="A8" s="82" t="s">
        <v>288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ht="37.5" customHeight="1" x14ac:dyDescent="0.35">
      <c r="A9" s="53" t="s">
        <v>48</v>
      </c>
      <c r="B9" s="76" t="s">
        <v>289</v>
      </c>
      <c r="C9" s="210" t="s">
        <v>319</v>
      </c>
      <c r="D9" s="36"/>
      <c r="E9" s="36"/>
      <c r="F9" s="36"/>
      <c r="G9" s="36"/>
      <c r="H9" s="26">
        <f>IF(G9="X","No Aplica",MAX(IF(D9="X",0.25,0),IF(E9="X",0.5,0),IF(F9="X",1,0)))</f>
        <v>0</v>
      </c>
      <c r="I9" s="166"/>
      <c r="J9" s="166"/>
      <c r="K9" s="166"/>
      <c r="L9" s="167"/>
    </row>
    <row r="10" spans="1:12" ht="46" customHeight="1" thickBot="1" x14ac:dyDescent="0.4">
      <c r="A10" s="54" t="s">
        <v>49</v>
      </c>
      <c r="B10" s="76" t="s">
        <v>290</v>
      </c>
      <c r="C10" s="211"/>
      <c r="D10" s="34"/>
      <c r="E10" s="34"/>
      <c r="F10" s="34"/>
      <c r="G10" s="34"/>
      <c r="H10" s="26">
        <f>IF(G10="X","No Aplica",MAX(IF(D10="X",0.25,0),IF(E10="X",0.5,0),IF(F10="X",1,0)))</f>
        <v>0</v>
      </c>
      <c r="I10" s="168"/>
      <c r="J10" s="168"/>
      <c r="K10" s="168"/>
      <c r="L10" s="169"/>
    </row>
    <row r="11" spans="1:12" ht="18" customHeight="1" thickBot="1" x14ac:dyDescent="0.4">
      <c r="A11" s="82" t="s">
        <v>291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ht="56.5" customHeight="1" thickBot="1" x14ac:dyDescent="0.4">
      <c r="A12" s="53" t="s">
        <v>55</v>
      </c>
      <c r="B12" s="77" t="s">
        <v>292</v>
      </c>
      <c r="C12" s="75" t="s">
        <v>319</v>
      </c>
      <c r="D12" s="36"/>
      <c r="E12" s="36"/>
      <c r="F12" s="36"/>
      <c r="G12" s="36"/>
      <c r="H12" s="26">
        <f>IF(G12="X","No Aplica",MAX(IF(D12="X",0.25,0),IF(E12="X",0.5,0),IF(F12="X",1,0)))</f>
        <v>0</v>
      </c>
      <c r="I12" s="182"/>
      <c r="J12" s="182"/>
      <c r="K12" s="182"/>
      <c r="L12" s="183"/>
    </row>
    <row r="13" spans="1:12" ht="18" customHeight="1" thickBot="1" x14ac:dyDescent="0.4">
      <c r="A13" s="82" t="s">
        <v>293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206"/>
    </row>
    <row r="14" spans="1:12" ht="43.5" customHeight="1" x14ac:dyDescent="0.35">
      <c r="A14" s="53" t="s">
        <v>59</v>
      </c>
      <c r="B14" s="76" t="s">
        <v>294</v>
      </c>
      <c r="C14" s="176" t="s">
        <v>319</v>
      </c>
      <c r="D14" s="34"/>
      <c r="E14" s="34"/>
      <c r="F14" s="34"/>
      <c r="G14" s="34"/>
      <c r="H14" s="26">
        <f>IF(G14="X","No Aplica",MAX(IF(D14="X",0.25,0),IF(E14="X",0.5,0),IF(F14="X",1,0)))</f>
        <v>0</v>
      </c>
      <c r="I14" s="168"/>
      <c r="J14" s="168"/>
      <c r="K14" s="168"/>
      <c r="L14" s="169"/>
    </row>
    <row r="15" spans="1:12" ht="44.5" customHeight="1" x14ac:dyDescent="0.35">
      <c r="A15" s="54" t="s">
        <v>60</v>
      </c>
      <c r="B15" s="76" t="s">
        <v>295</v>
      </c>
      <c r="C15" s="211"/>
      <c r="D15" s="34"/>
      <c r="E15" s="34"/>
      <c r="F15" s="34"/>
      <c r="G15" s="34"/>
      <c r="H15" s="26">
        <f t="shared" ref="H15:H37" si="0">IF(G15="X","No Aplica",MAX(IF(D15="X",0.25,0),IF(E15="X",0.5,0),IF(F15="X",1,0)))</f>
        <v>0</v>
      </c>
      <c r="I15" s="193"/>
      <c r="J15" s="193"/>
      <c r="K15" s="193"/>
      <c r="L15" s="194"/>
    </row>
    <row r="16" spans="1:12" ht="42" x14ac:dyDescent="0.35">
      <c r="A16" s="54" t="s">
        <v>61</v>
      </c>
      <c r="B16" s="76" t="s">
        <v>296</v>
      </c>
      <c r="C16" s="211"/>
      <c r="D16" s="34"/>
      <c r="E16" s="34"/>
      <c r="F16" s="34"/>
      <c r="G16" s="34"/>
      <c r="H16" s="26">
        <f t="shared" si="0"/>
        <v>0</v>
      </c>
      <c r="I16" s="170"/>
      <c r="J16" s="170"/>
      <c r="K16" s="170"/>
      <c r="L16" s="171"/>
    </row>
    <row r="17" spans="1:12" ht="48.65" customHeight="1" x14ac:dyDescent="0.35">
      <c r="A17" s="55" t="s">
        <v>62</v>
      </c>
      <c r="B17" s="76" t="s">
        <v>297</v>
      </c>
      <c r="C17" s="211"/>
      <c r="D17" s="34"/>
      <c r="E17" s="34"/>
      <c r="F17" s="34"/>
      <c r="G17" s="34"/>
      <c r="H17" s="26">
        <f t="shared" si="0"/>
        <v>0</v>
      </c>
      <c r="I17" s="168"/>
      <c r="J17" s="168"/>
      <c r="K17" s="168"/>
      <c r="L17" s="169"/>
    </row>
    <row r="18" spans="1:12" ht="59" customHeight="1" x14ac:dyDescent="0.35">
      <c r="A18" s="53" t="s">
        <v>115</v>
      </c>
      <c r="B18" s="76" t="s">
        <v>299</v>
      </c>
      <c r="C18" s="211"/>
      <c r="D18" s="36"/>
      <c r="E18" s="36"/>
      <c r="F18" s="36"/>
      <c r="G18" s="36"/>
      <c r="H18" s="26">
        <f t="shared" si="0"/>
        <v>0</v>
      </c>
      <c r="I18" s="191"/>
      <c r="J18" s="191"/>
      <c r="K18" s="191"/>
      <c r="L18" s="192"/>
    </row>
    <row r="19" spans="1:12" ht="44.5" customHeight="1" thickBot="1" x14ac:dyDescent="0.4">
      <c r="A19" s="78" t="s">
        <v>301</v>
      </c>
      <c r="B19" s="79" t="s">
        <v>298</v>
      </c>
      <c r="C19" s="224"/>
      <c r="D19" s="80"/>
      <c r="E19" s="80"/>
      <c r="F19" s="80"/>
      <c r="G19" s="80"/>
      <c r="H19" s="26">
        <f t="shared" si="0"/>
        <v>0</v>
      </c>
      <c r="I19" s="222"/>
      <c r="J19" s="222"/>
      <c r="K19" s="222"/>
      <c r="L19" s="223"/>
    </row>
    <row r="20" spans="1:12" s="44" customFormat="1" ht="18" customHeight="1" x14ac:dyDescent="0.35">
      <c r="A20" s="205" t="s">
        <v>300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206"/>
    </row>
    <row r="21" spans="1:12" ht="28" x14ac:dyDescent="0.35">
      <c r="A21" s="54" t="s">
        <v>63</v>
      </c>
      <c r="B21" s="76" t="s">
        <v>302</v>
      </c>
      <c r="C21" s="199" t="s">
        <v>319</v>
      </c>
      <c r="D21" s="34"/>
      <c r="E21" s="34"/>
      <c r="F21" s="34"/>
      <c r="G21" s="34"/>
      <c r="H21" s="26">
        <f t="shared" si="0"/>
        <v>0</v>
      </c>
      <c r="I21" s="172"/>
      <c r="J21" s="172"/>
      <c r="K21" s="172"/>
      <c r="L21" s="173"/>
    </row>
    <row r="22" spans="1:12" ht="62" customHeight="1" x14ac:dyDescent="0.35">
      <c r="A22" s="54" t="s">
        <v>64</v>
      </c>
      <c r="B22" s="76" t="s">
        <v>303</v>
      </c>
      <c r="C22" s="199"/>
      <c r="D22" s="34"/>
      <c r="E22" s="34"/>
      <c r="F22" s="34"/>
      <c r="G22" s="34"/>
      <c r="H22" s="26">
        <f t="shared" si="0"/>
        <v>0</v>
      </c>
      <c r="I22" s="172"/>
      <c r="J22" s="172"/>
      <c r="K22" s="172"/>
      <c r="L22" s="173"/>
    </row>
    <row r="23" spans="1:12" ht="34" customHeight="1" x14ac:dyDescent="0.35">
      <c r="A23" s="54" t="s">
        <v>65</v>
      </c>
      <c r="B23" s="76" t="s">
        <v>304</v>
      </c>
      <c r="C23" s="199"/>
      <c r="D23" s="34"/>
      <c r="E23" s="34"/>
      <c r="F23" s="34"/>
      <c r="G23" s="34"/>
      <c r="H23" s="26">
        <f t="shared" si="0"/>
        <v>0</v>
      </c>
      <c r="I23" s="172"/>
      <c r="J23" s="172"/>
      <c r="K23" s="172"/>
      <c r="L23" s="173"/>
    </row>
    <row r="24" spans="1:12" ht="89" customHeight="1" thickBot="1" x14ac:dyDescent="0.4">
      <c r="A24" s="78" t="s">
        <v>66</v>
      </c>
      <c r="B24" s="81" t="s">
        <v>305</v>
      </c>
      <c r="C24" s="229"/>
      <c r="D24" s="80"/>
      <c r="E24" s="80"/>
      <c r="F24" s="80"/>
      <c r="G24" s="80"/>
      <c r="H24" s="26">
        <f t="shared" si="0"/>
        <v>0</v>
      </c>
      <c r="I24" s="230"/>
      <c r="J24" s="230"/>
      <c r="K24" s="230"/>
      <c r="L24" s="231"/>
    </row>
    <row r="25" spans="1:12" s="44" customFormat="1" ht="18" customHeight="1" thickBot="1" x14ac:dyDescent="0.4">
      <c r="A25" s="82" t="s">
        <v>306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206"/>
    </row>
    <row r="26" spans="1:12" ht="42" x14ac:dyDescent="0.35">
      <c r="A26" s="53" t="s">
        <v>67</v>
      </c>
      <c r="B26" s="76" t="s">
        <v>307</v>
      </c>
      <c r="C26" s="87" t="s">
        <v>319</v>
      </c>
      <c r="D26" s="36"/>
      <c r="E26" s="36"/>
      <c r="F26" s="36"/>
      <c r="G26" s="36"/>
      <c r="H26" s="26">
        <f t="shared" si="0"/>
        <v>0</v>
      </c>
      <c r="I26" s="191"/>
      <c r="J26" s="191"/>
      <c r="K26" s="191"/>
      <c r="L26" s="192"/>
    </row>
    <row r="27" spans="1:12" ht="57" customHeight="1" thickBot="1" x14ac:dyDescent="0.4">
      <c r="A27" s="54" t="s">
        <v>68</v>
      </c>
      <c r="B27" s="76" t="s">
        <v>308</v>
      </c>
      <c r="C27" s="87"/>
      <c r="D27" s="34"/>
      <c r="E27" s="34"/>
      <c r="F27" s="34"/>
      <c r="G27" s="36"/>
      <c r="H27" s="26">
        <f t="shared" si="0"/>
        <v>0</v>
      </c>
      <c r="I27" s="168"/>
      <c r="J27" s="168"/>
      <c r="K27" s="168"/>
      <c r="L27" s="169"/>
    </row>
    <row r="28" spans="1:12" ht="18" customHeight="1" thickBot="1" x14ac:dyDescent="0.4">
      <c r="A28" s="82" t="s">
        <v>309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x14ac:dyDescent="0.35">
      <c r="A29" s="53" t="s">
        <v>73</v>
      </c>
      <c r="B29" s="76" t="s">
        <v>310</v>
      </c>
      <c r="C29" s="87" t="s">
        <v>319</v>
      </c>
      <c r="D29" s="36"/>
      <c r="E29" s="36"/>
      <c r="F29" s="36"/>
      <c r="G29" s="36"/>
      <c r="H29" s="26">
        <f t="shared" si="0"/>
        <v>0</v>
      </c>
      <c r="I29" s="191"/>
      <c r="J29" s="191"/>
      <c r="K29" s="191"/>
      <c r="L29" s="192"/>
    </row>
    <row r="30" spans="1:12" ht="35.5" customHeight="1" x14ac:dyDescent="0.35">
      <c r="A30" s="54" t="s">
        <v>74</v>
      </c>
      <c r="B30" s="76" t="s">
        <v>311</v>
      </c>
      <c r="C30" s="87"/>
      <c r="D30" s="34"/>
      <c r="E30" s="34"/>
      <c r="F30" s="34"/>
      <c r="G30" s="34"/>
      <c r="H30" s="26">
        <f t="shared" si="0"/>
        <v>0</v>
      </c>
      <c r="I30" s="168"/>
      <c r="J30" s="168"/>
      <c r="K30" s="168"/>
      <c r="L30" s="169"/>
    </row>
    <row r="31" spans="1:12" ht="28" x14ac:dyDescent="0.35">
      <c r="A31" s="54" t="s">
        <v>75</v>
      </c>
      <c r="B31" s="76" t="s">
        <v>312</v>
      </c>
      <c r="C31" s="87"/>
      <c r="D31" s="34"/>
      <c r="E31" s="34"/>
      <c r="F31" s="34"/>
      <c r="G31" s="34"/>
      <c r="H31" s="26">
        <f t="shared" si="0"/>
        <v>0</v>
      </c>
      <c r="I31" s="172"/>
      <c r="J31" s="172"/>
      <c r="K31" s="172"/>
      <c r="L31" s="173"/>
    </row>
    <row r="32" spans="1:12" ht="62.5" customHeight="1" x14ac:dyDescent="0.35">
      <c r="A32" s="55" t="s">
        <v>95</v>
      </c>
      <c r="B32" s="76" t="s">
        <v>313</v>
      </c>
      <c r="C32" s="87"/>
      <c r="D32" s="34"/>
      <c r="E32" s="34"/>
      <c r="F32" s="34"/>
      <c r="G32" s="34"/>
      <c r="H32" s="26">
        <f t="shared" si="0"/>
        <v>0</v>
      </c>
      <c r="I32" s="168"/>
      <c r="J32" s="168"/>
      <c r="K32" s="168"/>
      <c r="L32" s="169"/>
    </row>
    <row r="33" spans="1:12" ht="70" customHeight="1" thickBot="1" x14ac:dyDescent="0.4">
      <c r="A33" s="78" t="s">
        <v>106</v>
      </c>
      <c r="B33" s="79" t="s">
        <v>314</v>
      </c>
      <c r="C33" s="228"/>
      <c r="D33" s="80"/>
      <c r="E33" s="80"/>
      <c r="F33" s="80"/>
      <c r="G33" s="80"/>
      <c r="H33" s="26">
        <f t="shared" si="0"/>
        <v>0</v>
      </c>
      <c r="I33" s="226"/>
      <c r="J33" s="226"/>
      <c r="K33" s="226"/>
      <c r="L33" s="227"/>
    </row>
    <row r="34" spans="1:12" ht="18" customHeight="1" thickBot="1" x14ac:dyDescent="0.4">
      <c r="A34" s="207" t="s">
        <v>315</v>
      </c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9"/>
    </row>
    <row r="35" spans="1:12" ht="47.75" customHeight="1" x14ac:dyDescent="0.35">
      <c r="A35" s="53" t="s">
        <v>76</v>
      </c>
      <c r="B35" s="76" t="s">
        <v>316</v>
      </c>
      <c r="C35" s="109" t="s">
        <v>319</v>
      </c>
      <c r="D35" s="36"/>
      <c r="E35" s="36"/>
      <c r="F35" s="36"/>
      <c r="G35" s="36"/>
      <c r="H35" s="26">
        <f t="shared" si="0"/>
        <v>0</v>
      </c>
      <c r="I35" s="191"/>
      <c r="J35" s="191"/>
      <c r="K35" s="191"/>
      <c r="L35" s="192"/>
    </row>
    <row r="36" spans="1:12" ht="28" x14ac:dyDescent="0.35">
      <c r="A36" s="54" t="s">
        <v>77</v>
      </c>
      <c r="B36" s="76" t="s">
        <v>317</v>
      </c>
      <c r="C36" s="109"/>
      <c r="D36" s="34"/>
      <c r="E36" s="34"/>
      <c r="F36" s="34"/>
      <c r="G36" s="34"/>
      <c r="H36" s="26">
        <f t="shared" si="0"/>
        <v>0</v>
      </c>
      <c r="I36" s="168"/>
      <c r="J36" s="168"/>
      <c r="K36" s="168"/>
      <c r="L36" s="169"/>
    </row>
    <row r="37" spans="1:12" ht="70.5" thickBot="1" x14ac:dyDescent="0.4">
      <c r="A37" s="78" t="s">
        <v>78</v>
      </c>
      <c r="B37" s="79" t="s">
        <v>318</v>
      </c>
      <c r="C37" s="225"/>
      <c r="D37" s="80"/>
      <c r="E37" s="80"/>
      <c r="F37" s="80"/>
      <c r="G37" s="80"/>
      <c r="H37" s="26">
        <f t="shared" si="0"/>
        <v>0</v>
      </c>
      <c r="I37" s="226"/>
      <c r="J37" s="226"/>
      <c r="K37" s="226"/>
      <c r="L37" s="227"/>
    </row>
    <row r="38" spans="1:12" ht="18.5" x14ac:dyDescent="0.45">
      <c r="D38" s="153" t="s">
        <v>109</v>
      </c>
      <c r="E38" s="153"/>
      <c r="F38" s="153"/>
      <c r="G38" s="153"/>
      <c r="H38" s="47">
        <f>IFERROR(IF(COUNTIF(H9:H37,"&lt;&gt;No Aplica")=0,"No Aplica",AVERAGEIF(H9:H37,"&lt;&gt;No Aplica")),"No Aplica")</f>
        <v>0</v>
      </c>
    </row>
  </sheetData>
  <mergeCells count="45">
    <mergeCell ref="C21:C24"/>
    <mergeCell ref="I32:L32"/>
    <mergeCell ref="I21:L21"/>
    <mergeCell ref="I22:L22"/>
    <mergeCell ref="I23:L23"/>
    <mergeCell ref="I24:L24"/>
    <mergeCell ref="A25:L25"/>
    <mergeCell ref="C26:C27"/>
    <mergeCell ref="I26:L26"/>
    <mergeCell ref="I27:L27"/>
    <mergeCell ref="D38:G38"/>
    <mergeCell ref="I16:L16"/>
    <mergeCell ref="I17:L17"/>
    <mergeCell ref="C14:C19"/>
    <mergeCell ref="A34:L34"/>
    <mergeCell ref="C35:C37"/>
    <mergeCell ref="I35:L35"/>
    <mergeCell ref="I36:L36"/>
    <mergeCell ref="I37:L37"/>
    <mergeCell ref="A28:L28"/>
    <mergeCell ref="C29:C33"/>
    <mergeCell ref="I29:L29"/>
    <mergeCell ref="I30:L30"/>
    <mergeCell ref="I31:L31"/>
    <mergeCell ref="I33:L33"/>
    <mergeCell ref="A20:L20"/>
    <mergeCell ref="A13:L13"/>
    <mergeCell ref="I18:L18"/>
    <mergeCell ref="I19:L19"/>
    <mergeCell ref="I14:L14"/>
    <mergeCell ref="A11:L11"/>
    <mergeCell ref="I12:L12"/>
    <mergeCell ref="I15:L15"/>
    <mergeCell ref="A8:L8"/>
    <mergeCell ref="C9:C10"/>
    <mergeCell ref="I9:L9"/>
    <mergeCell ref="I10:L10"/>
    <mergeCell ref="A1:L3"/>
    <mergeCell ref="A4:H4"/>
    <mergeCell ref="A5:A7"/>
    <mergeCell ref="B5:B7"/>
    <mergeCell ref="C5:C7"/>
    <mergeCell ref="D5:H5"/>
    <mergeCell ref="I5:L7"/>
    <mergeCell ref="H6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PAUTA PREXOR</vt:lpstr>
      <vt:lpstr>PAUTA UV</vt:lpstr>
      <vt:lpstr>PAUTA TMERT</vt:lpstr>
      <vt:lpstr>PROTOC PSICOSOCIAL</vt:lpstr>
      <vt:lpstr>PAUTA SILICE</vt:lpstr>
      <vt:lpstr>PAUTA HIPOBARIA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Olivares Jorquera Colaborador</dc:creator>
  <cp:lastModifiedBy>Sofia Cisternas</cp:lastModifiedBy>
  <dcterms:created xsi:type="dcterms:W3CDTF">2024-10-17T19:07:49Z</dcterms:created>
  <dcterms:modified xsi:type="dcterms:W3CDTF">2026-04-20T20:14:40Z</dcterms:modified>
</cp:coreProperties>
</file>